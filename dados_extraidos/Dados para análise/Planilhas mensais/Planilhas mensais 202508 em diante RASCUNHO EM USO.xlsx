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\Outr\Condomínio Neápolis\Planilhas mensais\"/>
    </mc:Choice>
  </mc:AlternateContent>
  <xr:revisionPtr revIDLastSave="0" documentId="13_ncr:1_{7FB2538C-96C2-4916-97BE-FF005520E582}" xr6:coauthVersionLast="47" xr6:coauthVersionMax="47" xr10:uidLastSave="{00000000-0000-0000-0000-000000000000}"/>
  <bookViews>
    <workbookView xWindow="-120" yWindow="-120" windowWidth="29040" windowHeight="15720" xr2:uid="{65981E30-54BF-4E0E-A3F1-84D7676D9C5C}"/>
  </bookViews>
  <sheets>
    <sheet name="ORIENTAÇÕES E CONF." sheetId="20" r:id="rId1"/>
    <sheet name="MEDIÇÕES E COPASA HISTÓRICO" sheetId="26" r:id="rId2"/>
    <sheet name="MEDIÇÕES E TABELAS" sheetId="14" r:id="rId3"/>
    <sheet name="LANÇTºS" sheetId="21" r:id="rId4"/>
    <sheet name="VRS. DEVIDOS E OUTROS" sheetId="22" r:id="rId5"/>
    <sheet name="DADOS DO PAGTº" sheetId="23" r:id="rId6"/>
    <sheet name="PLAN P COND" sheetId="10" r:id="rId7"/>
    <sheet name="COPIAR PLAN P COND P TODAS" sheetId="25" r:id="rId8"/>
  </sheets>
  <externalReferences>
    <externalReference r:id="rId9"/>
  </externalReferences>
  <definedNames>
    <definedName name="_xlnm._FilterDatabase" localSheetId="5" hidden="1">'DADOS DO PAGTº'!$A$2:$Q$67</definedName>
    <definedName name="_xlnm._FilterDatabase" localSheetId="3" hidden="1">LANÇTºS!$A$2:$AZ$34</definedName>
    <definedName name="_xlnm._FilterDatabase" localSheetId="2" hidden="1">'MEDIÇÕES E TABELAS'!$K$213:$S$232</definedName>
    <definedName name="_xlnm._FilterDatabase" localSheetId="4" hidden="1">'VRS. DEVIDOS E OUTROS'!$A$2:$U$89</definedName>
    <definedName name="D.ACESS.SOBRE_TOT.PROD">#REF!</definedName>
    <definedName name="DESP.ACESS.">#REF!</definedName>
    <definedName name="ICMS_ST_DO_TOTAL_DOS_PRODUTOS">#REF!</definedName>
    <definedName name="PERCENT_ICMS_ST_DO_TOTAL_DOS_PRODUTOS">#REF!</definedName>
    <definedName name="QT.A">#REF!</definedName>
    <definedName name="QT.B">#REF!</definedName>
    <definedName name="QT.C">#REF!</definedName>
    <definedName name="QT.D">#REF!</definedName>
    <definedName name="QTD._A">#REF!</definedName>
    <definedName name="QTD._B">#REF!</definedName>
    <definedName name="QTD._C">#REF!</definedName>
    <definedName name="QTD.A">#REF!</definedName>
    <definedName name="QTD.B">#REF!</definedName>
    <definedName name="QTD.C">#REF!</definedName>
    <definedName name="QTD.D">#REF!</definedName>
    <definedName name="TOT_NF">#REF!</definedName>
    <definedName name="TOT_PROD">#REF!</definedName>
    <definedName name="VALOR_DO_ICMS_ST">#REF!</definedName>
    <definedName name="VALOR_TOTAL_DA_NOTA">#REF!</definedName>
    <definedName name="VALOR_TOTAL_DOS_PRODUTOS">#REF!</definedName>
    <definedName name="VLR.TOTAL_A">#REF!</definedName>
    <definedName name="VLR.TOTAL_B">#REF!</definedName>
    <definedName name="VLR.TOTAL_C">#REF!</definedName>
    <definedName name="VLR.TOTAL_D">#REF!</definedName>
    <definedName name="VR.TOT.A">#REF!</definedName>
    <definedName name="VR.TOT.B">#REF!</definedName>
    <definedName name="VR.TOT.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0" l="1"/>
  <c r="D71" i="10"/>
  <c r="D69" i="10"/>
  <c r="D68" i="10"/>
  <c r="H140" i="22"/>
  <c r="D146" i="22" s="1"/>
  <c r="G140" i="22"/>
  <c r="J140" i="22" s="1"/>
  <c r="B140" i="22"/>
  <c r="F140" i="22"/>
  <c r="A140" i="22"/>
  <c r="C123" i="22"/>
  <c r="A123" i="22"/>
  <c r="S86" i="22"/>
  <c r="S85" i="22"/>
  <c r="S84" i="22"/>
  <c r="W84" i="22" s="1"/>
  <c r="S83" i="22"/>
  <c r="W83" i="22" s="1"/>
  <c r="S82" i="22"/>
  <c r="W82" i="22" s="1"/>
  <c r="S81" i="22"/>
  <c r="W81" i="22" s="1"/>
  <c r="S80" i="22"/>
  <c r="W80" i="22" s="1"/>
  <c r="A105" i="22"/>
  <c r="AW48" i="26"/>
  <c r="AT48" i="26"/>
  <c r="AU33" i="21"/>
  <c r="AU24" i="21"/>
  <c r="AV24" i="21"/>
  <c r="AU5" i="21"/>
  <c r="AV5" i="21"/>
  <c r="AR5" i="21"/>
  <c r="AU37" i="21"/>
  <c r="AV34" i="21"/>
  <c r="AV33" i="21"/>
  <c r="AE20" i="26"/>
  <c r="AF20" i="26"/>
  <c r="AE22" i="26"/>
  <c r="AF22" i="26"/>
  <c r="AG20" i="14"/>
  <c r="AG22" i="14" s="1"/>
  <c r="AF20" i="14"/>
  <c r="AF22" i="14" s="1"/>
  <c r="AE20" i="14"/>
  <c r="AE22" i="14" s="1"/>
  <c r="X4" i="14"/>
  <c r="X19" i="14"/>
  <c r="X18" i="14"/>
  <c r="X17" i="14"/>
  <c r="X16" i="14"/>
  <c r="X15" i="14"/>
  <c r="X14" i="14"/>
  <c r="X13" i="14"/>
  <c r="X12" i="14"/>
  <c r="X11" i="14"/>
  <c r="X10" i="14"/>
  <c r="X9" i="14"/>
  <c r="X8" i="14"/>
  <c r="X7" i="14"/>
  <c r="X6" i="14"/>
  <c r="X5" i="14"/>
  <c r="X21" i="14"/>
  <c r="U21" i="14"/>
  <c r="U4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R86" i="26"/>
  <c r="R85" i="26"/>
  <c r="R44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BC44" i="14"/>
  <c r="AZ44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H5" i="21"/>
  <c r="T5" i="21"/>
  <c r="X5" i="21"/>
  <c r="AB5" i="21"/>
  <c r="AF5" i="21"/>
  <c r="AJ5" i="21"/>
  <c r="AN5" i="21"/>
  <c r="H139" i="22"/>
  <c r="G139" i="22"/>
  <c r="F139" i="22"/>
  <c r="B139" i="22"/>
  <c r="A139" i="22"/>
  <c r="J139" i="22"/>
  <c r="C122" i="22"/>
  <c r="A122" i="22"/>
  <c r="S79" i="22"/>
  <c r="S78" i="22"/>
  <c r="S77" i="22"/>
  <c r="S76" i="22"/>
  <c r="S75" i="22"/>
  <c r="W75" i="22" s="1"/>
  <c r="S74" i="22"/>
  <c r="W74" i="22" s="1"/>
  <c r="S73" i="22"/>
  <c r="W73" i="22" s="1"/>
  <c r="A104" i="22"/>
  <c r="AQ33" i="21"/>
  <c r="AR24" i="21"/>
  <c r="AQ24" i="21"/>
  <c r="AQ5" i="21"/>
  <c r="AQ37" i="21"/>
  <c r="B18" i="20" s="1"/>
  <c r="AR34" i="21"/>
  <c r="AR33" i="21"/>
  <c r="AD20" i="26"/>
  <c r="AD22" i="26" s="1"/>
  <c r="R43" i="26"/>
  <c r="AW47" i="26"/>
  <c r="AT47" i="26"/>
  <c r="BC43" i="14"/>
  <c r="AZ43" i="14"/>
  <c r="G70" i="10"/>
  <c r="H138" i="22"/>
  <c r="G138" i="22"/>
  <c r="F138" i="22"/>
  <c r="B138" i="22"/>
  <c r="A138" i="22"/>
  <c r="C121" i="22"/>
  <c r="A121" i="22"/>
  <c r="S72" i="22"/>
  <c r="S71" i="22"/>
  <c r="S70" i="22"/>
  <c r="W70" i="22" s="1"/>
  <c r="S69" i="22"/>
  <c r="W69" i="22" s="1"/>
  <c r="S68" i="22"/>
  <c r="W68" i="22" s="1"/>
  <c r="S67" i="22"/>
  <c r="W67" i="22" s="1"/>
  <c r="S66" i="22"/>
  <c r="W66" i="22" s="1"/>
  <c r="A94" i="22"/>
  <c r="E94" i="22"/>
  <c r="A95" i="22"/>
  <c r="A96" i="22"/>
  <c r="A97" i="22"/>
  <c r="A103" i="22"/>
  <c r="AM33" i="21"/>
  <c r="AN24" i="21"/>
  <c r="AM24" i="21"/>
  <c r="AM5" i="21"/>
  <c r="AM37" i="21" s="1"/>
  <c r="AN34" i="21"/>
  <c r="AN33" i="21"/>
  <c r="AC20" i="26"/>
  <c r="AC22" i="26" s="1"/>
  <c r="A75" i="21"/>
  <c r="A74" i="21"/>
  <c r="A73" i="21"/>
  <c r="A71" i="21"/>
  <c r="A69" i="21"/>
  <c r="A68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49" i="21"/>
  <c r="A47" i="21"/>
  <c r="A46" i="21"/>
  <c r="W2" i="22"/>
  <c r="AW46" i="26"/>
  <c r="AT46" i="26"/>
  <c r="BC41" i="14"/>
  <c r="AZ41" i="14"/>
  <c r="BC42" i="14"/>
  <c r="AZ42" i="14"/>
  <c r="R42" i="26"/>
  <c r="BY10" i="26"/>
  <c r="CA10" i="26" s="1"/>
  <c r="BX10" i="26"/>
  <c r="A38" i="21"/>
  <c r="B38" i="21"/>
  <c r="A2" i="21"/>
  <c r="A1" i="21"/>
  <c r="A39" i="21"/>
  <c r="A37" i="21"/>
  <c r="CD10" i="14"/>
  <c r="CE10" i="14"/>
  <c r="CG10" i="14" s="1"/>
  <c r="G169" i="22"/>
  <c r="F169" i="22"/>
  <c r="F168" i="22"/>
  <c r="G168" i="22"/>
  <c r="H137" i="22"/>
  <c r="G137" i="22"/>
  <c r="F137" i="22"/>
  <c r="B137" i="22"/>
  <c r="A137" i="22"/>
  <c r="G136" i="22"/>
  <c r="F136" i="22"/>
  <c r="B136" i="22"/>
  <c r="A136" i="22"/>
  <c r="C120" i="22"/>
  <c r="A120" i="22"/>
  <c r="C119" i="22"/>
  <c r="A119" i="22"/>
  <c r="S58" i="22"/>
  <c r="S57" i="22"/>
  <c r="S56" i="22"/>
  <c r="W56" i="22" s="1"/>
  <c r="S55" i="22"/>
  <c r="W55" i="22" s="1"/>
  <c r="S54" i="22"/>
  <c r="W54" i="22" s="1"/>
  <c r="S53" i="22"/>
  <c r="W53" i="22" s="1"/>
  <c r="S52" i="22"/>
  <c r="W52" i="22" s="1"/>
  <c r="A102" i="22"/>
  <c r="AI7" i="21"/>
  <c r="AI33" i="21"/>
  <c r="A31" i="21"/>
  <c r="AZ31" i="21" s="1"/>
  <c r="AJ24" i="21"/>
  <c r="AI5" i="21"/>
  <c r="AI37" i="21" s="1"/>
  <c r="AJ34" i="21"/>
  <c r="AJ33" i="21"/>
  <c r="AI20" i="14"/>
  <c r="AI22" i="14" s="1"/>
  <c r="AB20" i="26"/>
  <c r="AB22" i="26" s="1"/>
  <c r="R41" i="26"/>
  <c r="AW45" i="26"/>
  <c r="AT45" i="26"/>
  <c r="AW44" i="26"/>
  <c r="AT44" i="26"/>
  <c r="AW41" i="26"/>
  <c r="AT41" i="26"/>
  <c r="AW40" i="26"/>
  <c r="AT40" i="26"/>
  <c r="AW39" i="26"/>
  <c r="AT39" i="26"/>
  <c r="BC40" i="14"/>
  <c r="AZ40" i="14"/>
  <c r="BC39" i="14"/>
  <c r="AZ39" i="14"/>
  <c r="AE24" i="21" s="1"/>
  <c r="BC38" i="14"/>
  <c r="AZ38" i="14"/>
  <c r="BC37" i="14"/>
  <c r="AZ37" i="14"/>
  <c r="BC36" i="14"/>
  <c r="AZ36" i="14"/>
  <c r="BC35" i="14"/>
  <c r="AZ35" i="14"/>
  <c r="BD34" i="14"/>
  <c r="BA34" i="14"/>
  <c r="AZ34" i="14" s="1"/>
  <c r="AY34" i="14"/>
  <c r="BC33" i="14"/>
  <c r="AZ33" i="14"/>
  <c r="BC32" i="14"/>
  <c r="AZ32" i="14"/>
  <c r="BC31" i="14"/>
  <c r="AZ31" i="14"/>
  <c r="BC30" i="14"/>
  <c r="AZ30" i="14"/>
  <c r="BC29" i="14"/>
  <c r="AZ29" i="14"/>
  <c r="BC28" i="14"/>
  <c r="AZ28" i="14"/>
  <c r="BC27" i="14"/>
  <c r="AZ27" i="14"/>
  <c r="BC26" i="14"/>
  <c r="AZ26" i="14"/>
  <c r="BC25" i="14"/>
  <c r="AZ25" i="14"/>
  <c r="BC24" i="14"/>
  <c r="AZ24" i="14"/>
  <c r="BC23" i="14"/>
  <c r="AZ23" i="14"/>
  <c r="BC22" i="14"/>
  <c r="AZ22" i="14"/>
  <c r="BC21" i="14"/>
  <c r="AZ21" i="14"/>
  <c r="BC20" i="14"/>
  <c r="AZ20" i="14"/>
  <c r="BC19" i="14"/>
  <c r="AZ19" i="14"/>
  <c r="BC18" i="14"/>
  <c r="AZ18" i="14"/>
  <c r="BC17" i="14"/>
  <c r="AZ17" i="14"/>
  <c r="BC16" i="14"/>
  <c r="AZ16" i="14"/>
  <c r="BC15" i="14"/>
  <c r="AZ15" i="14"/>
  <c r="BC14" i="14"/>
  <c r="AZ14" i="14"/>
  <c r="BC13" i="14"/>
  <c r="AZ13" i="14"/>
  <c r="BC12" i="14"/>
  <c r="AZ12" i="14"/>
  <c r="BC11" i="14"/>
  <c r="AZ11" i="14"/>
  <c r="BC10" i="14"/>
  <c r="AZ10" i="14"/>
  <c r="BC9" i="14"/>
  <c r="BC8" i="14"/>
  <c r="BC7" i="14"/>
  <c r="BC6" i="14"/>
  <c r="BC5" i="14"/>
  <c r="BC4" i="14"/>
  <c r="A3" i="21"/>
  <c r="AZ3" i="21" s="1"/>
  <c r="A4" i="21"/>
  <c r="A5" i="21"/>
  <c r="A6" i="21"/>
  <c r="A7" i="21"/>
  <c r="A8" i="21"/>
  <c r="AZ8" i="21" s="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Z25" i="21" s="1"/>
  <c r="A26" i="21"/>
  <c r="A27" i="21"/>
  <c r="A28" i="21"/>
  <c r="AZ28" i="21" s="1"/>
  <c r="A29" i="21"/>
  <c r="AZ29" i="21" s="1"/>
  <c r="A30" i="21"/>
  <c r="AZ30" i="21" s="1"/>
  <c r="A32" i="21"/>
  <c r="AZ32" i="21" s="1"/>
  <c r="A33" i="21"/>
  <c r="AZ33" i="21" s="1"/>
  <c r="A34" i="21"/>
  <c r="AZ34" i="21" s="1"/>
  <c r="AZ4" i="21"/>
  <c r="AZ5" i="21"/>
  <c r="AZ6" i="21"/>
  <c r="AZ7" i="21"/>
  <c r="AZ9" i="21"/>
  <c r="AZ10" i="21"/>
  <c r="AZ11" i="21"/>
  <c r="AZ12" i="21"/>
  <c r="AZ13" i="21"/>
  <c r="AZ14" i="21"/>
  <c r="AZ15" i="21"/>
  <c r="AZ16" i="21"/>
  <c r="AZ17" i="21"/>
  <c r="AZ18" i="21"/>
  <c r="AZ19" i="21"/>
  <c r="AZ20" i="21"/>
  <c r="AZ21" i="21"/>
  <c r="AZ22" i="21"/>
  <c r="AZ23" i="21"/>
  <c r="AZ24" i="21"/>
  <c r="AZ26" i="21"/>
  <c r="AZ27" i="21"/>
  <c r="G167" i="22"/>
  <c r="H136" i="22"/>
  <c r="S65" i="22"/>
  <c r="S64" i="22"/>
  <c r="S63" i="22"/>
  <c r="W63" i="22" s="1"/>
  <c r="S62" i="22"/>
  <c r="W62" i="22" s="1"/>
  <c r="S61" i="22"/>
  <c r="W61" i="22" s="1"/>
  <c r="S60" i="22"/>
  <c r="W60" i="22" s="1"/>
  <c r="S59" i="22"/>
  <c r="W59" i="22" s="1"/>
  <c r="A101" i="22"/>
  <c r="AA29" i="21"/>
  <c r="AF24" i="21"/>
  <c r="AE5" i="21"/>
  <c r="AE33" i="21"/>
  <c r="AF34" i="21"/>
  <c r="AF33" i="21"/>
  <c r="R40" i="26"/>
  <c r="R81" i="14"/>
  <c r="C82" i="14"/>
  <c r="Y5" i="14" s="1"/>
  <c r="D82" i="14"/>
  <c r="Y6" i="14" s="1"/>
  <c r="E82" i="14"/>
  <c r="Y7" i="14" s="1"/>
  <c r="F82" i="14"/>
  <c r="Y8" i="14" s="1"/>
  <c r="G82" i="14"/>
  <c r="Y9" i="14" s="1"/>
  <c r="H82" i="14"/>
  <c r="Y10" i="14" s="1"/>
  <c r="I82" i="14"/>
  <c r="Y11" i="14" s="1"/>
  <c r="J82" i="14"/>
  <c r="Y12" i="14" s="1"/>
  <c r="K82" i="14"/>
  <c r="Y13" i="14" s="1"/>
  <c r="L82" i="14"/>
  <c r="Y14" i="14" s="1"/>
  <c r="M82" i="14"/>
  <c r="Y15" i="14" s="1"/>
  <c r="N82" i="14"/>
  <c r="Y16" i="14" s="1"/>
  <c r="O82" i="14"/>
  <c r="Y17" i="14" s="1"/>
  <c r="P82" i="14"/>
  <c r="Y18" i="14" s="1"/>
  <c r="Q82" i="14"/>
  <c r="Y19" i="14" s="1"/>
  <c r="R82" i="14"/>
  <c r="Y21" i="14" s="1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C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B105" i="22" l="1"/>
  <c r="C105" i="22" s="1"/>
  <c r="D105" i="22" s="1"/>
  <c r="AT43" i="14"/>
  <c r="W76" i="22"/>
  <c r="W77" i="22"/>
  <c r="B104" i="22"/>
  <c r="C104" i="22" s="1"/>
  <c r="D104" i="22" s="1"/>
  <c r="R84" i="14"/>
  <c r="B103" i="22"/>
  <c r="C103" i="22" s="1"/>
  <c r="D103" i="22" s="1"/>
  <c r="J138" i="22"/>
  <c r="AI24" i="21"/>
  <c r="R42" i="14"/>
  <c r="Q43" i="14"/>
  <c r="B102" i="22"/>
  <c r="C102" i="22" s="1"/>
  <c r="D102" i="22" s="1"/>
  <c r="F167" i="22"/>
  <c r="A72" i="21"/>
  <c r="R45" i="14"/>
  <c r="U5" i="14"/>
  <c r="V5" i="14"/>
  <c r="U6" i="14"/>
  <c r="V6" i="14"/>
  <c r="D43" i="14"/>
  <c r="R43" i="14" s="1"/>
  <c r="U7" i="14"/>
  <c r="V7" i="14"/>
  <c r="U8" i="14"/>
  <c r="V8" i="14"/>
  <c r="U9" i="14"/>
  <c r="V9" i="14"/>
  <c r="U10" i="14"/>
  <c r="V10" i="14"/>
  <c r="J137" i="22"/>
  <c r="R86" i="14"/>
  <c r="BC34" i="14"/>
  <c r="U11" i="14"/>
  <c r="V11" i="14"/>
  <c r="U12" i="14"/>
  <c r="V12" i="14"/>
  <c r="U13" i="14"/>
  <c r="V13" i="14"/>
  <c r="U14" i="14"/>
  <c r="V14" i="14"/>
  <c r="U15" i="14"/>
  <c r="V15" i="14"/>
  <c r="U16" i="14"/>
  <c r="V16" i="14"/>
  <c r="U17" i="14"/>
  <c r="V17" i="14"/>
  <c r="U18" i="14"/>
  <c r="U19" i="14"/>
  <c r="V19" i="14"/>
  <c r="J136" i="22"/>
  <c r="R40" i="14"/>
  <c r="R39" i="26"/>
  <c r="AW38" i="26"/>
  <c r="AT38" i="26"/>
  <c r="R38" i="26"/>
  <c r="AJ37" i="26"/>
  <c r="R37" i="26"/>
  <c r="AW36" i="26"/>
  <c r="AT36" i="26"/>
  <c r="R36" i="26"/>
  <c r="AW35" i="26"/>
  <c r="AT35" i="26"/>
  <c r="R35" i="26"/>
  <c r="AW34" i="26"/>
  <c r="AT34" i="26"/>
  <c r="R34" i="26"/>
  <c r="AW33" i="26"/>
  <c r="AT33" i="26"/>
  <c r="R33" i="26"/>
  <c r="AW32" i="26"/>
  <c r="AT32" i="26"/>
  <c r="R32" i="26"/>
  <c r="AW31" i="26"/>
  <c r="AT31" i="26"/>
  <c r="R31" i="26"/>
  <c r="AW30" i="26"/>
  <c r="AT30" i="26"/>
  <c r="R30" i="26"/>
  <c r="AW29" i="26"/>
  <c r="AT29" i="26"/>
  <c r="R29" i="26"/>
  <c r="BM28" i="26"/>
  <c r="AS37" i="26" s="1"/>
  <c r="AW28" i="26"/>
  <c r="AT28" i="26"/>
  <c r="R28" i="26"/>
  <c r="AW27" i="26"/>
  <c r="AT27" i="26"/>
  <c r="R27" i="26"/>
  <c r="BQ26" i="26"/>
  <c r="BO26" i="26"/>
  <c r="BR26" i="26" s="1"/>
  <c r="BD26" i="26"/>
  <c r="AW26" i="26"/>
  <c r="AT26" i="26"/>
  <c r="R26" i="26"/>
  <c r="BQ25" i="26"/>
  <c r="BO25" i="26"/>
  <c r="BH25" i="26"/>
  <c r="BF25" i="26"/>
  <c r="BI25" i="26" s="1"/>
  <c r="AW25" i="26"/>
  <c r="AT25" i="26"/>
  <c r="R25" i="26"/>
  <c r="BQ24" i="26"/>
  <c r="BO24" i="26"/>
  <c r="BH24" i="26"/>
  <c r="BF24" i="26"/>
  <c r="BI24" i="26" s="1"/>
  <c r="AW24" i="26"/>
  <c r="AT24" i="26"/>
  <c r="R24" i="26"/>
  <c r="BQ23" i="26"/>
  <c r="BO23" i="26"/>
  <c r="BR23" i="26" s="1"/>
  <c r="BH23" i="26"/>
  <c r="BF23" i="26"/>
  <c r="AW23" i="26"/>
  <c r="AT23" i="26"/>
  <c r="R23" i="26"/>
  <c r="BQ22" i="26"/>
  <c r="BO22" i="26"/>
  <c r="BR22" i="26" s="1"/>
  <c r="BH22" i="26"/>
  <c r="BF22" i="26"/>
  <c r="BI22" i="26" s="1"/>
  <c r="AW22" i="26"/>
  <c r="AT22" i="26"/>
  <c r="R22" i="26"/>
  <c r="BR21" i="26"/>
  <c r="BI21" i="26"/>
  <c r="AW21" i="26"/>
  <c r="AT21" i="26"/>
  <c r="R21" i="26"/>
  <c r="AW20" i="26"/>
  <c r="AT20" i="26"/>
  <c r="AA20" i="26"/>
  <c r="AA22" i="26" s="1"/>
  <c r="Z20" i="26"/>
  <c r="Z22" i="26" s="1"/>
  <c r="Y20" i="26"/>
  <c r="Y22" i="26" s="1"/>
  <c r="X20" i="26"/>
  <c r="X22" i="26" s="1"/>
  <c r="W20" i="26"/>
  <c r="W22" i="26" s="1"/>
  <c r="R20" i="26"/>
  <c r="AW19" i="26"/>
  <c r="AT19" i="26"/>
  <c r="R19" i="26"/>
  <c r="AW18" i="26"/>
  <c r="AT18" i="26"/>
  <c r="R18" i="26"/>
  <c r="BH17" i="26"/>
  <c r="AW17" i="26"/>
  <c r="AT17" i="26"/>
  <c r="R17" i="26"/>
  <c r="AW16" i="26"/>
  <c r="AT16" i="26"/>
  <c r="R16" i="26"/>
  <c r="BQ15" i="26"/>
  <c r="BQ16" i="26" s="1"/>
  <c r="AW15" i="26"/>
  <c r="AT15" i="26"/>
  <c r="R15" i="26"/>
  <c r="AW14" i="26"/>
  <c r="AT14" i="26"/>
  <c r="R14" i="26"/>
  <c r="AW13" i="26"/>
  <c r="AT13" i="26"/>
  <c r="R13" i="26"/>
  <c r="AW12" i="26"/>
  <c r="R12" i="26"/>
  <c r="AW11" i="26"/>
  <c r="R11" i="26"/>
  <c r="BM10" i="26"/>
  <c r="BL10" i="26"/>
  <c r="BD10" i="26"/>
  <c r="BC10" i="26"/>
  <c r="AW10" i="26"/>
  <c r="R10" i="26"/>
  <c r="BY9" i="26"/>
  <c r="CA9" i="26" s="1"/>
  <c r="BX9" i="26"/>
  <c r="BQ9" i="26"/>
  <c r="BO9" i="26"/>
  <c r="BR9" i="26" s="1"/>
  <c r="AW9" i="26"/>
  <c r="R9" i="26"/>
  <c r="BY8" i="26"/>
  <c r="CA8" i="26" s="1"/>
  <c r="BX8" i="26"/>
  <c r="BQ8" i="26"/>
  <c r="BO8" i="26"/>
  <c r="BR8" i="26" s="1"/>
  <c r="AW8" i="26"/>
  <c r="R8" i="26"/>
  <c r="BY7" i="26"/>
  <c r="CA7" i="26" s="1"/>
  <c r="BX7" i="26"/>
  <c r="BQ7" i="26"/>
  <c r="BO7" i="26"/>
  <c r="BR7" i="26" s="1"/>
  <c r="AW7" i="26"/>
  <c r="R7" i="26"/>
  <c r="BY6" i="26"/>
  <c r="CA6" i="26" s="1"/>
  <c r="BX6" i="26"/>
  <c r="BQ6" i="26"/>
  <c r="BO6" i="26"/>
  <c r="BR6" i="26" s="1"/>
  <c r="AW6" i="26"/>
  <c r="R6" i="26"/>
  <c r="BY5" i="26"/>
  <c r="CA5" i="26" s="1"/>
  <c r="BX5" i="26"/>
  <c r="BQ5" i="26"/>
  <c r="BO5" i="26"/>
  <c r="BR5" i="26" s="1"/>
  <c r="AW5" i="26"/>
  <c r="AT5" i="26"/>
  <c r="R5" i="26"/>
  <c r="BY4" i="26"/>
  <c r="CA4" i="26" s="1"/>
  <c r="BV4" i="26"/>
  <c r="BX4" i="26" s="1"/>
  <c r="BQ4" i="26"/>
  <c r="BQ10" i="26" s="1"/>
  <c r="BO4" i="26"/>
  <c r="BO10" i="26" s="1"/>
  <c r="BH4" i="26"/>
  <c r="BH10" i="26" s="1"/>
  <c r="BF4" i="26"/>
  <c r="BF10" i="26" s="1"/>
  <c r="AW4" i="26"/>
  <c r="AT4" i="26"/>
  <c r="R4" i="26"/>
  <c r="CA3" i="26"/>
  <c r="BR3" i="26"/>
  <c r="BI3" i="26"/>
  <c r="BR25" i="26" l="1"/>
  <c r="BQ28" i="26"/>
  <c r="AX37" i="26" s="1"/>
  <c r="BD28" i="26"/>
  <c r="BH26" i="26"/>
  <c r="BH28" i="26" s="1"/>
  <c r="R41" i="14"/>
  <c r="V18" i="14"/>
  <c r="V4" i="14" s="1"/>
  <c r="BO28" i="26"/>
  <c r="AU37" i="26" s="1"/>
  <c r="BR4" i="26"/>
  <c r="BR10" i="26" s="1"/>
  <c r="BR13" i="26" s="1"/>
  <c r="BI23" i="26"/>
  <c r="BR24" i="26"/>
  <c r="BI4" i="26"/>
  <c r="BI10" i="26" s="1"/>
  <c r="BI13" i="26" s="1"/>
  <c r="BF26" i="26"/>
  <c r="BF28" i="26" s="1"/>
  <c r="H135" i="22"/>
  <c r="G135" i="22"/>
  <c r="F135" i="22"/>
  <c r="B135" i="22"/>
  <c r="A135" i="22"/>
  <c r="C118" i="22"/>
  <c r="A118" i="22"/>
  <c r="BR28" i="26" l="1"/>
  <c r="BR31" i="26" s="1"/>
  <c r="BI26" i="26"/>
  <c r="BI28" i="26" s="1"/>
  <c r="BI31" i="26" s="1"/>
  <c r="AT37" i="26"/>
  <c r="AW37" i="26"/>
  <c r="J135" i="22"/>
  <c r="C117" i="22" l="1"/>
  <c r="A117" i="22"/>
  <c r="S51" i="22"/>
  <c r="S50" i="22"/>
  <c r="S49" i="22"/>
  <c r="W49" i="22" s="1"/>
  <c r="S48" i="22"/>
  <c r="W48" i="22" s="1"/>
  <c r="S47" i="22"/>
  <c r="W47" i="22" s="1"/>
  <c r="S46" i="22"/>
  <c r="W46" i="22" s="1"/>
  <c r="S45" i="22"/>
  <c r="W45" i="22" s="1"/>
  <c r="A100" i="22"/>
  <c r="A99" i="22"/>
  <c r="Z5" i="14"/>
  <c r="AB24" i="21"/>
  <c r="AA33" i="21"/>
  <c r="AA5" i="21"/>
  <c r="AA37" i="21" s="1"/>
  <c r="AB34" i="21"/>
  <c r="AB33" i="21"/>
  <c r="B100" i="22" l="1"/>
  <c r="AH20" i="14"/>
  <c r="AH22" i="14" s="1"/>
  <c r="C100" i="22" l="1"/>
  <c r="D100" i="22" s="1"/>
  <c r="G166" i="22"/>
  <c r="F166" i="22"/>
  <c r="B134" i="22"/>
  <c r="H134" i="22"/>
  <c r="G134" i="22"/>
  <c r="F134" i="22"/>
  <c r="A134" i="22"/>
  <c r="J134" i="22" l="1"/>
  <c r="S44" i="22" l="1"/>
  <c r="S43" i="22"/>
  <c r="S42" i="22"/>
  <c r="W42" i="22" s="1"/>
  <c r="S41" i="22"/>
  <c r="W41" i="22" s="1"/>
  <c r="S40" i="22"/>
  <c r="W40" i="22" s="1"/>
  <c r="S39" i="22"/>
  <c r="W39" i="22" s="1"/>
  <c r="S38" i="22"/>
  <c r="W38" i="22" s="1"/>
  <c r="W33" i="21" l="1"/>
  <c r="W5" i="21"/>
  <c r="X24" i="21"/>
  <c r="W7" i="21"/>
  <c r="A50" i="21" s="1"/>
  <c r="X34" i="21"/>
  <c r="X33" i="21"/>
  <c r="W37" i="21" l="1"/>
  <c r="T24" i="21"/>
  <c r="W24" i="21"/>
  <c r="S24" i="21"/>
  <c r="B99" i="22" l="1"/>
  <c r="C99" i="22" s="1"/>
  <c r="D99" i="22" s="1"/>
  <c r="AA24" i="21"/>
  <c r="G5" i="21"/>
  <c r="G37" i="21" s="1"/>
  <c r="B95" i="22" s="1"/>
  <c r="G71" i="25"/>
  <c r="G27" i="25"/>
  <c r="G28" i="25" s="1"/>
  <c r="C95" i="22" l="1"/>
  <c r="G29" i="25"/>
  <c r="G31" i="25" s="1"/>
  <c r="D95" i="22" l="1"/>
  <c r="E161" i="22"/>
  <c r="H133" i="22"/>
  <c r="G133" i="22"/>
  <c r="B133" i="22"/>
  <c r="F133" i="22"/>
  <c r="A133" i="22"/>
  <c r="F132" i="22"/>
  <c r="F131" i="22"/>
  <c r="F130" i="22"/>
  <c r="F129" i="22"/>
  <c r="A132" i="22"/>
  <c r="A131" i="22"/>
  <c r="A130" i="22"/>
  <c r="A129" i="22"/>
  <c r="C116" i="22"/>
  <c r="A116" i="22"/>
  <c r="A115" i="22"/>
  <c r="A114" i="22"/>
  <c r="A113" i="22"/>
  <c r="A112" i="22"/>
  <c r="A98" i="22"/>
  <c r="S37" i="22" l="1"/>
  <c r="S36" i="22"/>
  <c r="S35" i="22"/>
  <c r="W35" i="22" s="1"/>
  <c r="S34" i="22"/>
  <c r="W34" i="22" s="1"/>
  <c r="S33" i="22"/>
  <c r="W33" i="22" s="1"/>
  <c r="S32" i="22"/>
  <c r="W32" i="22" s="1"/>
  <c r="S31" i="22"/>
  <c r="W31" i="22" s="1"/>
  <c r="S5" i="21"/>
  <c r="S37" i="21" s="1"/>
  <c r="S33" i="21"/>
  <c r="AP34" i="14"/>
  <c r="AJ25" i="14" l="1"/>
  <c r="AJ24" i="14"/>
  <c r="AJ26" i="14"/>
  <c r="BS28" i="14"/>
  <c r="BW26" i="14"/>
  <c r="BU26" i="14"/>
  <c r="BJ26" i="14"/>
  <c r="BJ28" i="14" s="1"/>
  <c r="BW25" i="14"/>
  <c r="BU25" i="14"/>
  <c r="BN25" i="14"/>
  <c r="BL25" i="14"/>
  <c r="BW24" i="14"/>
  <c r="BU24" i="14"/>
  <c r="BN24" i="14"/>
  <c r="BL24" i="14"/>
  <c r="BW23" i="14"/>
  <c r="BU23" i="14"/>
  <c r="BN23" i="14"/>
  <c r="BL23" i="14"/>
  <c r="BW22" i="14"/>
  <c r="BU22" i="14"/>
  <c r="BN22" i="14"/>
  <c r="BL22" i="14"/>
  <c r="BX21" i="14"/>
  <c r="BO21" i="14"/>
  <c r="BN17" i="14"/>
  <c r="BW15" i="14"/>
  <c r="BW16" i="14" s="1"/>
  <c r="BS10" i="14"/>
  <c r="BR10" i="14"/>
  <c r="BJ10" i="14"/>
  <c r="BI10" i="14"/>
  <c r="BW9" i="14"/>
  <c r="BU9" i="14"/>
  <c r="BW8" i="14"/>
  <c r="BU8" i="14"/>
  <c r="BW7" i="14"/>
  <c r="BU7" i="14"/>
  <c r="BW6" i="14"/>
  <c r="BU6" i="14"/>
  <c r="BW5" i="14"/>
  <c r="BU5" i="14"/>
  <c r="BW4" i="14"/>
  <c r="BU4" i="14"/>
  <c r="BN4" i="14"/>
  <c r="BN10" i="14" s="1"/>
  <c r="BL4" i="14"/>
  <c r="BL10" i="14" s="1"/>
  <c r="BX3" i="14"/>
  <c r="BO3" i="14"/>
  <c r="BX5" i="14" l="1"/>
  <c r="BX7" i="14"/>
  <c r="BX24" i="14"/>
  <c r="BX4" i="14"/>
  <c r="BO22" i="14"/>
  <c r="BO23" i="14"/>
  <c r="BO24" i="14"/>
  <c r="BO25" i="14"/>
  <c r="W21" i="14"/>
  <c r="BX8" i="14"/>
  <c r="BX25" i="14"/>
  <c r="BW10" i="14"/>
  <c r="BX6" i="14"/>
  <c r="BO4" i="14"/>
  <c r="BO10" i="14" s="1"/>
  <c r="BO13" i="14" s="1"/>
  <c r="BX9" i="14"/>
  <c r="BW28" i="14"/>
  <c r="BX23" i="14"/>
  <c r="BX26" i="14"/>
  <c r="BX22" i="14"/>
  <c r="BU28" i="14"/>
  <c r="BL26" i="14"/>
  <c r="BL28" i="14" s="1"/>
  <c r="BU10" i="14"/>
  <c r="BN26" i="14"/>
  <c r="BN28" i="14" s="1"/>
  <c r="Z21" i="14"/>
  <c r="BX10" i="14" l="1"/>
  <c r="BX13" i="14" s="1"/>
  <c r="BX28" i="14"/>
  <c r="BX31" i="14" s="1"/>
  <c r="BO26" i="14"/>
  <c r="BO28" i="14" s="1"/>
  <c r="BO31" i="14" s="1"/>
  <c r="A17" i="10" l="1"/>
  <c r="C162" i="14" l="1"/>
  <c r="T33" i="21" l="1"/>
  <c r="T34" i="21" l="1"/>
  <c r="B98" i="22" l="1"/>
  <c r="A43" i="10"/>
  <c r="E48" i="10"/>
  <c r="G179" i="22"/>
  <c r="G164" i="22"/>
  <c r="G163" i="22"/>
  <c r="G162" i="22"/>
  <c r="F163" i="22"/>
  <c r="F162" i="22"/>
  <c r="I130" i="22"/>
  <c r="H132" i="22"/>
  <c r="H131" i="22"/>
  <c r="H130" i="22"/>
  <c r="H129" i="22"/>
  <c r="C129" i="22" l="1"/>
  <c r="E162" i="22"/>
  <c r="J161" i="22"/>
  <c r="O5" i="21"/>
  <c r="O37" i="21" s="1"/>
  <c r="B97" i="22" s="1"/>
  <c r="K5" i="21"/>
  <c r="K37" i="21" s="1"/>
  <c r="B96" i="22" s="1"/>
  <c r="C5" i="21"/>
  <c r="C112" i="22"/>
  <c r="C113" i="22"/>
  <c r="C114" i="22"/>
  <c r="C115" i="22"/>
  <c r="B129" i="22"/>
  <c r="G129" i="22"/>
  <c r="B130" i="22"/>
  <c r="G130" i="22"/>
  <c r="J130" i="22" s="1"/>
  <c r="B131" i="22"/>
  <c r="G131" i="22"/>
  <c r="B132" i="22"/>
  <c r="G132" i="22"/>
  <c r="J132" i="22" s="1"/>
  <c r="E179" i="22"/>
  <c r="R8" i="22"/>
  <c r="S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S29" i="22"/>
  <c r="S28" i="22"/>
  <c r="W28" i="22" s="1"/>
  <c r="S27" i="22"/>
  <c r="W27" i="22" s="1"/>
  <c r="S26" i="22"/>
  <c r="W26" i="22" s="1"/>
  <c r="S25" i="22"/>
  <c r="W25" i="22" s="1"/>
  <c r="S24" i="22"/>
  <c r="W24" i="22" s="1"/>
  <c r="S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S22" i="22"/>
  <c r="S21" i="22"/>
  <c r="W21" i="22" s="1"/>
  <c r="S20" i="22"/>
  <c r="W20" i="22" s="1"/>
  <c r="S19" i="22"/>
  <c r="W19" i="22" s="1"/>
  <c r="S18" i="22"/>
  <c r="W18" i="22" s="1"/>
  <c r="S17" i="22"/>
  <c r="W17" i="22" s="1"/>
  <c r="S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S15" i="22"/>
  <c r="S14" i="22"/>
  <c r="W14" i="22" s="1"/>
  <c r="S13" i="22"/>
  <c r="W13" i="22" s="1"/>
  <c r="S12" i="22"/>
  <c r="W12" i="22" s="1"/>
  <c r="S11" i="22"/>
  <c r="W11" i="22" s="1"/>
  <c r="S10" i="22"/>
  <c r="W10" i="22" s="1"/>
  <c r="S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S8" i="22"/>
  <c r="S7" i="22"/>
  <c r="W7" i="22" s="1"/>
  <c r="S6" i="22"/>
  <c r="W6" i="22" s="1"/>
  <c r="S5" i="22"/>
  <c r="W5" i="22" s="1"/>
  <c r="S4" i="22"/>
  <c r="W4" i="22" s="1"/>
  <c r="S3" i="22"/>
  <c r="W3" i="22" s="1"/>
  <c r="C97" i="22" l="1"/>
  <c r="C96" i="22"/>
  <c r="C37" i="21"/>
  <c r="B94" i="22" s="1"/>
  <c r="W8" i="22"/>
  <c r="K161" i="22"/>
  <c r="W161" i="22" s="1"/>
  <c r="D112" i="22"/>
  <c r="G112" i="22" s="1"/>
  <c r="J133" i="22"/>
  <c r="D129" i="22"/>
  <c r="C162" i="22"/>
  <c r="J129" i="22"/>
  <c r="J131" i="22"/>
  <c r="R9" i="22"/>
  <c r="W9" i="22" s="1"/>
  <c r="B113" i="22" l="1"/>
  <c r="D113" i="22" s="1"/>
  <c r="G113" i="22" s="1"/>
  <c r="B114" i="22" s="1"/>
  <c r="D114" i="22" s="1"/>
  <c r="W112" i="22"/>
  <c r="D97" i="22"/>
  <c r="D96" i="22"/>
  <c r="C94" i="22"/>
  <c r="W129" i="22"/>
  <c r="W113" i="22"/>
  <c r="E145" i="14"/>
  <c r="H24" i="21"/>
  <c r="P24" i="21"/>
  <c r="L24" i="21"/>
  <c r="D24" i="21"/>
  <c r="A48" i="21"/>
  <c r="D94" i="22" l="1"/>
  <c r="F94" i="22" s="1"/>
  <c r="W94" i="22" s="1"/>
  <c r="G114" i="22"/>
  <c r="P34" i="21"/>
  <c r="L34" i="21"/>
  <c r="H34" i="21"/>
  <c r="G34" i="21"/>
  <c r="E95" i="22" s="1"/>
  <c r="D34" i="21"/>
  <c r="P33" i="21"/>
  <c r="L33" i="21"/>
  <c r="H33" i="21"/>
  <c r="D33" i="21"/>
  <c r="O27" i="21"/>
  <c r="A70" i="21" s="1"/>
  <c r="B162" i="14"/>
  <c r="Y20" i="14"/>
  <c r="B115" i="22" l="1"/>
  <c r="D115" i="22" s="1"/>
  <c r="W114" i="22"/>
  <c r="F95" i="22"/>
  <c r="W95" i="22" s="1"/>
  <c r="F164" i="22"/>
  <c r="E163" i="22"/>
  <c r="R15" i="22"/>
  <c r="W15" i="22" s="1"/>
  <c r="R16" i="22"/>
  <c r="W16" i="22" s="1"/>
  <c r="K34" i="21"/>
  <c r="E96" i="22" s="1"/>
  <c r="F96" i="22" s="1"/>
  <c r="W96" i="22" s="1"/>
  <c r="G115" i="22" l="1"/>
  <c r="E164" i="22"/>
  <c r="R22" i="22"/>
  <c r="W22" i="22" s="1"/>
  <c r="R23" i="22"/>
  <c r="W23" i="22" s="1"/>
  <c r="J162" i="22"/>
  <c r="C130" i="22"/>
  <c r="H178" i="22"/>
  <c r="O34" i="21"/>
  <c r="E97" i="22" s="1"/>
  <c r="U20" i="14"/>
  <c r="U22" i="14" s="1"/>
  <c r="Z4" i="14"/>
  <c r="G245" i="14"/>
  <c r="B116" i="22" l="1"/>
  <c r="D116" i="22" s="1"/>
  <c r="W115" i="22"/>
  <c r="F97" i="22"/>
  <c r="W97" i="22" s="1"/>
  <c r="G116" i="22"/>
  <c r="K162" i="22"/>
  <c r="W162" i="22" s="1"/>
  <c r="D130" i="22"/>
  <c r="W130" i="22" s="1"/>
  <c r="F179" i="22"/>
  <c r="W178" i="22"/>
  <c r="S34" i="21"/>
  <c r="R29" i="22"/>
  <c r="W29" i="22" s="1"/>
  <c r="D48" i="10"/>
  <c r="D145" i="14"/>
  <c r="C163" i="22"/>
  <c r="E165" i="22"/>
  <c r="R30" i="22"/>
  <c r="W30" i="22" s="1"/>
  <c r="C131" i="22"/>
  <c r="H179" i="22"/>
  <c r="W4" i="14"/>
  <c r="V20" i="14"/>
  <c r="V22" i="14" s="1"/>
  <c r="B117" i="22" l="1"/>
  <c r="D117" i="22" s="1"/>
  <c r="W116" i="22"/>
  <c r="W179" i="22"/>
  <c r="D131" i="22"/>
  <c r="W131" i="22" s="1"/>
  <c r="E98" i="22"/>
  <c r="W34" i="21"/>
  <c r="B48" i="10"/>
  <c r="B145" i="14"/>
  <c r="C132" i="22"/>
  <c r="J163" i="22"/>
  <c r="G27" i="10"/>
  <c r="AU38" i="21" s="1"/>
  <c r="AQ38" i="21" l="1"/>
  <c r="G117" i="22"/>
  <c r="K163" i="22"/>
  <c r="W163" i="22"/>
  <c r="E99" i="22"/>
  <c r="AA34" i="21"/>
  <c r="C133" i="22"/>
  <c r="E166" i="22"/>
  <c r="R36" i="22"/>
  <c r="W36" i="22" s="1"/>
  <c r="R37" i="22"/>
  <c r="W37" i="22" s="1"/>
  <c r="G28" i="10"/>
  <c r="G29" i="10" s="1"/>
  <c r="C164" i="22"/>
  <c r="D132" i="22"/>
  <c r="W132" i="22" s="1"/>
  <c r="B118" i="22" l="1"/>
  <c r="W117" i="22"/>
  <c r="D118" i="22"/>
  <c r="D133" i="22"/>
  <c r="W133" i="22" s="1"/>
  <c r="R43" i="22"/>
  <c r="W43" i="22" s="1"/>
  <c r="R44" i="22"/>
  <c r="W44" i="22" s="1"/>
  <c r="F99" i="22"/>
  <c r="W99" i="22" s="1"/>
  <c r="E100" i="22"/>
  <c r="AE34" i="21"/>
  <c r="AI34" i="21" s="1"/>
  <c r="AM34" i="21" s="1"/>
  <c r="C134" i="22"/>
  <c r="J164" i="22"/>
  <c r="CE9" i="14"/>
  <c r="CG9" i="14" s="1"/>
  <c r="CD9" i="14"/>
  <c r="G249" i="14"/>
  <c r="G250" i="14" s="1"/>
  <c r="AA235" i="14"/>
  <c r="AA230" i="14"/>
  <c r="AA227" i="14"/>
  <c r="AA226" i="14"/>
  <c r="AA225" i="14"/>
  <c r="G225" i="14"/>
  <c r="G113" i="14" s="1"/>
  <c r="AB225" i="14" s="1"/>
  <c r="AA224" i="14"/>
  <c r="AA223" i="14"/>
  <c r="AA222" i="14"/>
  <c r="AA221" i="14"/>
  <c r="AA220" i="14"/>
  <c r="AA219" i="14"/>
  <c r="AA218" i="14"/>
  <c r="A218" i="14"/>
  <c r="AA217" i="14"/>
  <c r="AA216" i="14"/>
  <c r="AA215" i="14"/>
  <c r="G215" i="14"/>
  <c r="G103" i="14" s="1"/>
  <c r="AB215" i="14" s="1"/>
  <c r="AA214" i="14"/>
  <c r="G190" i="14"/>
  <c r="Z19" i="14"/>
  <c r="AA19" i="14" s="1"/>
  <c r="W19" i="14"/>
  <c r="AT44" i="14" s="1"/>
  <c r="Z18" i="14"/>
  <c r="AA18" i="14" s="1"/>
  <c r="W18" i="14"/>
  <c r="Z17" i="14"/>
  <c r="AA17" i="14" s="1"/>
  <c r="W17" i="14"/>
  <c r="Z16" i="14"/>
  <c r="AA16" i="14" s="1"/>
  <c r="W16" i="14"/>
  <c r="Z15" i="14"/>
  <c r="AA15" i="14" s="1"/>
  <c r="W15" i="14"/>
  <c r="V154" i="14"/>
  <c r="U154" i="14"/>
  <c r="Z14" i="14"/>
  <c r="AA14" i="14" s="1"/>
  <c r="W14" i="14"/>
  <c r="Z13" i="14"/>
  <c r="AA13" i="14" s="1"/>
  <c r="W13" i="14"/>
  <c r="Z12" i="14"/>
  <c r="AA12" i="14" s="1"/>
  <c r="W12" i="14"/>
  <c r="Z11" i="14"/>
  <c r="AA11" i="14" s="1"/>
  <c r="W11" i="14"/>
  <c r="Z10" i="14"/>
  <c r="AA10" i="14" s="1"/>
  <c r="W10" i="14"/>
  <c r="Z9" i="14"/>
  <c r="AA9" i="14" s="1"/>
  <c r="W9" i="14"/>
  <c r="Z8" i="14"/>
  <c r="AA8" i="14" s="1"/>
  <c r="W8" i="14"/>
  <c r="Z7" i="14"/>
  <c r="AA7" i="14" s="1"/>
  <c r="W7" i="14"/>
  <c r="Z6" i="14"/>
  <c r="AA5" i="14" s="1"/>
  <c r="W6" i="14"/>
  <c r="W5" i="14"/>
  <c r="G122" i="14"/>
  <c r="G121" i="14"/>
  <c r="G120" i="14"/>
  <c r="G119" i="14"/>
  <c r="G118" i="14"/>
  <c r="G117" i="14"/>
  <c r="G116" i="14"/>
  <c r="AB230" i="14" s="1"/>
  <c r="G115" i="14"/>
  <c r="G114" i="14"/>
  <c r="AB226" i="14" s="1"/>
  <c r="G112" i="14"/>
  <c r="AB224" i="14" s="1"/>
  <c r="G111" i="14"/>
  <c r="AB223" i="14" s="1"/>
  <c r="G110" i="14"/>
  <c r="AB222" i="14" s="1"/>
  <c r="G109" i="14"/>
  <c r="AB221" i="14" s="1"/>
  <c r="G108" i="14"/>
  <c r="AB220" i="14" s="1"/>
  <c r="G107" i="14"/>
  <c r="AB219" i="14" s="1"/>
  <c r="G105" i="14"/>
  <c r="AB217" i="14" s="1"/>
  <c r="G104" i="14"/>
  <c r="AB216" i="14" s="1"/>
  <c r="G102" i="14"/>
  <c r="AB214" i="14" s="1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O24" i="21"/>
  <c r="K24" i="21"/>
  <c r="G24" i="21"/>
  <c r="C24" i="21"/>
  <c r="A67" i="21" s="1"/>
  <c r="AT42" i="14" l="1"/>
  <c r="R50" i="22"/>
  <c r="W50" i="22" s="1"/>
  <c r="F100" i="22"/>
  <c r="W100" i="22" s="1"/>
  <c r="R51" i="22"/>
  <c r="W51" i="22" s="1"/>
  <c r="C135" i="22"/>
  <c r="D135" i="22" s="1"/>
  <c r="W135" i="22" s="1"/>
  <c r="E103" i="22"/>
  <c r="AQ34" i="21"/>
  <c r="AT41" i="14"/>
  <c r="R71" i="22"/>
  <c r="W71" i="22" s="1"/>
  <c r="C138" i="22"/>
  <c r="F103" i="22"/>
  <c r="R72" i="22"/>
  <c r="W72" i="22" s="1"/>
  <c r="E170" i="22"/>
  <c r="G118" i="22"/>
  <c r="B119" i="22" s="1"/>
  <c r="D119" i="22" s="1"/>
  <c r="W118" i="22"/>
  <c r="E102" i="22"/>
  <c r="R64" i="22" s="1"/>
  <c r="W64" i="22" s="1"/>
  <c r="E167" i="22"/>
  <c r="D134" i="22"/>
  <c r="W134" i="22" s="1"/>
  <c r="E101" i="22"/>
  <c r="C136" i="22" s="1"/>
  <c r="G191" i="14"/>
  <c r="C98" i="22"/>
  <c r="C165" i="22"/>
  <c r="K164" i="22"/>
  <c r="W164" i="22" s="1"/>
  <c r="D49" i="10"/>
  <c r="D146" i="14"/>
  <c r="B53" i="10"/>
  <c r="B150" i="14"/>
  <c r="B59" i="10"/>
  <c r="B156" i="14"/>
  <c r="D51" i="10"/>
  <c r="D148" i="14"/>
  <c r="D55" i="10"/>
  <c r="D152" i="14"/>
  <c r="D61" i="10"/>
  <c r="D158" i="14"/>
  <c r="B50" i="10"/>
  <c r="B147" i="14"/>
  <c r="B52" i="10"/>
  <c r="B149" i="14"/>
  <c r="B54" i="10"/>
  <c r="B151" i="14"/>
  <c r="B56" i="10"/>
  <c r="B153" i="14"/>
  <c r="B58" i="10"/>
  <c r="B155" i="14"/>
  <c r="B60" i="10"/>
  <c r="B157" i="14"/>
  <c r="B62" i="10"/>
  <c r="B159" i="14"/>
  <c r="B51" i="10"/>
  <c r="B148" i="14"/>
  <c r="B55" i="10"/>
  <c r="B152" i="14"/>
  <c r="B57" i="10"/>
  <c r="B154" i="14"/>
  <c r="B61" i="10"/>
  <c r="B158" i="14"/>
  <c r="B49" i="10"/>
  <c r="B146" i="14"/>
  <c r="D53" i="10"/>
  <c r="D150" i="14"/>
  <c r="D57" i="10"/>
  <c r="D154" i="14"/>
  <c r="D59" i="10"/>
  <c r="D156" i="14"/>
  <c r="D50" i="10"/>
  <c r="D147" i="14"/>
  <c r="D52" i="10"/>
  <c r="D149" i="14"/>
  <c r="D54" i="10"/>
  <c r="D151" i="14"/>
  <c r="D56" i="10"/>
  <c r="D153" i="14"/>
  <c r="D58" i="10"/>
  <c r="D155" i="14"/>
  <c r="D60" i="10"/>
  <c r="D157" i="14"/>
  <c r="D62" i="10"/>
  <c r="D159" i="14"/>
  <c r="W20" i="14"/>
  <c r="W22" i="14" s="1"/>
  <c r="Z20" i="14"/>
  <c r="G218" i="14"/>
  <c r="G189" i="14"/>
  <c r="AB227" i="14"/>
  <c r="E104" i="22" l="1"/>
  <c r="AU34" i="21"/>
  <c r="AR43" i="14"/>
  <c r="AR44" i="14"/>
  <c r="R78" i="22"/>
  <c r="W78" i="22" s="1"/>
  <c r="R79" i="22"/>
  <c r="W79" i="22" s="1"/>
  <c r="E171" i="22"/>
  <c r="R65" i="22"/>
  <c r="W65" i="22" s="1"/>
  <c r="F102" i="22"/>
  <c r="B24" i="20"/>
  <c r="D138" i="22"/>
  <c r="C137" i="22"/>
  <c r="D137" i="22" s="1"/>
  <c r="E169" i="22"/>
  <c r="AT40" i="14"/>
  <c r="AT38" i="14"/>
  <c r="AT37" i="14"/>
  <c r="AT34" i="14"/>
  <c r="G119" i="22"/>
  <c r="W119" i="22" s="1"/>
  <c r="D98" i="22"/>
  <c r="F98" i="22" s="1"/>
  <c r="W98" i="22" s="1"/>
  <c r="AR40" i="14"/>
  <c r="AR41" i="14"/>
  <c r="AR38" i="14"/>
  <c r="AR37" i="14"/>
  <c r="AR42" i="14"/>
  <c r="AR34" i="14"/>
  <c r="AR39" i="14"/>
  <c r="R58" i="22"/>
  <c r="W58" i="22" s="1"/>
  <c r="R57" i="22"/>
  <c r="W57" i="22" s="1"/>
  <c r="E168" i="22"/>
  <c r="G192" i="14"/>
  <c r="D136" i="22"/>
  <c r="W136" i="22" s="1"/>
  <c r="AE37" i="21"/>
  <c r="K33" i="21"/>
  <c r="J165" i="22"/>
  <c r="C48" i="10"/>
  <c r="C145" i="14"/>
  <c r="G106" i="14" s="1"/>
  <c r="G123" i="14" s="1"/>
  <c r="G124" i="14" s="1"/>
  <c r="G125" i="14" s="1"/>
  <c r="G127" i="14" s="1"/>
  <c r="Z22" i="14"/>
  <c r="D162" i="14"/>
  <c r="Y22" i="14"/>
  <c r="X20" i="14"/>
  <c r="C49" i="10"/>
  <c r="C146" i="14"/>
  <c r="E53" i="10"/>
  <c r="E150" i="14"/>
  <c r="E49" i="10"/>
  <c r="E146" i="14"/>
  <c r="AA20" i="14"/>
  <c r="E162" i="14" s="1"/>
  <c r="E51" i="10"/>
  <c r="E148" i="14"/>
  <c r="E58" i="10"/>
  <c r="E155" i="14"/>
  <c r="E50" i="10"/>
  <c r="E147" i="14"/>
  <c r="E57" i="10"/>
  <c r="E154" i="14"/>
  <c r="C62" i="10"/>
  <c r="C159" i="14"/>
  <c r="E60" i="10"/>
  <c r="E157" i="14"/>
  <c r="E52" i="10"/>
  <c r="E149" i="14"/>
  <c r="E59" i="10"/>
  <c r="E156" i="14"/>
  <c r="C51" i="10"/>
  <c r="C148" i="14"/>
  <c r="C56" i="10"/>
  <c r="C153" i="14"/>
  <c r="E61" i="10"/>
  <c r="E158" i="14"/>
  <c r="C59" i="10"/>
  <c r="C156" i="14"/>
  <c r="D161" i="14"/>
  <c r="E56" i="10"/>
  <c r="E153" i="14"/>
  <c r="C57" i="10"/>
  <c r="C154" i="14"/>
  <c r="C60" i="10"/>
  <c r="C157" i="14"/>
  <c r="C52" i="10"/>
  <c r="C149" i="14"/>
  <c r="C61" i="10"/>
  <c r="C158" i="14"/>
  <c r="C54" i="10"/>
  <c r="C151" i="14"/>
  <c r="E55" i="10"/>
  <c r="E152" i="14"/>
  <c r="C53" i="10"/>
  <c r="C150" i="14"/>
  <c r="E62" i="10"/>
  <c r="E159" i="14"/>
  <c r="E54" i="10"/>
  <c r="E151" i="14"/>
  <c r="B161" i="14"/>
  <c r="B163" i="14" s="1"/>
  <c r="C55" i="10"/>
  <c r="C152" i="14"/>
  <c r="C58" i="10"/>
  <c r="C155" i="14"/>
  <c r="C50" i="10"/>
  <c r="C147" i="14"/>
  <c r="A77" i="21" l="1"/>
  <c r="E105" i="22"/>
  <c r="F104" i="22"/>
  <c r="C139" i="22"/>
  <c r="D139" i="22"/>
  <c r="W138" i="22"/>
  <c r="AT39" i="14"/>
  <c r="A80" i="21"/>
  <c r="B120" i="22"/>
  <c r="G33" i="21"/>
  <c r="O33" i="21"/>
  <c r="W137" i="22"/>
  <c r="B101" i="22"/>
  <c r="X22" i="14"/>
  <c r="K165" i="22"/>
  <c r="W165" i="22" s="1"/>
  <c r="C166" i="22"/>
  <c r="G129" i="14"/>
  <c r="AB218" i="14"/>
  <c r="D163" i="14"/>
  <c r="E161" i="14"/>
  <c r="E163" i="14" s="1"/>
  <c r="G235" i="14"/>
  <c r="G236" i="14" s="1"/>
  <c r="C161" i="14"/>
  <c r="C163" i="14" s="1"/>
  <c r="F105" i="22" l="1"/>
  <c r="R85" i="22"/>
  <c r="W85" i="22" s="1"/>
  <c r="R86" i="22"/>
  <c r="W86" i="22" s="1"/>
  <c r="F91" i="22"/>
  <c r="E172" i="22"/>
  <c r="G69" i="10" s="1"/>
  <c r="C140" i="22"/>
  <c r="W103" i="22"/>
  <c r="W104" i="22"/>
  <c r="W139" i="22"/>
  <c r="C33" i="21"/>
  <c r="A76" i="21" s="1"/>
  <c r="D120" i="22"/>
  <c r="G120" i="22" s="1"/>
  <c r="W120" i="22" s="1"/>
  <c r="W102" i="22"/>
  <c r="C101" i="22"/>
  <c r="D101" i="22" s="1"/>
  <c r="J166" i="22"/>
  <c r="AB235" i="14"/>
  <c r="F147" i="14" l="1"/>
  <c r="H147" i="14" s="1"/>
  <c r="G147" i="14" s="1"/>
  <c r="F149" i="14"/>
  <c r="H149" i="14" s="1"/>
  <c r="G149" i="14" s="1"/>
  <c r="F151" i="14"/>
  <c r="H151" i="14" s="1"/>
  <c r="G151" i="14" s="1"/>
  <c r="F153" i="14"/>
  <c r="H153" i="14" s="1"/>
  <c r="G153" i="14" s="1"/>
  <c r="F154" i="14"/>
  <c r="F156" i="14"/>
  <c r="H156" i="14" s="1"/>
  <c r="G156" i="14" s="1"/>
  <c r="F157" i="14"/>
  <c r="H157" i="14" s="1"/>
  <c r="G157" i="14" s="1"/>
  <c r="F158" i="14"/>
  <c r="H158" i="14" s="1"/>
  <c r="G158" i="14" s="1"/>
  <c r="Q158" i="14" s="1"/>
  <c r="F146" i="14"/>
  <c r="H146" i="14" s="1"/>
  <c r="G146" i="14" s="1"/>
  <c r="Q146" i="14" s="1"/>
  <c r="F148" i="14"/>
  <c r="H148" i="14" s="1"/>
  <c r="G148" i="14" s="1"/>
  <c r="F150" i="14"/>
  <c r="H150" i="14" s="1"/>
  <c r="G150" i="14" s="1"/>
  <c r="F152" i="14"/>
  <c r="H152" i="14" s="1"/>
  <c r="F155" i="14"/>
  <c r="H155" i="14" s="1"/>
  <c r="G155" i="14" s="1"/>
  <c r="F159" i="14"/>
  <c r="H159" i="14" s="1"/>
  <c r="G159" i="14" s="1"/>
  <c r="G30" i="10"/>
  <c r="G31" i="10" s="1"/>
  <c r="N105" i="22" s="1"/>
  <c r="W105" i="22" s="1"/>
  <c r="G160" i="14"/>
  <c r="H160" i="14" s="1"/>
  <c r="W91" i="22"/>
  <c r="D140" i="22"/>
  <c r="E153" i="22"/>
  <c r="B121" i="22"/>
  <c r="D121" i="22" s="1"/>
  <c r="F101" i="22"/>
  <c r="W101" i="22" s="1"/>
  <c r="G152" i="14"/>
  <c r="K166" i="22"/>
  <c r="W166" i="22" s="1"/>
  <c r="C167" i="22"/>
  <c r="H262" i="14"/>
  <c r="C263" i="14" s="1"/>
  <c r="H263" i="14" s="1"/>
  <c r="C264" i="14" s="1"/>
  <c r="H264" i="14" s="1"/>
  <c r="D257" i="14"/>
  <c r="D256" i="14"/>
  <c r="D255" i="14"/>
  <c r="CE8" i="14"/>
  <c r="CG8" i="14" s="1"/>
  <c r="CD8" i="14"/>
  <c r="CE7" i="14"/>
  <c r="CG7" i="14" s="1"/>
  <c r="CD7" i="14"/>
  <c r="CE6" i="14"/>
  <c r="CG6" i="14" s="1"/>
  <c r="CD6" i="14"/>
  <c r="CE5" i="14"/>
  <c r="CG5" i="14" s="1"/>
  <c r="CD5" i="14"/>
  <c r="CE4" i="14"/>
  <c r="CG4" i="14" s="1"/>
  <c r="CB4" i="14"/>
  <c r="CD4" i="14" s="1"/>
  <c r="CG3" i="14"/>
  <c r="F52" i="10" l="1"/>
  <c r="G52" i="10" s="1"/>
  <c r="F53" i="10"/>
  <c r="G53" i="10" s="1"/>
  <c r="F51" i="10"/>
  <c r="G51" i="10" s="1"/>
  <c r="F59" i="10"/>
  <c r="G59" i="10" s="1"/>
  <c r="F56" i="10"/>
  <c r="G56" i="10" s="1"/>
  <c r="F62" i="10"/>
  <c r="G62" i="10" s="1"/>
  <c r="F50" i="10"/>
  <c r="G50" i="10" s="1"/>
  <c r="F55" i="10"/>
  <c r="G55" i="10" s="1"/>
  <c r="F49" i="10"/>
  <c r="G49" i="10" s="1"/>
  <c r="F58" i="10"/>
  <c r="G58" i="10" s="1"/>
  <c r="F54" i="10"/>
  <c r="G54" i="10" s="1"/>
  <c r="F57" i="10"/>
  <c r="G57" i="10" s="1"/>
  <c r="F60" i="10"/>
  <c r="G60" i="10" s="1"/>
  <c r="F61" i="10"/>
  <c r="G61" i="10" s="1"/>
  <c r="P154" i="14"/>
  <c r="Y155" i="14"/>
  <c r="T154" i="14"/>
  <c r="D154" i="22"/>
  <c r="W140" i="22"/>
  <c r="G121" i="22"/>
  <c r="J167" i="22"/>
  <c r="I264" i="14"/>
  <c r="I262" i="14"/>
  <c r="I263" i="14"/>
  <c r="B122" i="22" l="1"/>
  <c r="D122" i="22"/>
  <c r="W121" i="22"/>
  <c r="K167" i="22"/>
  <c r="W167" i="22" s="1"/>
  <c r="C168" i="22"/>
  <c r="G130" i="14"/>
  <c r="G131" i="14" s="1"/>
  <c r="G122" i="22" l="1"/>
  <c r="J168" i="22"/>
  <c r="H154" i="14"/>
  <c r="G154" i="14" s="1"/>
  <c r="F161" i="14"/>
  <c r="B123" i="22" l="1"/>
  <c r="O158" i="14"/>
  <c r="T158" i="14" s="1"/>
  <c r="X158" i="14" s="1"/>
  <c r="D123" i="22"/>
  <c r="W122" i="22"/>
  <c r="K168" i="22"/>
  <c r="W168" i="22" s="1"/>
  <c r="C169" i="22"/>
  <c r="G135" i="14"/>
  <c r="B14" i="20" s="1"/>
  <c r="R154" i="14"/>
  <c r="G161" i="14"/>
  <c r="H161" i="14"/>
  <c r="G123" i="22" l="1"/>
  <c r="R87" i="22"/>
  <c r="B22" i="20" s="1"/>
  <c r="R88" i="22"/>
  <c r="B23" i="20" s="1"/>
  <c r="J169" i="22"/>
  <c r="C170" i="22" s="1"/>
  <c r="X156" i="14"/>
  <c r="G237" i="14"/>
  <c r="G241" i="14" s="1"/>
  <c r="W123" i="22" l="1"/>
  <c r="H109" i="22"/>
  <c r="B25" i="20" s="1"/>
  <c r="J170" i="22"/>
  <c r="K169" i="22"/>
  <c r="C171" i="22" l="1"/>
  <c r="K170" i="22"/>
  <c r="W169" i="22"/>
  <c r="J171" i="22" l="1"/>
  <c r="W170" i="22"/>
  <c r="C172" i="22" l="1"/>
  <c r="G68" i="10" s="1"/>
  <c r="G71" i="10" s="1"/>
  <c r="K171" i="22"/>
  <c r="J172" i="22" l="1"/>
  <c r="U172" i="22" s="1"/>
  <c r="W171" i="22"/>
  <c r="K172" i="22" l="1"/>
  <c r="W17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B14" authorId="0" shapeId="0" xr:uid="{DFEF6C62-23AF-4BDF-B087-C754628DA125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  <comment ref="B18" authorId="0" shapeId="0" xr:uid="{8DA1F63A-EFB5-45BC-84D4-172EA8F7F434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  <comment ref="B22" authorId="0" shapeId="0" xr:uid="{E3AE8D5D-CDC4-4588-9C73-F7A43940C2A6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  <comment ref="B23" authorId="0" shapeId="0" xr:uid="{CA211F93-1C33-4852-A4CF-AE1986CB9C55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  <comment ref="B24" authorId="0" shapeId="0" xr:uid="{CB4B43E1-DC7E-46BF-8A67-6E44E035C441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  <comment ref="B25" authorId="0" shapeId="0" xr:uid="{786CB59F-C8C4-4DD3-9354-DB44AC9F9D45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  <comment ref="B28" authorId="0" shapeId="0" xr:uid="{30D1E13B-F5A8-414A-B047-699FC84B6BBA}">
      <text>
        <r>
          <rPr>
            <b/>
            <sz val="10"/>
            <color indexed="81"/>
            <rFont val="Segoe UI"/>
            <family val="2"/>
          </rPr>
          <t>É FÓRMULA!!!!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BU1" authorId="0" shapeId="0" xr:uid="{974E95F4-CE37-4960-845E-6AAFC8271185}">
      <text>
        <r>
          <rPr>
            <b/>
            <sz val="8"/>
            <color indexed="81"/>
            <rFont val="Segoe UI"/>
            <family val="2"/>
          </rPr>
          <t>GÁS: 1KG COMPRADO É IGUAL A 2,5M3 CONSUMIDOS. ESSE VALOR É CORRIGIDO A CADA ABASTECIMENTO. 2ª VARIÁVEL DA COLUNA "CONSUMO M3" ABAIXO: VALOR É IGUAL A 2,5 X O PREÇO UNITÁRIO DO QUILO, QUE SERÁ VERIFICADO NO ÚLTIMO ABASTECIMENTO FEITO</t>
        </r>
      </text>
    </comment>
    <comment ref="AK2" authorId="0" shapeId="0" xr:uid="{DBD25CA6-C486-4EE5-BF77-27ECDC82CCA9}">
      <text>
        <r>
          <rPr>
            <b/>
            <sz val="8"/>
            <color indexed="81"/>
            <rFont val="Segoe UI"/>
            <family val="2"/>
          </rPr>
          <t>USAR A FÓRMULA DA COLUNA SEGUINTE E DEPOIS COPIAR/COLAR TEXTO AQUI</t>
        </r>
      </text>
    </comment>
    <comment ref="AM2" authorId="0" shapeId="0" xr:uid="{9F95960C-8515-48FB-A653-1754FBEB2B49}">
      <text>
        <r>
          <rPr>
            <b/>
            <sz val="8"/>
            <color indexed="81"/>
            <rFont val="Segoe UI"/>
            <family val="2"/>
          </rPr>
          <t>USAR A FÓRMULA DA COLUNA SEGUINTE E DEPOIS COPIAR/COLAR TEXTO AQUI</t>
        </r>
      </text>
    </comment>
    <comment ref="AP3" authorId="0" shapeId="0" xr:uid="{287F56EE-8D64-4591-B9B0-7355B6AFB0ED}">
      <text>
        <r>
          <rPr>
            <b/>
            <sz val="8"/>
            <color indexed="81"/>
            <rFont val="Segoe UI"/>
            <family val="2"/>
          </rPr>
          <t>HÁ LINHAS OCULTAS ENTRE A LINHA 19 E A LINHA 30, PARA FACILITAR A VISUALIZAÇÃO</t>
        </r>
      </text>
    </comment>
    <comment ref="W4" authorId="0" shapeId="0" xr:uid="{07D812DE-B152-4762-BB33-FBC7CCE3C673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27/08/25 MINHA SOLICITAÇÃO DE CORREÇÃO DA LEITURA JUNTO À COPASA.</t>
        </r>
      </text>
    </comment>
    <comment ref="X4" authorId="0" shapeId="0" xr:uid="{DB30EE9B-20B2-4C70-912B-483579FCA712}">
      <text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AB4" authorId="0" shapeId="0" xr:uid="{9F9D41CC-78E8-4989-9BCB-37FFD5271992}">
      <text>
        <r>
          <rPr>
            <sz val="8"/>
            <color indexed="81"/>
            <rFont val="Segoe UI"/>
            <family val="2"/>
          </rPr>
          <t xml:space="preserve">O CONSUMO DO CONDOMÍNIO REFERENTE À LEITURA DE 29/12/25 (QUE NA REALIDADE FOI FEITA EM 26/12/25)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C4" authorId="0" shapeId="0" xr:uid="{008EAB7D-3F35-4C91-913C-4BDA63905371}">
      <text>
        <r>
          <rPr>
            <sz val="8"/>
            <color indexed="81"/>
            <rFont val="Segoe UI"/>
            <family val="2"/>
          </rPr>
          <t xml:space="preserve">O CONSUMO DO CONDOMÍNIO REFERENTE À LEITURA DE 28/01/26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D4" authorId="0" shapeId="0" xr:uid="{503AFD15-F66F-4CF4-A61F-5777FA006DE2}">
      <text>
        <r>
          <rPr>
            <sz val="8"/>
            <color indexed="81"/>
            <rFont val="Segoe UI"/>
            <family val="2"/>
          </rPr>
          <t xml:space="preserve">O CONSUMO DO CONDOMÍNIO REFERENTE À LEITURA DE 28/02/26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P14" authorId="0" shapeId="0" xr:uid="{AD239274-3A40-44E9-AD90-FB0969EF5BB1}">
      <text>
        <r>
          <rPr>
            <b/>
            <sz val="8"/>
            <color indexed="81"/>
            <rFont val="Segoe UI"/>
            <family val="2"/>
          </rPr>
          <t>HÁ LINHAS OCULTAS ENTRE A LINHA 19 E A LINHA 30, PARA FACILITAR A VISUALIZAÇÃO</t>
        </r>
      </text>
    </comment>
    <comment ref="AK37" authorId="0" shapeId="0" xr:uid="{B9EB9FDB-C0F4-42AD-B6D0-68B9C2400EF5}">
      <text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AT40" authorId="0" shapeId="0" xr:uid="{2B9CA40A-D68E-45A6-9AA1-BB9A0243139A}">
      <text>
        <r>
          <rPr>
            <b/>
            <sz val="8"/>
            <color indexed="81"/>
            <rFont val="Segoe UI"/>
            <family val="2"/>
          </rPr>
          <t>NÃO CORRIGI POR ENGANO O "ESGOTO". O VALOR TOTAL CORRETO É $3.559,83</t>
        </r>
      </text>
    </comment>
    <comment ref="AX40" authorId="0" shapeId="0" xr:uid="{58910745-B48E-4DDB-9003-C9399D96A21F}">
      <text>
        <r>
          <rPr>
            <b/>
            <sz val="8"/>
            <color indexed="81"/>
            <rFont val="Segoe UI"/>
            <family val="2"/>
          </rPr>
          <t>NÃO CORRIGI POR ENGANO. O VALOR CORRETO É $1513,18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  <author>Admin</author>
  </authors>
  <commentList>
    <comment ref="CA1" authorId="0" shapeId="0" xr:uid="{FF1994CC-6317-4904-A45A-018DBA4415F8}">
      <text>
        <r>
          <rPr>
            <b/>
            <sz val="8"/>
            <color indexed="81"/>
            <rFont val="Segoe UI"/>
            <family val="2"/>
          </rPr>
          <t>GÁS: 1KG COMPRADO É IGUAL A 2,5M3 CONSUMIDOS. ESSE VALOR É CORRIGIDO A CADA ABASTECIMENTO. 2ª VARIÁVEL DA COLUNA "CONSUMO M3" ABAIXO: VALOR É IGUAL A 2,5 X O PREÇO UNITÁRIO DO QUILO, QUE SERÁ VERIFICADO NO ÚLTIMO ABASTECIMENTO FEITO</t>
        </r>
      </text>
    </comment>
    <comment ref="AQ2" authorId="0" shapeId="0" xr:uid="{62F86620-A8AB-4EC2-854B-E37326CA32AD}">
      <text>
        <r>
          <rPr>
            <b/>
            <sz val="8"/>
            <color indexed="81"/>
            <rFont val="Segoe UI"/>
            <family val="2"/>
          </rPr>
          <t>USAR A FÓRMULA DA COLUNA SEGUINTE E DEPOIS COPIAR/COLAR TEXTO AQUI</t>
        </r>
      </text>
    </comment>
    <comment ref="AS2" authorId="0" shapeId="0" xr:uid="{B009AAFF-41EB-4391-B580-588CEC0A0933}">
      <text>
        <r>
          <rPr>
            <b/>
            <sz val="8"/>
            <color indexed="81"/>
            <rFont val="Segoe UI"/>
            <family val="2"/>
          </rPr>
          <t>USAR A FÓRMULA DA COLUNA SEGUINTE E DEPOIS COPIAR/COLAR TEXTO AQUI</t>
        </r>
      </text>
    </comment>
    <comment ref="U3" authorId="0" shapeId="0" xr:uid="{BBACE104-64A2-436E-825F-C750E51BF5A6}">
      <text>
        <r>
          <rPr>
            <b/>
            <sz val="8"/>
            <color indexed="81"/>
            <rFont val="Segoe UI"/>
            <family val="2"/>
          </rPr>
          <t>AQUI: COLAR (TRANSPOR) OS DADOS DA LINHA CORRESPONDENTE QUE ESTÁ ABAIXO DESTA TABELA, EXCETO QUANTO AO "CONDOMÍNIO", QUE É UMA FÓRMULA</t>
        </r>
      </text>
    </comment>
    <comment ref="V3" authorId="0" shapeId="0" xr:uid="{F878EBD3-C6A4-4D41-9D6C-5CCE67CF77F5}">
      <text>
        <r>
          <rPr>
            <b/>
            <sz val="8"/>
            <color indexed="81"/>
            <rFont val="Segoe UI"/>
            <family val="2"/>
          </rPr>
          <t>AQUI: COLAR (TRANSPOR) OS DADOS DA LINHA CORRESPONDENTE QUE ESTÁ ABAIXO DESTA TABELA, EXCETO QUANTO AO "CONDOMÍNIO", QUE É UMA FÓRMULA</t>
        </r>
      </text>
    </comment>
    <comment ref="Y3" authorId="0" shapeId="0" xr:uid="{EBFEDEE3-3F3A-4C7F-8876-0BFBFC0CA312}">
      <text>
        <r>
          <rPr>
            <b/>
            <sz val="8"/>
            <color indexed="81"/>
            <rFont val="Segoe UI"/>
            <family val="2"/>
          </rPr>
          <t>AQUI: COLAR (TRANSPOR) OS DADOS DA LINHA CORRESPONDENTE QUE ESTÁ ABAIXO DESTA TABELA, EXCETO QUANTO AO "CONDOMÍNIO", QUE NÃO TEM CONSUMO</t>
        </r>
      </text>
    </comment>
    <comment ref="AV3" authorId="0" shapeId="0" xr:uid="{FD83C0C9-EEA4-4D3A-B530-4336291CD425}">
      <text>
        <r>
          <rPr>
            <b/>
            <sz val="8"/>
            <color indexed="81"/>
            <rFont val="Segoe UI"/>
            <family val="2"/>
          </rPr>
          <t>HÁ LINHAS OCULTAS ENTRE A LINHA 19 E A LINHA 30, PARA FACILITAR A VISUALIZAÇÃO</t>
        </r>
      </text>
    </comment>
    <comment ref="T4" authorId="0" shapeId="0" xr:uid="{095C9C04-FA43-4D83-BBDB-C033F92BA18E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X4" authorId="0" shapeId="0" xr:uid="{4C736BE8-2B42-42EE-B548-243FAF6A1B30}">
      <text>
        <r>
          <rPr>
            <b/>
            <sz val="8"/>
            <color indexed="81"/>
            <rFont val="Segoe UI"/>
            <family val="2"/>
          </rPr>
          <t>AQUI: USAR FÓRMULA DO TOTAL DA CONTA COPASA MENOS A SOMA DE TODOS OS APARTAMENTOS, DE FORMA SEMELHANTE À USADA PARA APURAR O CONSUMO (SOMENTE A TÍTULO DE CONFERÊNCIA E COMPARAÇÃO, USAR A FÓRMULA DA LINHA ABAIXO, E DEPOIS RETORNAR À FÓRMULA INICIALMENTE DESCRITA)</t>
        </r>
      </text>
    </comment>
    <comment ref="AE4" authorId="0" shapeId="0" xr:uid="{AEE00A0C-2E99-446F-B620-96AB54A3A0C7}">
      <text>
        <r>
          <rPr>
            <sz val="8"/>
            <color indexed="81"/>
            <rFont val="Segoe UI"/>
            <family val="2"/>
          </rPr>
          <t xml:space="preserve">O CONSUMO DO CONDOMÍNIO REFERENTE À LEITURA DE 29/12/25 (QUE NA REALIDADE FOI FEITA EM 26/12/25)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F4" authorId="0" shapeId="0" xr:uid="{A66CCC9C-041D-4E65-85B9-DA53638F57B7}">
      <text>
        <r>
          <rPr>
            <sz val="8"/>
            <color indexed="81"/>
            <rFont val="Segoe UI"/>
            <family val="2"/>
          </rPr>
          <t xml:space="preserve">O CONSUMO DO CONDOMÍNIO REFERENTE À LEITURA DE 28/01/26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G4" authorId="0" shapeId="0" xr:uid="{0F4ADAC6-D1F2-4245-A178-F26D58A0B84A}">
      <text>
        <r>
          <rPr>
            <sz val="8"/>
            <color indexed="81"/>
            <rFont val="Segoe UI"/>
            <family val="2"/>
          </rPr>
          <t xml:space="preserve">O CONSUMO DO CONDOMÍNIO REFERENTE À LEITURA DE 28/02/26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V11" authorId="0" shapeId="0" xr:uid="{A830247D-E1D9-4F5C-817C-050FEC17FE2E}">
      <text>
        <r>
          <rPr>
            <b/>
            <sz val="8"/>
            <color indexed="81"/>
            <rFont val="Segoe UI"/>
            <family val="2"/>
          </rPr>
          <t>HÁ LINHAS OCULTAS ENTRE A LINHA 19 E A LINHA 30, PARA FACILITAR A VISUALIZAÇÃO</t>
        </r>
      </text>
    </comment>
    <comment ref="T24" authorId="0" shapeId="0" xr:uid="{418370B8-6FA3-4AC3-B136-6B581A53F851}">
      <text>
        <r>
          <rPr>
            <sz val="8"/>
            <color indexed="81"/>
            <rFont val="Segoe UI"/>
            <family val="2"/>
          </rPr>
          <t>AQUI: COLAR (TEXTO) OS DADOS DA TABELA QUE ESTÁ À ESQUERDA</t>
        </r>
      </text>
    </comment>
    <comment ref="T26" authorId="0" shapeId="0" xr:uid="{0B5C1B68-95F1-4169-9ED6-040FBCF781A3}">
      <text>
        <r>
          <rPr>
            <sz val="8"/>
            <color indexed="81"/>
            <rFont val="Segoe UI"/>
            <family val="2"/>
          </rPr>
          <t>AQUI: COLAR (TEXTO) OS DADOS DA TABELA QUE ESTÁ À ESQUERDA</t>
        </r>
      </text>
    </comment>
    <comment ref="AQ34" authorId="0" shapeId="0" xr:uid="{F8F4B9D9-35EB-4FF0-BD41-181C94DDAEB1}">
      <text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AZ37" authorId="0" shapeId="0" xr:uid="{5A5C657B-DBED-4A12-9945-4ED9A7729350}">
      <text>
        <r>
          <rPr>
            <b/>
            <sz val="8"/>
            <color indexed="81"/>
            <rFont val="Segoe UI"/>
            <family val="2"/>
          </rPr>
          <t>NÃO CORRIGI POR ENGANO O "ESGOTO". O VALOR TOTAL CORRETO É $3.559,83</t>
        </r>
      </text>
    </comment>
    <comment ref="BD37" authorId="0" shapeId="0" xr:uid="{CFC680D3-37F0-4D99-A1BC-B42DEB73D54B}">
      <text>
        <r>
          <rPr>
            <b/>
            <sz val="8"/>
            <color indexed="81"/>
            <rFont val="Segoe UI"/>
            <family val="2"/>
          </rPr>
          <t>NÃO CORRIGI POR ENGANO. O VALOR CORRETO É $1513,18</t>
        </r>
      </text>
    </comment>
    <comment ref="B40" authorId="0" shapeId="0" xr:uid="{2354100E-594C-47C9-9CC0-C70C89502583}">
      <text>
        <r>
          <rPr>
            <sz val="8"/>
            <color indexed="81"/>
            <rFont val="Segoe UI"/>
            <family val="2"/>
          </rPr>
          <t>NA TABELA 2, À DIREITA DESTA TABELA: 1-COPIAR/COLAR TEXTO; 2-COPIAR/TRANSPOR O TEXTO NO ESPAÇO IMEDIATAMENTE ABAIXO</t>
        </r>
      </text>
    </comment>
    <comment ref="B41" authorId="0" shapeId="0" xr:uid="{A900510C-14D5-443C-B041-92CA083F9B5D}">
      <text>
        <r>
          <rPr>
            <sz val="8"/>
            <color indexed="81"/>
            <rFont val="Segoe UI"/>
            <family val="2"/>
          </rPr>
          <t>NA TABELA 2, À DIREITA DESTA TABELA: 1-COPIAR/COLAR TEXTO; 2-COPIAR/TRANSPOR O TEXTO NO ESPAÇO IMEDIATAMENTE ABAIXO (USAR NA FÓRMULA P/CÁLCULO DO RATEIO DO ESGOTO)</t>
        </r>
      </text>
    </comment>
    <comment ref="B43" authorId="0" shapeId="0" xr:uid="{13CFC0B3-E94A-4EF1-BA04-0E8892214E4E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B44" authorId="0" shapeId="0" xr:uid="{2B0AC9F4-FC5D-44B1-A8F2-738DF2AEC181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B45" authorId="0" shapeId="0" xr:uid="{CDC6BB0F-B52B-42C6-837B-A2538F7444C4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B82" authorId="0" shapeId="0" xr:uid="{7815E9DB-8EE9-49EE-8168-D29CA1155C12}">
      <text>
        <r>
          <rPr>
            <sz val="8"/>
            <color indexed="81"/>
            <rFont val="Segoe UI"/>
            <family val="2"/>
          </rPr>
          <t>NA TABELA 2, À DIREITA DESTA TABELA: 1-COPIAR/COLAR TEXTO; 2-COPIAR/TRANSPOR O TEXTO NO ESPAÇO IMEDIATAMENTE ABAIXO</t>
        </r>
      </text>
    </comment>
    <comment ref="B84" authorId="0" shapeId="0" xr:uid="{7CE466CE-CC85-412D-BB77-A438FAA15274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B85" authorId="0" shapeId="0" xr:uid="{5A7D7B02-6F58-4150-BA8D-053467BA671B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B86" authorId="0" shapeId="0" xr:uid="{D91290DB-806B-4483-B8FC-0B11AC10B5CF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A100" authorId="0" shapeId="0" xr:uid="{F4151F2E-9899-4DD1-A03C-E43CEBB64EAB}">
      <text>
        <r>
          <rPr>
            <b/>
            <sz val="8"/>
            <color indexed="81"/>
            <rFont val="Segoe UI"/>
            <family val="2"/>
          </rPr>
          <t>OCULTAR OS LANÇAMENTOS COM VALOR ZERADO- ANOTAÇÃO DE 28/02/23</t>
        </r>
      </text>
    </comment>
    <comment ref="G101" authorId="0" shapeId="0" xr:uid="{E94B5C40-E993-4A6C-A3EF-7F7BAA6C70C8}">
      <text>
        <r>
          <rPr>
            <b/>
            <sz val="8"/>
            <color indexed="81"/>
            <rFont val="Segoe UI"/>
            <family val="2"/>
          </rPr>
          <t>EXPRESSÃO ANTES USADA PELO SÍNDICO GILBERTO: "A PAGAR". VOLTAR A ELA APÓS REALOCAR O ITEM "FUNDO DE RESERVA" PARA FORA DO "TOTAL LANÇAMENTOS", QUE TINHA ANTES A DENOMINAÇÃO "DESPESAS ORDINÁRIAS" - ANOTAÇÃO DE 02/2023</t>
        </r>
      </text>
    </comment>
    <comment ref="A103" authorId="0" shapeId="0" xr:uid="{33FF42A7-7759-4B78-8453-7FFA1B4F257C}">
      <text>
        <r>
          <rPr>
            <b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</text>
    </comment>
    <comment ref="A106" authorId="0" shapeId="0" xr:uid="{AC886510-39A2-4F7A-A5C3-B74D6EC949FA}">
      <text>
        <r>
          <rPr>
            <b/>
            <sz val="8"/>
            <color indexed="81"/>
            <rFont val="Segoe UI"/>
            <family val="2"/>
          </rPr>
          <t>O VENCIMENTO CORRETO SERIA 15/08/2025, DE CUJA CONTA FORAM FEITOS O PRESENTE LANÇAMENTO E O RATEIO DE ESGOTO E RECURSOS HÍDRICOS DO CONDOMÍNIO E DE CADA CONDÔMINO; MAS A CONTA QUITADA FOI A QUE VENCEU EM 15/07/2025.</t>
        </r>
      </text>
    </comment>
    <comment ref="A109" authorId="0" shapeId="0" xr:uid="{EB25A49A-E116-4A54-AF2B-5746214B8B49}">
      <text>
        <r>
          <rPr>
            <b/>
            <sz val="9"/>
            <color indexed="81"/>
            <rFont val="Segoe UI"/>
            <family val="2"/>
          </rPr>
          <t>GÁS ABASTECTº: NÃO FAZ PARTE DESTA PLANILHA, POIS O GÁS É COBRADO DE CADA CONDÔMINO POR RATEIO, CONF. PLANILHA ABAIXO ("VALORES DEVIDOS POR UNIDADE")</t>
        </r>
      </text>
    </comment>
    <comment ref="B113" authorId="0" shapeId="0" xr:uid="{7803E6F2-4FDA-4023-9900-BF750B220FE0}">
      <text>
        <r>
          <rPr>
            <b/>
            <sz val="8"/>
            <color indexed="81"/>
            <rFont val="Segoe UI"/>
            <family val="2"/>
          </rPr>
          <t>CONFORME ARQUIVOS "CADEADO PARA CX CORREIO DA GARAGEM 20250707 NF" E "CHAVES RESERVA 2 PARA CADEADO DA CX CORREIO DA GARAGEM 20250707 RECIBO" DA PASTA "H\Outr\Aptº PE\Condomínio Neápolis"</t>
        </r>
      </text>
    </comment>
    <comment ref="A123" authorId="0" shapeId="0" xr:uid="{9502E45F-CA42-4E39-81F2-2426927997E2}">
      <text>
        <r>
          <rPr>
            <b/>
            <sz val="8"/>
            <color indexed="81"/>
            <rFont val="Segoe UI"/>
            <family val="2"/>
          </rPr>
          <t xml:space="preserve">EXPRESSÃO ANTES USADA PELO SÍNDICO GILBERTO: "TOTAL DESPESAS ORDINÁRIAS". VOLTAR A ELA APÓS REALOCAR O ITEM "FUNDO DE RESERVA" PARA FORA DAS DESPESAS ORDINÁRIAS, O QUE DIMINUIRÁ O RATEIO PARCIAL DO SÍNDICO PELOS CONDÔMINOS - ANOTAÇÃO DE 02/02/2023 - </t>
        </r>
        <r>
          <rPr>
            <b/>
            <u/>
            <sz val="8"/>
            <color indexed="81"/>
            <rFont val="Segoe UI"/>
            <family val="2"/>
          </rPr>
          <t>EXCLUÍ-LA NA TABELA DO WORD, SE O ICONEZINHO PERMANECER APÓS SALVAR EM PDF</t>
        </r>
      </text>
    </comment>
    <comment ref="A124" authorId="0" shapeId="0" xr:uid="{711ED039-0A4D-4ECF-AAEA-074116EB1742}">
      <text>
        <r>
          <rPr>
            <b/>
            <sz val="8"/>
            <color indexed="81"/>
            <rFont val="Segoe UI"/>
            <family val="2"/>
          </rPr>
          <t>28/02/24: EXCLUÍ O ITEM "FUNDO DE RESERVA" DO TOTAL DE LANÇAMENTOS, PARA DEPOIS CALCULAR O RATEIO PARCIAL</t>
        </r>
      </text>
    </comment>
    <comment ref="A125" authorId="0" shapeId="0" xr:uid="{89B5599C-8622-40D3-A05C-09BF3BB6C531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A140" authorId="0" shapeId="0" xr:uid="{6476C7BA-2118-495A-9780-F78C2933A980}">
      <text>
        <r>
          <rPr>
            <b/>
            <sz val="8"/>
            <color indexed="81"/>
            <rFont val="Segoe UI"/>
            <family val="2"/>
          </rPr>
          <t>ÁGUA, GÁS E "TOTAL A PAGAR" EM R$: PREENCHER COMPARAÇÃO "DIF. R$ ATUAL (-) MÊS ANTERIOR", QUE ESTÁ A PARTIR DA CÉLULA AQ97 OU PRÓXIMA</t>
        </r>
      </text>
    </comment>
    <comment ref="G143" authorId="0" shapeId="0" xr:uid="{B5BB348E-8D14-4BBD-979E-685F57C40079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O146" authorId="0" shapeId="0" xr:uid="{1E42B795-9A4F-4AAD-9F0D-94438CAEBDEB}">
      <text>
        <r>
          <rPr>
            <b/>
            <sz val="8"/>
            <color indexed="81"/>
            <rFont val="Segoe UI"/>
            <family val="2"/>
          </rPr>
          <t>INTERNET PARA TRANSMISSÃO DE IMAGENS DAS CÂMERAS</t>
        </r>
      </text>
    </comment>
    <comment ref="U146" authorId="0" shapeId="0" xr:uid="{56F7A963-133F-4A7B-882B-434D02BD2D05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</t>
        </r>
      </text>
    </comment>
    <comment ref="K148" authorId="1" shapeId="0" xr:uid="{D9070506-F702-46C6-9527-3879F20672C0}">
      <text>
        <r>
          <rPr>
            <b/>
            <sz val="8"/>
            <color indexed="81"/>
            <rFont val="Segoe UI"/>
            <family val="2"/>
          </rPr>
          <t>MILTON PAGOU</t>
        </r>
      </text>
    </comment>
    <comment ref="V158" authorId="0" shapeId="0" xr:uid="{0944F7C3-030E-4D13-8859-A400C8ED61D2}">
      <text>
        <r>
          <rPr>
            <b/>
            <sz val="8"/>
            <color indexed="81"/>
            <rFont val="Segoe UI"/>
            <family val="2"/>
          </rPr>
          <t>$3000 FORAM PAGOS EM 03/12/25</t>
        </r>
      </text>
    </comment>
    <comment ref="A185" authorId="0" shapeId="0" xr:uid="{B956B3BB-1518-4BA5-8FFD-A5BECF652FFD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186" authorId="0" shapeId="0" xr:uid="{158A03CB-251B-49F1-961D-623C2FF1CCA8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187" authorId="0" shapeId="0" xr:uid="{08003121-EDD1-4083-A903-8D719DA48723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191" authorId="0" shapeId="0" xr:uid="{D6B7D73A-F103-4FB1-B136-4CA822AFD812}">
      <text>
        <r>
          <rPr>
            <b/>
            <sz val="8"/>
            <color indexed="81"/>
            <rFont val="Segoe UI"/>
            <family val="2"/>
          </rPr>
          <t>CONFORME ARQUIVO "CÂMERAS E INTERFONES CLAUDINEY ENTRADA PIX CC INTER" DA PASTA "H\Outr\Aptº PE\Condomínio Neápolis"</t>
        </r>
      </text>
    </comment>
    <comment ref="H213" authorId="0" shapeId="0" xr:uid="{FE7A5415-A2D8-4552-BD90-169E43A02EA8}">
      <text>
        <r>
          <rPr>
            <b/>
            <sz val="8"/>
            <color indexed="81"/>
            <rFont val="Segoe UI"/>
            <family val="2"/>
          </rPr>
          <t>ANOTAR AQUI TODAS AS DATAS, MAS SOMENTE APÓS O ÚLTIMO PAGAMENTO</t>
        </r>
      </text>
    </comment>
    <comment ref="G214" authorId="0" shapeId="0" xr:uid="{7D92A9B6-CDF4-443B-9713-24A279AEA634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G217" authorId="0" shapeId="0" xr:uid="{B6FF1B1E-FBCE-4607-ADE6-71B74250BE9A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G218" authorId="0" shapeId="0" xr:uid="{694E893E-AA9A-4425-8FE4-5B64A27E63A2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A221" authorId="0" shapeId="0" xr:uid="{AADFFD63-5292-4063-A0AE-C773D6583F71}">
      <text>
        <r>
          <rPr>
            <b/>
            <sz val="9"/>
            <color indexed="81"/>
            <rFont val="Segoe UI"/>
            <family val="2"/>
          </rPr>
          <t>GÁS ABASTECTº: É COBRADO DE CADA CONDÔMINO POR RATEIO, CONF. PLANILHA "VALORES DEVIDOS POR UNIDADE"</t>
        </r>
      </text>
    </comment>
    <comment ref="C225" authorId="0" shapeId="0" xr:uid="{1753EBBE-CF88-4ABB-B3DF-E714F6EE8F83}">
      <text>
        <r>
          <rPr>
            <b/>
            <sz val="8"/>
            <color indexed="81"/>
            <rFont val="Segoe UI"/>
            <family val="2"/>
          </rPr>
          <t>CONFORME ARQUIVOS "CADEADO PARA CX CORREIO DA GARAGEM 20250707 NF" E "CHAVES RESERVA 2 PARA CADEADO DA CX CORREIO DA GARAGEM 20250707 RECIBO" DA PASTA "H\Outr\Aptº PE\Condomínio Neápolis"</t>
        </r>
      </text>
    </comment>
    <comment ref="G229" authorId="0" shapeId="0" xr:uid="{28ED85B7-FDEF-4A38-815F-685D7719F4B9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G230" authorId="0" shapeId="0" xr:uid="{D08DDD3A-D3DA-4598-AEBE-6CD1FCF20607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240" authorId="0" shapeId="0" xr:uid="{64E2E60D-DD8F-464F-AC7F-CCCD831E2CAF}">
      <text>
        <r>
          <rPr>
            <b/>
            <sz val="8"/>
            <color indexed="81"/>
            <rFont val="Segoe UI"/>
            <family val="2"/>
          </rPr>
          <t>CONFORME ARQUIVOS "GÁS SUPERGASBRAS NF 20250607" E "GÁS SUPERGASBRAS VENCTº E PAGTº 20250613 CC INTER" DA PASTA "H\Outr\Aptº PE\Condomínio Neápolis"</t>
        </r>
      </text>
    </comment>
    <comment ref="A249" authorId="0" shapeId="0" xr:uid="{30BB7BC7-5C8C-4E0F-B63E-3817505876D3}">
      <text>
        <r>
          <rPr>
            <b/>
            <sz val="8"/>
            <color indexed="81"/>
            <rFont val="Segoe UI"/>
            <family val="2"/>
          </rPr>
          <t>CONFORME ARQUIVOS "CÂMERAS E INTERFONES CLAUDINEY PAGTº 20250707 PIX CC INTER", "MONITOR DE CÂMERAS PARA HALL DO 1º ANDAR 20250711 RECIBO" E "....." DA PASTA "H\Outr\Aptº PE\Condomínio Neápolis"</t>
        </r>
      </text>
    </comment>
    <comment ref="G262" authorId="0" shapeId="0" xr:uid="{669ACB35-99EC-417D-9681-0C538E481EED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VR. DO CONDOMÍNIO A SER PAGO PELO LUCAS EM 06/2025</t>
        </r>
      </text>
    </comment>
    <comment ref="G263" authorId="0" shapeId="0" xr:uid="{1DFDFAE5-2F7B-4018-88D3-E4257141AA56}">
      <text>
        <r>
          <rPr>
            <b/>
            <sz val="8"/>
            <color indexed="81"/>
            <rFont val="Segoe UI"/>
            <family val="2"/>
          </rPr>
          <t>CONFORME ARQUIVO "CÂMERAS E INTERFONES CLAUDINEY ENTRADA PIX CC INTER" DA PASTA "H\Outr\Aptº PE\Condomínio Neápolis"</t>
        </r>
      </text>
    </comment>
    <comment ref="G264" authorId="0" shapeId="0" xr:uid="{3C67C8DE-827A-4337-97B7-CB0014EB61DD}">
      <text>
        <r>
          <rPr>
            <b/>
            <sz val="8"/>
            <color indexed="81"/>
            <rFont val="Segoe UI"/>
            <family val="2"/>
          </rPr>
          <t>CONFORME ARQUIVO "CÂMERAS E INTERFONES CLAUDINEY PAGTº 20250707 PIX CC INTER" DA PASTA "H\Outr\Aptº PE\Condomínio Neápolis"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  <author>Admin</author>
  </authors>
  <commentList>
    <comment ref="O3" authorId="0" shapeId="0" xr:uid="{08827078-3F5B-474B-B91E-4B102BFE8C43}">
      <text>
        <r>
          <rPr>
            <b/>
            <sz val="8"/>
            <color indexed="81"/>
            <rFont val="Segoe UI"/>
            <family val="2"/>
          </rPr>
          <t>REAJUSTE DE 7% A PARTIR DO VENCTº DE 02/2025. NESTE MÊS PAGUEI EM 12/08/25 COM MULTA DE $40,28 E JUROS DE $2,68, TOTAL DE $1385,90, PORQUE O APP DO INTER APRESENTOU PROBLEMA NO DIA 11/08/25, QUANDO TENTEI PAGAR, MAS SEM SUCESSO. A CONSERVADORA SE NEGOU A EMITIR NOVO BOLETO OU A PERMITIR OUTRA FORMA DE PAGAMENTO SEM ACRÉSCIMOS...</t>
        </r>
      </text>
    </comment>
    <comment ref="S3" authorId="0" shapeId="0" xr:uid="{C8DDE369-16D8-499C-8FE3-522AC5762228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W3" authorId="0" shapeId="0" xr:uid="{ACD471C9-F9BD-4421-8577-04E1DB1834F9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A3" authorId="0" shapeId="0" xr:uid="{3CCDA5A6-C03F-4A9B-BE19-5AFA5092B39F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E3" authorId="0" shapeId="0" xr:uid="{FAE4CA70-F72B-4D7E-8655-4EDE721CC27B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I3" authorId="0" shapeId="0" xr:uid="{DBE27739-7572-417E-B960-7E85BEF3C688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M3" authorId="0" shapeId="0" xr:uid="{6DCB1816-AAB6-4390-8B84-3DFD51DDA2EB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Q3" authorId="0" shapeId="0" xr:uid="{5A6EB4B9-F212-4617-B981-E9871E696C7C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U3" authorId="0" shapeId="0" xr:uid="{9C73D7AF-C781-4A3C-92E8-CE995C894421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K4" authorId="0" shapeId="0" xr:uid="{ECB2A580-56FD-49E4-ACC9-E3F3359074F0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O4" authorId="0" shapeId="0" xr:uid="{D70B66D4-D5AA-4171-A5B2-645281A4FC3A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S4" authorId="0" shapeId="0" xr:uid="{0B785843-7642-4E4D-9D9B-1CD0FB95309B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W4" authorId="0" shapeId="0" xr:uid="{E6DE687B-E046-4C1F-B890-9756075C0B2F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A4" authorId="0" shapeId="0" xr:uid="{07A9F117-6C9F-4A6E-AC5D-7763BAD078DA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E4" authorId="0" shapeId="0" xr:uid="{B708AC44-DBE9-4C07-9787-0C3769B9FB31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I4" authorId="0" shapeId="0" xr:uid="{0C2CF9AD-00CC-4703-80D0-116509FB1B70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M4" authorId="0" shapeId="0" xr:uid="{54DA7CC6-0089-41A7-9D9B-B1BBB9BC2343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Q4" authorId="0" shapeId="0" xr:uid="{2867D5AE-CB4A-49F6-8ED6-150989C1ACD5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U4" authorId="0" shapeId="0" xr:uid="{68B7C697-A53E-496D-81A5-CED235CFEFE8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5" authorId="0" shapeId="0" xr:uid="{B8333CF6-53AB-499A-A2B6-AEAC7B76F669}">
      <text>
        <r>
          <rPr>
            <b/>
            <sz val="8"/>
            <color indexed="81"/>
            <rFont val="Segoe UI"/>
            <family val="2"/>
          </rPr>
          <t>ESTE É O VALOR A SER INFORMADO NA PLANILHA A ENVIAR PARA OS CONDÔMINOS. É RESULTANTE DO RATEIO REFERENTE À LEITURA FEITA NO PRÓPRIO MÊS DA REF., E A DATA É A DA CONTA QUE VENCE NO MÊS DA REF.</t>
        </r>
      </text>
    </comment>
    <comment ref="C5" authorId="0" shapeId="0" xr:uid="{B7004615-B8C8-4851-9E05-D928ACD177E4}">
      <text>
        <r>
          <rPr>
            <sz val="8"/>
            <color indexed="81"/>
            <rFont val="Segoe UI"/>
            <family val="2"/>
          </rPr>
          <t xml:space="preserve">O CONSUMO DO CONDOMÍNIO REFERENTE À LEITURA DE 24/04/25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EM VISTA DO AJUSTE QUE FOI FEITO EM 04/04/25 NA CONTA ANTERIOR</t>
        </r>
        <r>
          <rPr>
            <sz val="8"/>
            <color indexed="81"/>
            <rFont val="Segoe UI"/>
            <family val="2"/>
          </rPr>
          <t>, APURADA ANTERIORMENTE COM BASE NA MÉDIA DE CONSUMO</t>
        </r>
      </text>
    </comment>
    <comment ref="D5" authorId="0" shapeId="0" xr:uid="{04028E4B-24BF-405A-ACA6-4D0BD1FB0C12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H5" authorId="0" shapeId="0" xr:uid="{D4079355-6A0E-44F6-A9A4-3CBB9C514DEB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K5" authorId="0" shapeId="0" xr:uid="{DF0E44A2-757B-4D7C-AA69-2E6032FB675D}">
      <text>
        <r>
          <rPr>
            <sz val="8"/>
            <color indexed="81"/>
            <rFont val="Segoe UI"/>
            <family val="2"/>
          </rPr>
          <t xml:space="preserve">O CONSUMO DO CONDOMÍNIO REFERENTE À LEITURA DE 24/06/25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PARECE QUE FOI FEITA LEITURA ERRADA PELA COPASA NO HIDRÔMETRO...</t>
        </r>
      </text>
    </comment>
    <comment ref="L5" authorId="0" shapeId="0" xr:uid="{5D19E154-308F-4D2B-B1CB-773495C0153C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O5" authorId="0" shapeId="0" xr:uid="{9481773B-0377-4BBE-86DC-1BD1E14039F4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P5" authorId="0" shapeId="0" xr:uid="{5EF467FE-B58E-4752-8245-F35ECB9A18F4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S5" authorId="0" shapeId="0" xr:uid="{1ABAAF75-ADEA-4A50-935F-DE7CC67FDECE}">
      <text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T5" authorId="0" shapeId="0" xr:uid="{9E5D1B29-4402-48DA-B1EA-C7FF66849860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X5" authorId="0" shapeId="0" xr:uid="{00A3D512-088B-4D81-8D0E-E513799A7C45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B5" authorId="0" shapeId="0" xr:uid="{A84AC726-94A5-43A9-8046-5A40C8EB6A84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F5" authorId="0" shapeId="0" xr:uid="{1EB2864C-F386-40D4-9FE6-F7D7C918C903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J5" authorId="0" shapeId="0" xr:uid="{3115D7C6-445F-4F99-AD37-7860E93EFFFD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N5" authorId="0" shapeId="0" xr:uid="{FD8F2CD6-34A1-4D2C-9831-DF4F9D27A87E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R5" authorId="0" shapeId="0" xr:uid="{3EC36C39-D840-447D-A037-AE7C6A663D40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V5" authorId="0" shapeId="0" xr:uid="{111F0EA0-D40B-451A-A457-14EC4F81318E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Y5" authorId="0" shapeId="0" xr:uid="{4FBAFB81-3FB4-4305-B093-6C8BAC5F66E3}">
      <text>
        <r>
          <rPr>
            <b/>
            <sz val="8"/>
            <color indexed="81"/>
            <rFont val="Segoe UI"/>
            <family val="2"/>
          </rPr>
          <t>ESTE É O VALOR A SER INFORMADO NA PLANILHA A ENVIAR PARA OS CONDÔMINOS. É RESULTANTE DO RATEIO REFERENTE À LEITURA FEITA NO PRÓPRIO MÊS DA REF., E A DATA É A DA CONTA QUE VENCE NO MÊS DA REF.</t>
        </r>
      </text>
    </comment>
    <comment ref="A7" authorId="0" shapeId="0" xr:uid="{0494CB1C-EED3-421B-827B-76B5AF1DD3D2}">
      <text>
        <r>
          <rPr>
            <b/>
            <sz val="8"/>
            <color indexed="81"/>
            <rFont val="Segoe UI"/>
            <family val="2"/>
          </rPr>
          <t>NOVA DESCRIÇÃO, ADOTADA A PARTIR DE 08/09/25. A ANTERIOR ERA: "MINISTÉRIO DA FAZENDA- RET. FEDERAL INSS/PIS/COFINS/CSLL"</t>
        </r>
      </text>
    </comment>
    <comment ref="G7" authorId="0" shapeId="0" xr:uid="{8D32AE97-AEAF-4FEC-823F-B7D194A6B514}">
      <text>
        <r>
          <rPr>
            <b/>
            <sz val="8"/>
            <color indexed="81"/>
            <rFont val="Segoe UI"/>
            <family val="2"/>
          </rPr>
          <t>ALTERAÇÃO FEITA EM 06/06/25, QUANDO ESTE LEVANTAMENTO JÁ TINHA SIDO FECHADO E ENTREGUE AOS CONDÔMINOS:  SÓ HAVERÁ RECOLHTº REF. À CONSERVADORA, $165,98 (TKE: LANÇOU "COMPETÊNCIA 06/2025" NA NF QUE DEVERIA SER "COMPETÊNCIA 05/2025")</t>
        </r>
      </text>
    </comment>
    <comment ref="K7" authorId="0" shapeId="0" xr:uid="{A22A34C0-C747-454E-9294-547352622256}">
      <text>
        <r>
          <rPr>
            <b/>
            <sz val="8"/>
            <color indexed="81"/>
            <rFont val="Segoe UI"/>
            <family val="2"/>
          </rPr>
          <t>O VALOR TOTAL A SER RECOLHIDO SERÁ DE R$286,04 (TKE LANÇOU "COMPETÊNCIA 06/2025" NA NF QUE DEVERIA SER "COMPETÊNCIA 05/2025")</t>
        </r>
      </text>
    </comment>
    <comment ref="AM7" authorId="1" shapeId="0" xr:uid="{B9F43822-96CC-4954-B2DA-FEEC390FF213}">
      <text>
        <r>
          <rPr>
            <b/>
            <sz val="8"/>
            <color indexed="81"/>
            <rFont val="Segoe UI"/>
            <family val="2"/>
          </rPr>
          <t>O VALOR CORRETO É $226,01, E NÃO $238,46, ESTE ÚLTIMO CALCULADO COM BASE NO REAJUSTE DA MENSALIDADE DA CONSERVADORA, QUE SÓ VIGORARÁ A PARTIR DA COMPETÊNCIA 02/2026, COM RECOLHTº EM 03/2026</t>
        </r>
      </text>
    </comment>
    <comment ref="AQ7" authorId="1" shapeId="0" xr:uid="{DEF90D7A-4098-4211-BBAE-20CD9EED25CF}">
      <text>
        <r>
          <rPr>
            <b/>
            <sz val="8"/>
            <color indexed="81"/>
            <rFont val="Segoe UI"/>
            <family val="2"/>
          </rPr>
          <t>O VALOR CORRETO É $226,01, E NÃO $238,46, ESTE ÚLTIMO CALCULADO COM BASE NO REAJUSTE DA MENSALIDADE DA CONSERVADORA, QUE SÓ VIGORARÁ A PARTIR DA COMPETÊNCIA 02/2026, COM RECOLHTº EM 03/2026</t>
        </r>
      </text>
    </comment>
    <comment ref="AY7" authorId="0" shapeId="0" xr:uid="{0938136F-32C5-4EC9-9D58-1CB8F1F9DC02}">
      <text>
        <r>
          <rPr>
            <b/>
            <sz val="8"/>
            <color indexed="81"/>
            <rFont val="Segoe UI"/>
            <family val="2"/>
          </rPr>
          <t>NOVA DESCRIÇÃO, ADOTADA A PARTIR DE 08/09/25. A ANTERIOR ERA: "MINISTÉRIO DA FAZENDA- RET. FEDERAL INSS/PIS/COFINS/CSLL"</t>
        </r>
      </text>
    </comment>
    <comment ref="AM8" authorId="1" shapeId="0" xr:uid="{012E911C-A23B-4BB8-BFB2-DA902F41DF13}">
      <text>
        <r>
          <rPr>
            <b/>
            <sz val="8"/>
            <color indexed="81"/>
            <rFont val="Segoe UI"/>
            <family val="2"/>
          </rPr>
          <t>FOI PAGA EM ATRASO, C/JUROS</t>
        </r>
      </text>
    </comment>
    <comment ref="C10" authorId="0" shapeId="0" xr:uid="{3B4ED8D5-7791-4066-A55D-D8363F65A953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G10" authorId="0" shapeId="0" xr:uid="{26C236B2-ED5F-445B-926A-1AA498A14AA0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K10" authorId="0" shapeId="0" xr:uid="{E5C91A55-7FAE-49E2-9A30-CC6CBB2A020D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O10" authorId="0" shapeId="0" xr:uid="{AA6E325A-8E33-4940-BD08-811200C6670A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S10" authorId="0" shapeId="0" xr:uid="{1B59ABFF-835F-4805-99A8-DF96AA90DEBC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W10" authorId="0" shapeId="0" xr:uid="{19D24B8A-ABEF-4C18-BD46-5070D3FFD7A1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A10" authorId="0" shapeId="0" xr:uid="{6D0DBD05-2AA5-4D10-B6CA-7585629DC03B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E10" authorId="0" shapeId="0" xr:uid="{6FBDFC66-703B-48E2-BFF6-6F3F0430DBB0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I10" authorId="0" shapeId="0" xr:uid="{D84F381F-58C6-47DA-9D32-3B93449E5451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M10" authorId="0" shapeId="0" xr:uid="{47F7B3E4-FC92-4C93-B0D2-27C2CE090769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Q10" authorId="0" shapeId="0" xr:uid="{BEE1B20B-18EA-4B33-9BAF-79BA33172E66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U10" authorId="0" shapeId="0" xr:uid="{7F656815-DD03-4B41-B76C-67E91BA5920D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C11" authorId="0" shapeId="0" xr:uid="{8338BC11-CEA6-4B0F-A01A-C44CE67D922B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G11" authorId="0" shapeId="0" xr:uid="{27FA92F7-6683-486E-B011-B0BB4A5BC61A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K11" authorId="0" shapeId="0" xr:uid="{1D649981-CB4A-48EF-866C-06DE3C7E3471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O11" authorId="0" shapeId="0" xr:uid="{ECAA63C7-EEA4-42B0-A953-B0B75ACAF967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S11" authorId="0" shapeId="0" xr:uid="{085B0CD7-6800-4A51-B1BA-AC7DACA6FAC7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W11" authorId="0" shapeId="0" xr:uid="{8F443011-28A9-411B-8ECE-ED3E0F8593CC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A11" authorId="0" shapeId="0" xr:uid="{0678C5A0-646F-46FA-A9F6-266FB7F5D5B8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E11" authorId="0" shapeId="0" xr:uid="{D86230E0-4604-4DF8-8222-A35D9AFC1859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I11" authorId="0" shapeId="0" xr:uid="{DF04A18F-74DE-49A3-B7BB-1E09DB1A1FAD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M11" authorId="0" shapeId="0" xr:uid="{CAA5AEED-5B58-4CDF-8CB7-27BB5E9DD7EB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Q11" authorId="0" shapeId="0" xr:uid="{02F34412-6EAE-4A3A-85A2-B6AF633BE380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U11" authorId="0" shapeId="0" xr:uid="{AB73A38D-31FE-43B6-8116-862B97EBA55F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O12" authorId="0" shapeId="0" xr:uid="{74282CA5-2C02-4B38-9DF4-9622DCDFF54E}">
      <text>
        <r>
          <rPr>
            <b/>
            <sz val="8"/>
            <color indexed="81"/>
            <rFont val="Segoe UI"/>
            <family val="2"/>
          </rPr>
          <t>CONFORME ARQUIVO "CADEADO PARA CX CORREIO DA GARAGEM 20250707 NF",  DA PASTA "H\Outr\Aptº PE\Condomínio Neápolis"</t>
        </r>
      </text>
    </comment>
    <comment ref="O13" authorId="0" shapeId="0" xr:uid="{039E189E-D3E3-46C6-9417-62999F6FC2C2}">
      <text>
        <r>
          <rPr>
            <b/>
            <sz val="8"/>
            <color indexed="81"/>
            <rFont val="Segoe UI"/>
            <family val="2"/>
          </rPr>
          <t>CONFORME ARQUIVO "CHAVES RESERVA 2 PARA CADEADO DA CX CORREIO DA GARAGEM 20250707 RECIBO",  DA PASTA "H\Outr\Aptº PE\Condomínio Neápolis"</t>
        </r>
      </text>
    </comment>
    <comment ref="O14" authorId="0" shapeId="0" xr:uid="{1BA5BD19-6576-42AE-BEF8-0DD657488936}">
      <text>
        <r>
          <rPr>
            <b/>
            <sz val="8"/>
            <color indexed="81"/>
            <rFont val="Segoe UI"/>
            <family val="2"/>
          </rPr>
          <t>CONFORME ARQUIVO "LOJA ELÉTRICA LÂMPADAS RESERVA 20250801 NF",  DA PASTA "H\Outr\Aptº PE\Condomínio Neápolis"</t>
        </r>
      </text>
    </comment>
    <comment ref="A19" authorId="0" shapeId="0" xr:uid="{3C6B0FF4-18A9-468E-9089-3BBC1B0F56AB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W19" authorId="0" shapeId="0" xr:uid="{9DC24E3D-F1BD-4CC4-BA0D-B786843F55E4}">
      <text>
        <r>
          <rPr>
            <b/>
            <sz val="8"/>
            <color indexed="81"/>
            <rFont val="Segoe UI"/>
            <family val="2"/>
          </rPr>
          <t>ABATER DO FUNDO DE RESERVA - VER ARQ. "AVCB CÓPIA DO PROJETO DE INCÊNDIO 20250923 RECIBO" E ... NA PASTA "H\Outr\Condomínio Neápolis"</t>
        </r>
      </text>
    </comment>
    <comment ref="AY19" authorId="0" shapeId="0" xr:uid="{4B02A0C2-AE6D-4182-B70D-DE25376C64A8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20" authorId="0" shapeId="0" xr:uid="{1A3C3ED5-6FE8-49C6-B798-6675330A0CC9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Y20" authorId="0" shapeId="0" xr:uid="{68AC39A2-6D5D-4B17-A2AD-29D7FA22E3C3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21" authorId="0" shapeId="0" xr:uid="{BBC89969-4F43-4FD6-8C38-9EE844D9C195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Y21" authorId="0" shapeId="0" xr:uid="{A201F20A-929D-4481-9076-270C43E71080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22" authorId="0" shapeId="0" xr:uid="{59669997-236E-4DF9-8CE5-1C431537760B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Y22" authorId="0" shapeId="0" xr:uid="{7766BEA4-BC01-4DCF-989F-3CAF9BC0259B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24" authorId="0" shapeId="0" xr:uid="{6C94C352-6CF6-46D9-85B0-3DDD83C2F058}">
      <text>
        <r>
          <rPr>
            <b/>
            <sz val="8"/>
            <color indexed="81"/>
            <rFont val="Segoe UI"/>
            <family val="2"/>
          </rPr>
          <t>O VALOR AQUI LANÇADO NÃO É INFORMADO NA PLANILHA A ENVIAR PARA OS CONDÔMINOS. É O VALOR DA CONTA QUE VENCE NA PRÓPRIA REF. DO PRESENTE LANÇAMENTO, E A DATA É A DA CONTA QUE VENCE NO MÊS DA REF.</t>
        </r>
      </text>
    </comment>
    <comment ref="D24" authorId="0" shapeId="0" xr:uid="{BBAA1E81-5DBF-4BE2-9081-1C8F3A148FF1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H24" authorId="0" shapeId="0" xr:uid="{00CCB097-C357-4021-8BA3-954A681A0853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L24" authorId="0" shapeId="0" xr:uid="{4D5BA481-9B87-4E01-BC60-A45DF764FB14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P24" authorId="0" shapeId="0" xr:uid="{6C02566A-DCA0-49C7-A46B-CD31F5A706E0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T24" authorId="0" shapeId="0" xr:uid="{FA0C911D-07FC-418B-9900-5512277AA860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X24" authorId="0" shapeId="0" xr:uid="{1AE95A0B-6B5E-482C-BD3A-189044561E5D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B24" authorId="0" shapeId="0" xr:uid="{07D9B49E-162C-4236-8AD8-12664131FD08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F24" authorId="0" shapeId="0" xr:uid="{45FF0BC3-C787-452E-9938-B795D94259FB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J24" authorId="0" shapeId="0" xr:uid="{F0364113-0F35-434D-B513-CC8104E27E4C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N24" authorId="0" shapeId="0" xr:uid="{D0E44BF5-27F6-4354-90FC-4B7DBA4E0FE9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R24" authorId="0" shapeId="0" xr:uid="{9739F578-9229-43D2-BA43-83D7D689A190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V24" authorId="0" shapeId="0" xr:uid="{3658848B-4EB6-4E73-9255-C0D9C2DD7501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Y24" authorId="0" shapeId="0" xr:uid="{210EAEF2-4FBC-4BC9-9F49-8ABD1152851C}">
      <text>
        <r>
          <rPr>
            <b/>
            <sz val="8"/>
            <color indexed="81"/>
            <rFont val="Segoe UI"/>
            <family val="2"/>
          </rPr>
          <t>O VALOR AQUI LANÇADO NÃO É INFORMADO NA PLANILHA A ENVIAR PARA OS CONDÔMINOS. É O VALOR DA CONTA QUE VENCE NA PRÓPRIA REF. DO PRESENTE LANÇAMENTO, E A DATA É A DA CONTA QUE VENCE NO MÊS DA REF.</t>
        </r>
      </text>
    </comment>
    <comment ref="A25" authorId="0" shapeId="0" xr:uid="{60BCF197-2F3B-4A41-A719-ECEC556236F9}">
      <text>
        <r>
          <rPr>
            <b/>
            <sz val="9"/>
            <color indexed="81"/>
            <rFont val="Segoe UI"/>
            <family val="2"/>
          </rPr>
          <t>GÁS ABASTECTº: É COBRADO DE CADA CONDÔMINO POR RATEIO, CONF. PLANILHA "VALORES DEVIDOS POR UNIDADE"</t>
        </r>
      </text>
    </comment>
    <comment ref="AY25" authorId="0" shapeId="0" xr:uid="{C6909AF0-C905-4237-9799-15930A9A36E3}">
      <text>
        <r>
          <rPr>
            <b/>
            <sz val="9"/>
            <color indexed="81"/>
            <rFont val="Segoe UI"/>
            <family val="2"/>
          </rPr>
          <t>GÁS ABASTECTº: É COBRADO DE CADA CONDÔMINO POR RATEIO, CONF. PLANILHA "VALORES DEVIDOS POR UNIDADE"</t>
        </r>
      </text>
    </comment>
    <comment ref="A26" authorId="0" shapeId="0" xr:uid="{F66659E9-0AB0-4846-8461-8B4CFC6C43E8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AY26" authorId="0" shapeId="0" xr:uid="{A9B116C4-93CA-493E-85C8-939BF70E8968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G27" authorId="0" shapeId="0" xr:uid="{CC020741-0EE9-4735-BDA3-DCB00AEC87DB}">
      <text>
        <r>
          <rPr>
            <b/>
            <sz val="8"/>
            <color indexed="81"/>
            <rFont val="Segoe UI"/>
            <family val="2"/>
          </rPr>
          <t>CONFORME ARQUIVO "CÂMERAS E INTERFONES CLAUDINEY ENTRADA PIX CC INTER" DA PASTA "H\Outr\Aptº PE\Condomínio Neápolis"</t>
        </r>
      </text>
    </comment>
    <comment ref="O27" authorId="0" shapeId="0" xr:uid="{035A8E9E-ECB7-41AC-ADEB-064678817889}">
      <text>
        <r>
          <rPr>
            <b/>
            <sz val="8"/>
            <color indexed="81"/>
            <rFont val="Segoe UI"/>
            <family val="2"/>
          </rPr>
          <t>CONFORME ARQUIVOS "CÂMERAS E INTERFONES CLAUDINEY PAGTº 20250707 PIX CC INTER", "CÂMERAS E INTERFONES CLAUDINEY PAGTº 20250807 PIX CC INTER" E "MONITOR DE CÂMERAS PARA HALL DO 1º ANDAR 20250711 RECIBO",  DA PASTA "H\Outr\Aptº PE\Condomínio Neápolis"</t>
        </r>
      </text>
    </comment>
    <comment ref="A28" authorId="0" shapeId="0" xr:uid="{6719FE0F-EA34-4ABA-86BC-5848A5F3BCCB}">
      <text>
        <r>
          <rPr>
            <b/>
            <sz val="8"/>
            <color indexed="81"/>
            <rFont val="Segoe UI"/>
            <family val="2"/>
          </rPr>
          <t>ABATER DO FUNDO DE RESERVA - VER ARQ. "Garagem sinalização na rua VENCTº 20250920 NFSE" NA PASTA "H\Outr\Condomínio Neápolis"</t>
        </r>
      </text>
    </comment>
    <comment ref="W28" authorId="0" shapeId="0" xr:uid="{35517961-D51B-40B9-B500-AC6EE7B10BD5}">
      <text>
        <r>
          <rPr>
            <b/>
            <sz val="8"/>
            <color indexed="81"/>
            <rFont val="Segoe UI"/>
            <family val="2"/>
          </rPr>
          <t>ABATER DO FUNDO DE RESERVA - VER ARQ. "Garagem sinalização na rua VENCTº 20250920 NFSE" NA PASTA "H\Outr\Condomínio Neápolis"</t>
        </r>
      </text>
    </comment>
    <comment ref="AY28" authorId="0" shapeId="0" xr:uid="{09AD2FC1-04AB-4981-8458-E858B0593FF6}">
      <text>
        <r>
          <rPr>
            <b/>
            <sz val="8"/>
            <color indexed="81"/>
            <rFont val="Segoe UI"/>
            <family val="2"/>
          </rPr>
          <t>ABATER DO FUNDO DE RESERVA - VER ARQ. "Garagem sinalização na rua VENCTº 20250920 NFSE" NA PASTA "H\Outr\Condomínio Neápolis"</t>
        </r>
      </text>
    </comment>
    <comment ref="A33" authorId="0" shapeId="0" xr:uid="{497B59EE-7F52-45DC-B172-F074E3793396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C33" authorId="0" shapeId="0" xr:uid="{C8BD9B30-25B2-4A3D-BA44-595993D7E53F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D33" authorId="0" shapeId="0" xr:uid="{ACF3B157-356D-4CD3-AD0A-8940E8147BAE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G33" authorId="0" shapeId="0" xr:uid="{2A03DDBC-D5E7-4E2A-8BC0-C1DDE2C90089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H33" authorId="0" shapeId="0" xr:uid="{8A42785D-083B-4A4D-BDDC-21747D571D90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K33" authorId="0" shapeId="0" xr:uid="{595934C3-4779-416C-87CE-5DBC1756BDB5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L33" authorId="0" shapeId="0" xr:uid="{749AECBE-4FE1-4EBB-8319-F650BFEB0538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O33" authorId="0" shapeId="0" xr:uid="{01641ED5-7995-4DC9-ADDC-1DA17B867901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P33" authorId="0" shapeId="0" xr:uid="{64EE6732-55FC-4049-8D1C-D36455B31FF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T33" authorId="0" shapeId="0" xr:uid="{DF135D88-3A50-4E01-B50A-91B7C6E8828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X33" authorId="0" shapeId="0" xr:uid="{D47E2F77-AA2B-47B3-9E79-454270A38487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B33" authorId="0" shapeId="0" xr:uid="{C142399A-EEEF-433A-8181-CCBCB8CA0BB7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F33" authorId="0" shapeId="0" xr:uid="{367EC1CC-58F6-4C0A-995E-25E5BC48745B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J33" authorId="0" shapeId="0" xr:uid="{531BD8EA-E3D5-48FA-B428-0D8467C1988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N33" authorId="0" shapeId="0" xr:uid="{38B409D7-C734-4FD9-B212-675AE3FB72D1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R33" authorId="0" shapeId="0" xr:uid="{A47B1DAF-0746-40D4-BD59-2721926D94E4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V33" authorId="0" shapeId="0" xr:uid="{0CD49B41-4CE7-4E0E-8849-66CAB90B069B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Y33" authorId="0" shapeId="0" xr:uid="{7B1434DE-7732-42B4-AE27-2B695307E747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D34" authorId="0" shapeId="0" xr:uid="{F74FEA62-6CFD-432E-B198-37DCC11A989E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G34" authorId="0" shapeId="0" xr:uid="{DF167745-0C50-46B3-930C-C8488B59F834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H34" authorId="0" shapeId="0" xr:uid="{2CA57D46-DEAB-43DF-A7DF-B408058A6350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K34" authorId="0" shapeId="0" xr:uid="{976FDE26-2E8C-4AA0-BF76-19FCE3F822F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L34" authorId="0" shapeId="0" xr:uid="{609CCE26-040B-4660-A356-E99E050826EF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O34" authorId="0" shapeId="0" xr:uid="{B1F0FA79-D4C3-428C-8C13-982250598E8F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P34" authorId="0" shapeId="0" xr:uid="{9A41E6CB-0071-493B-9C66-929092F5D4D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S34" authorId="0" shapeId="0" xr:uid="{8CF0433F-159D-4290-8ECB-70D2DC4CA417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T34" authorId="0" shapeId="0" xr:uid="{F1CE3D3F-6395-4D75-AE5C-F9BB731BF1C0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W34" authorId="0" shapeId="0" xr:uid="{6B3EF7DD-377E-45B2-97C5-47D1AC6FF847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X34" authorId="0" shapeId="0" xr:uid="{8A3541AC-2E06-466A-891F-C3B3A92F57A3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A34" authorId="0" shapeId="0" xr:uid="{58545077-644E-45D5-8966-5CE36B828721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B34" authorId="0" shapeId="0" xr:uid="{23008A51-A825-4D45-8D6F-A3A0784B45C8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E34" authorId="0" shapeId="0" xr:uid="{97D44C7C-8E19-459C-987C-BE8E1D822F9B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F34" authorId="0" shapeId="0" xr:uid="{3ABAC3B4-7E27-4B1F-8BFD-2B3633BC84DA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I34" authorId="0" shapeId="0" xr:uid="{97922A70-48EC-425F-9874-2C921B6A2BF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J34" authorId="0" shapeId="0" xr:uid="{9EACE87D-D8A4-46F8-8EEF-64769128A36D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M34" authorId="0" shapeId="0" xr:uid="{CE910DD3-35CF-4479-AB16-E0782ED3CF1A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N34" authorId="0" shapeId="0" xr:uid="{35492C6C-564C-4C96-B629-C8B1231714A0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Q34" authorId="0" shapeId="0" xr:uid="{C6411937-C883-4B04-B8F8-CCE13A6D421E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R34" authorId="0" shapeId="0" xr:uid="{6AAA8466-239B-4AC6-9C05-293B26A05F97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U34" authorId="0" shapeId="0" xr:uid="{F1386ABE-6C5A-4988-9751-75A039EB36B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V34" authorId="0" shapeId="0" xr:uid="{81EFB24F-AA6F-4353-8330-333B506CAAA5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O46" authorId="0" shapeId="0" xr:uid="{805A16C3-1896-4FE2-B4E7-F74981A075AF}">
      <text>
        <r>
          <rPr>
            <b/>
            <sz val="8"/>
            <color indexed="81"/>
            <rFont val="Segoe UI"/>
            <family val="2"/>
          </rPr>
          <t>REAJUSTE DE 7% A PARTIR DO VENCTº DE 02/2025. NESTE MÊS PAGUEI EM 12/08/25 COM MULTA DE $40,28 E JUROS DE $2,68, TOTAL DE $1385,90, PORQUE O APP DO INTER APRESENTOU PROBLEMA NO DIA 11/08/25, QUANDO TENTEI PAGAR, MAS SEM SUCESSO. A CONSERVADORA SE NEGOU A EMITIR NOVO BOLETO OU A PERMITIR OUTRA FORMA DE PAGAMENTO SEM ACRÉSCIMOS...</t>
        </r>
      </text>
    </comment>
    <comment ref="S46" authorId="0" shapeId="0" xr:uid="{06296C3D-901B-42C8-9CA3-E819776B782A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W46" authorId="0" shapeId="0" xr:uid="{F5626A53-17B8-42F6-8B33-E452148B371E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A46" authorId="0" shapeId="0" xr:uid="{C5C4755C-3271-47F6-9982-E2F4E834F8D3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E46" authorId="0" shapeId="0" xr:uid="{13EAFD02-66A7-477C-BD22-4F44B66DC01D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I46" authorId="0" shapeId="0" xr:uid="{21EC51CA-CD66-4D8B-96B2-38997B887B56}">
      <text>
        <r>
          <rPr>
            <b/>
            <sz val="8"/>
            <color indexed="81"/>
            <rFont val="Segoe UI"/>
            <family val="2"/>
          </rPr>
          <t>REAJUSTE DE 7% A PARTIR DO VENCTº DE 02/2025</t>
        </r>
      </text>
    </comment>
    <comment ref="AM46" authorId="0" shapeId="0" xr:uid="{79F113E0-5AFC-4674-B45C-9BCE2C9533D8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Q46" authorId="0" shapeId="0" xr:uid="{7DF57042-12FB-41C9-91D9-010C329C76A2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U46" authorId="0" shapeId="0" xr:uid="{D8DDB716-B319-4520-B65F-6BFE986EBA95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K47" authorId="0" shapeId="0" xr:uid="{DB41036A-69ED-4870-A760-070EC138FD67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O47" authorId="0" shapeId="0" xr:uid="{22B0A69F-40C5-42FA-9B5E-5F88BBCE2943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S47" authorId="0" shapeId="0" xr:uid="{231BDBD6-EF0B-437C-ACD6-3D4C2F76A03E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W47" authorId="0" shapeId="0" xr:uid="{0666CBC3-C325-4AF1-A576-93D50DA7ADFF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A47" authorId="0" shapeId="0" xr:uid="{CF2D9DD1-9E4B-4126-B459-DC264F6E556D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E47" authorId="0" shapeId="0" xr:uid="{A1ED3785-9C09-41E5-9FAD-1393BC17DF52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I47" authorId="0" shapeId="0" xr:uid="{0A7DA6A7-8234-4FE0-8107-2ADC56526E95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M47" authorId="0" shapeId="0" xr:uid="{B8531783-63E0-48F5-B06C-2591F7EF60B4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Q47" authorId="0" shapeId="0" xr:uid="{D33B395B-7C20-46ED-BD7A-211E00A8B7DC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AU47" authorId="0" shapeId="0" xr:uid="{D9FE7645-70AB-4852-88BE-0DF2C50D1368}">
      <text>
        <r>
          <rPr>
            <b/>
            <sz val="8"/>
            <color indexed="81"/>
            <rFont val="Segoe UI"/>
            <family val="2"/>
          </rPr>
          <t>A PARTIR DO VR. A PAGAR EM 16/06/25: REAJUSTE DE $1.194,17 PARA $1.291,14, LÍQUIDO DE R$1.231,11 APÓS AS RETENÇÕES FEDERAIS.</t>
        </r>
      </text>
    </comment>
    <comment ref="C48" authorId="0" shapeId="0" xr:uid="{5A04A9D4-36FE-45DD-8EC1-C29C1C8F9368}">
      <text>
        <r>
          <rPr>
            <sz val="8"/>
            <color indexed="81"/>
            <rFont val="Segoe UI"/>
            <family val="2"/>
          </rPr>
          <t xml:space="preserve">O CONSUMO DO CONDOMÍNIO REFERENTE À LEITURA DE 24/04/25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EM VISTA DO AJUSTE QUE FOI FEITO EM 04/04/25 NA CONTA ANTERIOR</t>
        </r>
        <r>
          <rPr>
            <sz val="8"/>
            <color indexed="81"/>
            <rFont val="Segoe UI"/>
            <family val="2"/>
          </rPr>
          <t>, APURADA ANTERIORMENTE COM BASE NA MÉDIA DE CONSUMO</t>
        </r>
      </text>
    </comment>
    <comment ref="D48" authorId="0" shapeId="0" xr:uid="{2FFBA311-0223-4CAA-9791-EEC4177DEA09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H48" authorId="0" shapeId="0" xr:uid="{035079E5-CF3C-498A-9499-E24CADEF98C2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K48" authorId="0" shapeId="0" xr:uid="{C962E3FC-53AE-4E19-952F-A1246A49C267}">
      <text>
        <r>
          <rPr>
            <sz val="8"/>
            <color indexed="81"/>
            <rFont val="Segoe UI"/>
            <family val="2"/>
          </rPr>
          <t xml:space="preserve">O CONSUMO DO CONDOMÍNIO REFERENTE À LEITURA DE 24/06/25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PARECE QUE FOI FEITA LEITURA ERRADA PELA COPASA NO HIDRÔMETRO...</t>
        </r>
      </text>
    </comment>
    <comment ref="L48" authorId="0" shapeId="0" xr:uid="{20D17E39-EDEB-4028-90B7-FC6928D8AA4F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O48" authorId="0" shapeId="0" xr:uid="{A8A276BD-3651-44C0-AD2E-C19A07663A3C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P48" authorId="0" shapeId="0" xr:uid="{F23296E2-8B3D-4F79-A4A0-B9BF65DFC35E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S48" authorId="0" shapeId="0" xr:uid="{0EEF4825-DB59-4DD0-BE92-8E42B688AE89}">
      <text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T48" authorId="0" shapeId="0" xr:uid="{C668B696-1F65-4364-A99A-380AD33DEE9A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X48" authorId="0" shapeId="0" xr:uid="{65641368-B3FA-4B7C-828A-23B591125ADD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B48" authorId="0" shapeId="0" xr:uid="{AB438F04-A6B1-4C7C-9AFC-065AE5051127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F48" authorId="0" shapeId="0" xr:uid="{784468C6-F3A7-4B68-916A-661573513CB0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J48" authorId="0" shapeId="0" xr:uid="{C723EB71-D9BB-4374-AEB7-E1F2F4C862E6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N48" authorId="0" shapeId="0" xr:uid="{45B18D69-0330-441A-9658-D91F8ED6A955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R48" authorId="0" shapeId="0" xr:uid="{A9354281-1C9F-4B4D-A150-F7E2C913F960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V48" authorId="0" shapeId="0" xr:uid="{65EDDB7C-A56E-4DB6-8F00-4CD1BC9C52C9}">
      <text>
        <r>
          <rPr>
            <b/>
            <sz val="8"/>
            <color indexed="81"/>
            <rFont val="Segoe UI"/>
            <family val="2"/>
          </rPr>
          <t>INFORMAR AQUI A DATA DA CONTA QUE VENCE NO MÊS DA REF. DESTE LANÇTº</t>
        </r>
      </text>
    </comment>
    <comment ref="AY48" authorId="0" shapeId="0" xr:uid="{06BA8F4D-2CB8-4181-ADF1-847DBE613EB1}">
      <text>
        <r>
          <rPr>
            <b/>
            <sz val="8"/>
            <color indexed="81"/>
            <rFont val="Segoe UI"/>
            <family val="2"/>
          </rPr>
          <t>ESTE É O VALOR A SER INFORMADO NA PLANILHA A ENVIAR PARA OS CONDÔMINOS. É RESULTANTE DO RATEIO REFERENTE À LEITURA FEITA NO PRÓPRIO MÊS DA REF., E A DATA É A DA CONTA QUE VENCE NO MÊS DA REF.</t>
        </r>
      </text>
    </comment>
    <comment ref="G50" authorId="0" shapeId="0" xr:uid="{2073175B-62A6-4F8C-B17B-021B22A9976D}">
      <text>
        <r>
          <rPr>
            <b/>
            <sz val="8"/>
            <color indexed="81"/>
            <rFont val="Segoe UI"/>
            <family val="2"/>
          </rPr>
          <t>ALTERAÇÃO FEITA EM 06/06/25, QUANDO ESTE LEVANTAMENTO JÁ TINHA SIDO FECHADO E ENTREGUE AOS CONDÔMINOS:  SÓ HAVERÁ RECOLHTº REF. À CONSERVADORA, $165,98 (TKE: LANÇOU "COMPETÊNCIA 06/2025" NA NF QUE DEVERIA SER "COMPETÊNCIA 05/2025")</t>
        </r>
      </text>
    </comment>
    <comment ref="K50" authorId="0" shapeId="0" xr:uid="{639EFF6B-3640-45EB-A68B-FC978C807851}">
      <text>
        <r>
          <rPr>
            <b/>
            <sz val="8"/>
            <color indexed="81"/>
            <rFont val="Segoe UI"/>
            <family val="2"/>
          </rPr>
          <t>O VALOR TOTAL A SER RECOLHIDO SERÁ DE R$286,04 (TKE LANÇOU "COMPETÊNCIA 06/2025" NA NF QUE DEVERIA SER "COMPETÊNCIA 05/2025")</t>
        </r>
      </text>
    </comment>
    <comment ref="AM50" authorId="1" shapeId="0" xr:uid="{ED35559E-0553-4186-84A7-8F35B4F478E5}">
      <text>
        <r>
          <rPr>
            <b/>
            <sz val="8"/>
            <color indexed="81"/>
            <rFont val="Segoe UI"/>
            <family val="2"/>
          </rPr>
          <t>O VALOR CORRETO É $226,01, E NÃO $238,46, ESTE ÚLTIMO CALCULADO COM BASE NO REAJUSTE DA MENSALIDADE DA CONSERVADORA, QUE SÓ VIGORARÁ A PARTIR DA COMPETÊNCIA 02/2026, COM RECOLHTº EM 03/2026</t>
        </r>
      </text>
    </comment>
    <comment ref="AQ50" authorId="1" shapeId="0" xr:uid="{917123DB-F9BA-4800-9522-25B6B8D0D12D}">
      <text>
        <r>
          <rPr>
            <b/>
            <sz val="8"/>
            <color indexed="81"/>
            <rFont val="Segoe UI"/>
            <family val="2"/>
          </rPr>
          <t>O VALOR CORRETO É $226,01, E NÃO $238,46, ESTE ÚLTIMO CALCULADO COM BASE NO REAJUSTE DA MENSALIDADE DA CONSERVADORA, QUE SÓ VIGORARÁ A PARTIR DA COMPETÊNCIA 02/2026, COM RECOLHTº EM 03/2026</t>
        </r>
      </text>
    </comment>
    <comment ref="AY50" authorId="0" shapeId="0" xr:uid="{41F494B8-C4C9-4C89-88D3-30587EE9EED2}">
      <text>
        <r>
          <rPr>
            <b/>
            <sz val="8"/>
            <color indexed="81"/>
            <rFont val="Segoe UI"/>
            <family val="2"/>
          </rPr>
          <t>NOVA DESCRIÇÃO, ADOTADA A PARTIR DE 08/09/25. A ANTERIOR ERA: "MINISTÉRIO DA FAZENDA- RET. FEDERAL INSS/PIS/COFINS/CSLL"</t>
        </r>
      </text>
    </comment>
    <comment ref="AM51" authorId="1" shapeId="0" xr:uid="{23FB0F93-4F3D-40DB-A1AD-05103049C786}">
      <text>
        <r>
          <rPr>
            <b/>
            <sz val="8"/>
            <color indexed="81"/>
            <rFont val="Segoe UI"/>
            <family val="2"/>
          </rPr>
          <t>FOI PAGA EM ATRASO, C/JUROS</t>
        </r>
      </text>
    </comment>
    <comment ref="C53" authorId="0" shapeId="0" xr:uid="{03DE3096-F479-4D1C-9987-20D04768B5D3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G53" authorId="0" shapeId="0" xr:uid="{2AC22DCD-B414-43EB-A4DC-EB58958C0637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K53" authorId="0" shapeId="0" xr:uid="{D887495D-BD49-4C2C-A81B-7D885EADB2C6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O53" authorId="0" shapeId="0" xr:uid="{6BFCC3F4-C93E-4277-B491-A5CEBF916ABC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S53" authorId="0" shapeId="0" xr:uid="{3A02ACF7-7996-429A-8C71-56DAA08D6E38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W53" authorId="0" shapeId="0" xr:uid="{FED6099C-6AC8-42ED-9E8F-2D407CEFBD1F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A53" authorId="0" shapeId="0" xr:uid="{5A208A5B-59AB-40F4-9800-C8DC49593A3A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E53" authorId="0" shapeId="0" xr:uid="{D310F7A3-AF08-4B78-8F96-624D16980EC0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I53" authorId="0" shapeId="0" xr:uid="{75607B71-2CC0-4D68-83A2-76C5C889EB27}">
      <text>
        <r>
          <rPr>
            <b/>
            <sz val="8"/>
            <color indexed="81"/>
            <rFont val="Segoe UI"/>
            <family val="2"/>
          </rPr>
          <t>NOVO VALOR DESDE 02/2025, $151,60</t>
        </r>
      </text>
    </comment>
    <comment ref="AM53" authorId="0" shapeId="0" xr:uid="{5E146DBA-99CD-4D79-907F-5039134BA43C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Q53" authorId="0" shapeId="0" xr:uid="{9C3DE7CF-D106-4CE7-B189-1F54C0CB41C0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AU53" authorId="0" shapeId="0" xr:uid="{2371E244-1795-4303-AB65-802E81AF286D}">
      <text>
        <r>
          <rPr>
            <b/>
            <sz val="8"/>
            <color indexed="81"/>
            <rFont val="Segoe UI"/>
            <family val="2"/>
          </rPr>
          <t>REAJUSTE DE 7,5% A PARTIR DO VENCTº DE 02/2026</t>
        </r>
      </text>
    </comment>
    <comment ref="C54" authorId="0" shapeId="0" xr:uid="{75065D4D-A0F2-407F-94AA-AE65CC8165A9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G54" authorId="0" shapeId="0" xr:uid="{C5BF7BFD-2E05-4E8D-8E88-E57CE92A57B9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K54" authorId="0" shapeId="0" xr:uid="{2B20671C-BEF9-4475-8B56-1DC6D29A8DE0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O54" authorId="0" shapeId="0" xr:uid="{A03236BD-3504-4998-9EA7-4C3BAB17468A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S54" authorId="0" shapeId="0" xr:uid="{7505B5B2-B8F0-479B-9F31-08A144BA1896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W54" authorId="0" shapeId="0" xr:uid="{83A49176-D73A-405B-9736-BB55AC51AF14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A54" authorId="0" shapeId="0" xr:uid="{09FD48B9-86B0-48B8-8B12-04AF060A21EE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E54" authorId="0" shapeId="0" xr:uid="{60066CD5-D4E1-46EB-B57F-7A80668267E5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I54" authorId="0" shapeId="0" xr:uid="{0E62F13B-7890-4DA2-8182-7F28FB6D9970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M54" authorId="0" shapeId="0" xr:uid="{2FBDF66A-C587-45E9-A9C1-D40E5A49ACC0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Q54" authorId="0" shapeId="0" xr:uid="{4823E055-044B-46D0-82DD-C46AD24BC4E7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AU54" authorId="0" shapeId="0" xr:uid="{55356508-AA91-4C51-A2D9-09F53371111A}">
      <text>
        <r>
          <rPr>
            <b/>
            <sz val="8"/>
            <color indexed="81"/>
            <rFont val="Segoe UI"/>
            <family val="2"/>
          </rPr>
          <t>NOVO VALOR A PARTIR DE 04/2024, $65,00</t>
        </r>
      </text>
    </comment>
    <comment ref="O55" authorId="0" shapeId="0" xr:uid="{985C98C1-86EA-47B0-8E5D-82214E03D2DF}">
      <text>
        <r>
          <rPr>
            <b/>
            <sz val="8"/>
            <color indexed="81"/>
            <rFont val="Segoe UI"/>
            <family val="2"/>
          </rPr>
          <t>CONFORME ARQUIVO "CADEADO PARA CX CORREIO DA GARAGEM 20250707 NF",  DA PASTA "H\Outr\Aptº PE\Condomínio Neápolis"</t>
        </r>
      </text>
    </comment>
    <comment ref="O56" authorId="0" shapeId="0" xr:uid="{ED398348-1933-4807-94D5-C68A52A11D8B}">
      <text>
        <r>
          <rPr>
            <b/>
            <sz val="8"/>
            <color indexed="81"/>
            <rFont val="Segoe UI"/>
            <family val="2"/>
          </rPr>
          <t>CONFORME ARQUIVO "CHAVES RESERVA 2 PARA CADEADO DA CX CORREIO DA GARAGEM 20250707 RECIBO",  DA PASTA "H\Outr\Aptº PE\Condomínio Neápolis"</t>
        </r>
      </text>
    </comment>
    <comment ref="O57" authorId="0" shapeId="0" xr:uid="{2F4926D0-C3E2-44F1-B87A-7D4C8596BD1A}">
      <text>
        <r>
          <rPr>
            <b/>
            <sz val="8"/>
            <color indexed="81"/>
            <rFont val="Segoe UI"/>
            <family val="2"/>
          </rPr>
          <t>CONFORME ARQUIVO "LOJA ELÉTRICA LÂMPADAS RESERVA 20250801 NF",  DA PASTA "H\Outr\Aptº PE\Condomínio Neápolis"</t>
        </r>
      </text>
    </comment>
    <comment ref="W62" authorId="0" shapeId="0" xr:uid="{F336A0E1-6540-40E2-B12C-362E9DCA698F}">
      <text>
        <r>
          <rPr>
            <b/>
            <sz val="8"/>
            <color indexed="81"/>
            <rFont val="Segoe UI"/>
            <family val="2"/>
          </rPr>
          <t>ABATER DO FUNDO DE RESERVA - VER ARQ. "AVCB CÓPIA DO PROJETO DE INCÊNDIO 20250923 RECIBO" E ... NA PASTA "H\Outr\Condomínio Neápolis"</t>
        </r>
      </text>
    </comment>
    <comment ref="AY62" authorId="0" shapeId="0" xr:uid="{48031715-8673-4A99-8FB9-5218527A2223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Y63" authorId="0" shapeId="0" xr:uid="{1B3DF02C-76D6-4C1D-A2DC-8FA5283A61D9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Y64" authorId="0" shapeId="0" xr:uid="{BE15BB33-BF36-470C-9C11-EB225E8A484A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AY65" authorId="0" shapeId="0" xr:uid="{DAAAD3B0-9BCA-4157-9F1B-D7A2F75AD5E0}">
      <text>
        <r>
          <rPr>
            <b/>
            <sz val="8"/>
            <color indexed="81"/>
            <rFont val="Segoe UI"/>
            <family val="2"/>
          </rPr>
          <t>ABATER DO FUNDO DE RESERVA A CONSULTORIA A SER COBRADA - VER ARQ. "AVCB CÓPIA DO PROJETO DE INCÊNDIO 20250923 RECIBO"NA PASTA "H\Outr\Condomínio Neápolis"</t>
        </r>
      </text>
    </comment>
    <comment ref="D67" authorId="0" shapeId="0" xr:uid="{50813A1A-6F2F-4A83-BFFD-BE30D51361AE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H67" authorId="0" shapeId="0" xr:uid="{C3DE2BF1-E45B-4F3C-8AC9-74F088DADF95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L67" authorId="0" shapeId="0" xr:uid="{C9CCDC9C-0D2B-4930-BEFC-5964DBCF6069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P67" authorId="0" shapeId="0" xr:uid="{12CE7DDA-644E-468F-A67B-5B6A99186041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T67" authorId="0" shapeId="0" xr:uid="{C09D4DA4-3706-46DF-8EB1-C822E7D3CCD2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X67" authorId="0" shapeId="0" xr:uid="{B2965BAC-BBC1-4101-98BD-2A9A3F10012D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B67" authorId="0" shapeId="0" xr:uid="{A86BCA36-F90F-4E81-BC0B-AF223914B518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F67" authorId="0" shapeId="0" xr:uid="{3B958965-39A1-4EBC-B921-59313629D91A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J67" authorId="0" shapeId="0" xr:uid="{B4DEADC4-4E88-4EC7-9B7A-785E7E7E33AF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N67" authorId="0" shapeId="0" xr:uid="{AD4FA7C1-0472-4123-9AEE-1C32648CB650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R67" authorId="0" shapeId="0" xr:uid="{B442FC73-B8E4-4620-B5B6-CFF26A42BAF3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V67" authorId="0" shapeId="0" xr:uid="{ED22428C-F7A1-4448-B1A6-95F5592685E8}">
      <text>
        <r>
          <rPr>
            <b/>
            <sz val="8"/>
            <color indexed="81"/>
            <rFont val="Segoe UI"/>
            <family val="2"/>
          </rPr>
          <t>INFORMAR AQUI A DATA DA CONTA QUE VENCE NO MÊS SEGUINTE AO MÊS DA REF. DESTE LANÇTº</t>
        </r>
      </text>
    </comment>
    <comment ref="AY67" authorId="0" shapeId="0" xr:uid="{55B721ED-FF03-425A-80EA-15DBAD771C8B}">
      <text>
        <r>
          <rPr>
            <b/>
            <sz val="8"/>
            <color indexed="81"/>
            <rFont val="Segoe UI"/>
            <family val="2"/>
          </rPr>
          <t>O VALOR AQUI LANÇADO NÃO É INFORMADO NA PLANILHA A ENVIAR PARA OS CONDÔMINOS. É O VALOR DA CONTA QUE VENCE NA PRÓPRIA REF. DO PRESENTE LANÇAMENTO, E A DATA É A DA CONTA QUE VENCE NO MÊS DA REF.</t>
        </r>
      </text>
    </comment>
    <comment ref="AY68" authorId="0" shapeId="0" xr:uid="{42BBDE0A-D54D-43E7-98B7-B3BC46E5263A}">
      <text>
        <r>
          <rPr>
            <b/>
            <sz val="9"/>
            <color indexed="81"/>
            <rFont val="Segoe UI"/>
            <family val="2"/>
          </rPr>
          <t>GÁS ABASTECTº: É COBRADO DE CADA CONDÔMINO POR RATEIO, CONF. PLANILHA "VALORES DEVIDOS POR UNIDADE"</t>
        </r>
      </text>
    </comment>
    <comment ref="AY69" authorId="0" shapeId="0" xr:uid="{777A888F-CCCC-4332-962C-9D6691312023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G70" authorId="0" shapeId="0" xr:uid="{9EB18B96-DF97-4836-AF43-52D19AF8E587}">
      <text>
        <r>
          <rPr>
            <b/>
            <sz val="8"/>
            <color indexed="81"/>
            <rFont val="Segoe UI"/>
            <family val="2"/>
          </rPr>
          <t>CONFORME ARQUIVO "CÂMERAS E INTERFONES CLAUDINEY ENTRADA PIX CC INTER" DA PASTA "H\Outr\Aptº PE\Condomínio Neápolis"</t>
        </r>
      </text>
    </comment>
    <comment ref="O70" authorId="0" shapeId="0" xr:uid="{A34CA8AD-FED4-4BAF-A320-36F3ECA866A2}">
      <text>
        <r>
          <rPr>
            <b/>
            <sz val="8"/>
            <color indexed="81"/>
            <rFont val="Segoe UI"/>
            <family val="2"/>
          </rPr>
          <t>CONFORME ARQUIVOS "CÂMERAS E INTERFONES CLAUDINEY PAGTº 20250707 PIX CC INTER", "CÂMERAS E INTERFONES CLAUDINEY PAGTº 20250807 PIX CC INTER" E "MONITOR DE CÂMERAS PARA HALL DO 1º ANDAR 20250711 RECIBO",  DA PASTA "H\Outr\Aptº PE\Condomínio Neápolis"</t>
        </r>
      </text>
    </comment>
    <comment ref="W71" authorId="0" shapeId="0" xr:uid="{76ECC8D9-2EC0-43A5-9908-068C5E128FC8}">
      <text>
        <r>
          <rPr>
            <b/>
            <sz val="8"/>
            <color indexed="81"/>
            <rFont val="Segoe UI"/>
            <family val="2"/>
          </rPr>
          <t>ABATER DO FUNDO DE RESERVA - VER ARQ. "Garagem sinalização na rua VENCTº 20250920 NFSE" NA PASTA "H\Outr\Condomínio Neápolis"</t>
        </r>
      </text>
    </comment>
    <comment ref="AY71" authorId="0" shapeId="0" xr:uid="{1D28D2B3-C6E1-4D72-8335-AE834102E2C4}">
      <text>
        <r>
          <rPr>
            <b/>
            <sz val="8"/>
            <color indexed="81"/>
            <rFont val="Segoe UI"/>
            <family val="2"/>
          </rPr>
          <t>ABATER DO FUNDO DE RESERVA - VER ARQ. "Garagem sinalização na rua VENCTº 20250920 NFSE" NA PASTA "H\Outr\Condomínio Neápolis"</t>
        </r>
      </text>
    </comment>
    <comment ref="C76" authorId="0" shapeId="0" xr:uid="{C996227E-AD9B-41ED-A424-01235AD01976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D76" authorId="0" shapeId="0" xr:uid="{2911D3B1-26E7-4072-987E-0A948C013A19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G76" authorId="0" shapeId="0" xr:uid="{3F7CE923-494C-4E29-89CA-7663B4920E93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H76" authorId="0" shapeId="0" xr:uid="{A1AE5ED1-931E-42B7-8B4C-7F3F3E2B8F12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K76" authorId="0" shapeId="0" xr:uid="{F9ABF551-D117-41D2-AE86-C97542B5529B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L76" authorId="0" shapeId="0" xr:uid="{69CD7A09-4CAD-4B95-9A22-7377B58FC4E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O76" authorId="0" shapeId="0" xr:uid="{3F99033A-D78C-4315-B61D-DA98720A288D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P76" authorId="0" shapeId="0" xr:uid="{57F87DF6-09F9-4310-B61E-F951BB52577F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T76" authorId="0" shapeId="0" xr:uid="{6BBEEF4C-F3E2-4F9E-B300-648BE279D39F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X76" authorId="0" shapeId="0" xr:uid="{EDAC6A4F-84CF-4C7B-9421-E211741DDF13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B76" authorId="0" shapeId="0" xr:uid="{22486535-51BF-4096-AC41-670566899F0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F76" authorId="0" shapeId="0" xr:uid="{EAC07C7E-1465-4EDE-A8C1-3DB5FE84D268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J76" authorId="0" shapeId="0" xr:uid="{35696596-BA5A-4238-BCAB-05448FCF02E9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N76" authorId="0" shapeId="0" xr:uid="{20E797A3-8109-4911-9B1F-841404637524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R76" authorId="0" shapeId="0" xr:uid="{1E2AE794-4A60-4EFB-8018-F250199F302A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V76" authorId="0" shapeId="0" xr:uid="{BF03D4E6-BE95-4636-95B2-BB1D4BF66D53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Y76" authorId="0" shapeId="0" xr:uid="{1657CE8A-0198-43CB-8001-CF668A928F96}">
      <text>
        <r>
          <rPr>
            <b/>
            <sz val="8"/>
            <color indexed="81"/>
            <rFont val="Segoe UI"/>
            <family val="2"/>
          </rPr>
          <t>IGUAL AO RATEIO DAS DESPESAS MAIS COPASA MAIS GÁS; O SÍNDICO SÓ PAGA O FUNDO DE RESERVA (ALTERAÇÃO FEITA EM 11/08/25)</t>
        </r>
      </text>
    </comment>
    <comment ref="D77" authorId="0" shapeId="0" xr:uid="{37F78247-03E7-450C-B85A-5F8D37E33798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G77" authorId="0" shapeId="0" xr:uid="{83DFA8A2-8951-4CEA-B4BE-3F6BA2312579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H77" authorId="0" shapeId="0" xr:uid="{F578ADA8-DB32-42BE-B8E9-D2B1B553014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K77" authorId="0" shapeId="0" xr:uid="{64EBCD7B-DDE2-46F2-9E48-D859EFC94C49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L77" authorId="0" shapeId="0" xr:uid="{2ECE3D9D-9458-4BCE-819F-FD6E390B1E72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O77" authorId="0" shapeId="0" xr:uid="{EA589008-D4EF-4E69-B7E0-1330F7A343F0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P77" authorId="0" shapeId="0" xr:uid="{92BC803B-A139-4773-9532-23E87BC2B102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S77" authorId="0" shapeId="0" xr:uid="{50FC0D2F-AE80-432E-932D-2A6AB01AE0A2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T77" authorId="0" shapeId="0" xr:uid="{734FDA0E-8209-4C79-91EE-0947546ED7E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W77" authorId="0" shapeId="0" xr:uid="{A30FBDD4-F0B8-43AE-94BC-2F606EF4A81E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X77" authorId="0" shapeId="0" xr:uid="{7726869B-E038-458C-9236-0A439108E78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A77" authorId="0" shapeId="0" xr:uid="{BC77169E-4F7A-4968-841A-B4F32898F8D2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B77" authorId="0" shapeId="0" xr:uid="{CD51716F-70BE-4973-AB28-980A8A3A99AA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E77" authorId="0" shapeId="0" xr:uid="{F8943275-93E3-4AD0-AD50-1F99A8A2AC8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F77" authorId="0" shapeId="0" xr:uid="{8088EE99-CE83-485A-8DDE-F227C2754EB3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I77" authorId="0" shapeId="0" xr:uid="{90C3A055-ADC5-4F35-BCF3-31A57540B0B3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J77" authorId="0" shapeId="0" xr:uid="{DF8CC698-4C4E-41AC-87FB-FE5BC3D35B4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M77" authorId="0" shapeId="0" xr:uid="{1668C515-14DA-4E08-BEDE-B96251748D5C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N77" authorId="0" shapeId="0" xr:uid="{ED548F2A-52BF-4F27-8F8D-0481CF8D7105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Q77" authorId="0" shapeId="0" xr:uid="{A77EA684-5D7E-427B-BA95-A0F62B3EC23F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R77" authorId="0" shapeId="0" xr:uid="{1F9439E5-F92C-4BD5-9CE4-99F0E01AF643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U77" authorId="0" shapeId="0" xr:uid="{458FCCBE-B33D-4F9E-A99C-37E73741E365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  <comment ref="AV77" authorId="0" shapeId="0" xr:uid="{CB5148E4-B58B-40B6-92BD-292EDFC8D4E6}">
      <text>
        <r>
          <rPr>
            <b/>
            <sz val="8"/>
            <color indexed="81"/>
            <rFont val="Segoe UI"/>
            <family val="2"/>
          </rPr>
          <t>TEM FÓRMULA DE "IGUAL"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D2" authorId="0" shapeId="0" xr:uid="{E388331C-FC14-403D-8AD9-B7B3FCFAEF73}">
      <text>
        <r>
          <rPr>
            <b/>
            <sz val="8"/>
            <color indexed="81"/>
            <rFont val="Segoe UI"/>
            <family val="2"/>
          </rPr>
          <t>DO VALOR TOTAL A PAGAR É DESCONTADA INTERNET ORIGINADA DESTE APTº PARA TRANSMISSÃO DE IMAGENS DAS CÂMERAS, CONFORME DEMONSTRATIVO A PARTE</t>
        </r>
      </text>
    </comment>
    <comment ref="G2" authorId="0" shapeId="0" xr:uid="{44781E44-8ED5-4095-B85B-E6F021A55603}">
      <text>
        <r>
          <rPr>
            <b/>
            <sz val="8"/>
            <color indexed="81"/>
            <rFont val="Segoe UI"/>
            <family val="2"/>
          </rPr>
          <t>A PRÓPRIA INQUILINA PAGA O CONDOMÍNIO E O FUNDO DE RESERVA, AQUI DEMONSTRADOS</t>
        </r>
      </text>
    </comment>
    <comment ref="J2" authorId="0" shapeId="0" xr:uid="{1C09BF1A-6E6D-4086-A10F-40EC6666FCFF}">
      <text>
        <r>
          <rPr>
            <b/>
            <sz val="8"/>
            <color indexed="81"/>
            <rFont val="Segoe UI"/>
            <family val="2"/>
          </rPr>
          <t>O PRÓPRIO INQUILINO PAGA O CONDOMÍNIO E O FUNDO DE RESERVA, AQUI DEMONSTRADOS</t>
        </r>
      </text>
    </comment>
    <comment ref="L2" authorId="0" shapeId="0" xr:uid="{31D4F2FF-96F8-4119-B238-850D135388B7}">
      <text>
        <r>
          <rPr>
            <b/>
            <sz val="8"/>
            <color indexed="81"/>
            <rFont val="Segoe UI"/>
            <family val="2"/>
          </rPr>
          <t>O FUNDO DE RESERVA, AQUI SOMADO, NA VERDADE É DEPOSITADO PELO PROPRIETÁRIO DO APTº DIRETO NA C/C DO CONDOMÍNIO, CONFORME DEMONSTRATIVO A PARTE</t>
        </r>
      </text>
    </comment>
    <comment ref="P2" authorId="0" shapeId="0" xr:uid="{3249920D-C7BE-49E9-9856-43FEE60B7B35}">
      <text>
        <r>
          <rPr>
            <b/>
            <sz val="8"/>
            <color indexed="81"/>
            <rFont val="Segoe UI"/>
            <family val="2"/>
          </rPr>
          <t>OS ADIANTAMENTOS PORVENTURA FEITOS PELO PROPRIETÁRIO ESTÃO DESCRITOS EM DEMONSTRATIVO A PARTE</t>
        </r>
      </text>
    </comment>
    <comment ref="Q2" authorId="0" shapeId="0" xr:uid="{18DF0708-054B-4B1F-8FDC-44DBF3504292}">
      <text>
        <r>
          <rPr>
            <b/>
            <sz val="8"/>
            <color indexed="81"/>
            <rFont val="Segoe UI"/>
            <family val="2"/>
          </rPr>
          <t>DO TOTAL DEVIDO, O SÍNDICO SÓ PAGA O FUNDO DE RESERVA. O REAL VALOR NÃO PAGO PELO SÍNDICO É O ITEM "PAGAMENTO SERVIÇO DO SÍNDICO", DESCRITO EM DEMONSTRATIVO A PARTE, BEM MENOR QUE O VALOR AQUI MOSTRADO</t>
        </r>
      </text>
    </comment>
    <comment ref="R2" authorId="0" shapeId="0" xr:uid="{8D17BAE2-BD7F-49A0-8BE0-CB6CBE61D2FB}">
      <text>
        <r>
          <rPr>
            <b/>
            <sz val="8"/>
            <color indexed="81"/>
            <rFont val="Segoe UI"/>
            <family val="2"/>
          </rPr>
          <t>APTº 802 (SÍNDICO): FOI SUBTRAÍDO O TOTAL A PAGAR E SOMADO O FUNDO DE RESERVA. ATÉ A PLANILHA "202507 PLANILHA GERAL" TINHA O ERRO DE SOMAR 1 FUNDO DE RESERVA A MAIS</t>
        </r>
      </text>
    </comment>
    <comment ref="S2" authorId="0" shapeId="0" xr:uid="{8CDE039B-F783-4B1D-BBEA-FCF689EA1E23}">
      <text>
        <r>
          <rPr>
            <b/>
            <sz val="8"/>
            <color indexed="81"/>
            <rFont val="Segoe UI"/>
            <family val="2"/>
          </rPr>
          <t>É O Nº INFORMADO NO CABEÇALHO DA PLANILHA PARA OS CONDÔMINOS ("PLAN P COND")</t>
        </r>
      </text>
    </comment>
    <comment ref="T2" authorId="0" shapeId="0" xr:uid="{4C1512D4-5500-4650-9E5D-0CDB5D8746CC}">
      <text>
        <r>
          <rPr>
            <b/>
            <sz val="8"/>
            <color indexed="81"/>
            <rFont val="Segoe UI"/>
            <family val="2"/>
          </rPr>
          <t>É A DATA INFORMADA NO CABEÇALHO DA PLANILHA PARA OS CONDÔMINOS ("PLAN P COND")</t>
        </r>
      </text>
    </comment>
    <comment ref="U2" authorId="0" shapeId="0" xr:uid="{765283E0-F308-4D36-BBE9-FD6C5634AE34}">
      <text>
        <r>
          <rPr>
            <b/>
            <sz val="8"/>
            <color indexed="81"/>
            <rFont val="Segoe UI"/>
            <family val="2"/>
          </rPr>
          <t>É A DATA INFORMADA NO CABEÇALHO DA PLANILHA PARA OS CONDÔMINOS ("PLAN P COND")</t>
        </r>
      </text>
    </comment>
    <comment ref="AB2" authorId="0" shapeId="0" xr:uid="{A1887869-76BB-4CB6-9A50-E485FE254661}">
      <text>
        <r>
          <rPr>
            <b/>
            <sz val="8"/>
            <color indexed="81"/>
            <rFont val="Segoe UI"/>
            <family val="2"/>
          </rPr>
          <t>DO VALOR TOTAL A PAGAR É DESCONTADA INTERNET ORIGINADA DESTE APTº PARA TRANSMISSÃO DE IMAGENS DAS CÂMERAS, CONFORME DEMONSTRATIVO A PARTE</t>
        </r>
      </text>
    </comment>
    <comment ref="AE2" authorId="0" shapeId="0" xr:uid="{C58C67F0-5FA1-4DF2-8C9D-B53584E1F191}">
      <text>
        <r>
          <rPr>
            <b/>
            <sz val="8"/>
            <color indexed="81"/>
            <rFont val="Segoe UI"/>
            <family val="2"/>
          </rPr>
          <t>A PRÓPRIA INQUILINA PAGA O CONDOMÍNIO E O FUNDO DE RESERVA, AQUI DEMONSTRADOS</t>
        </r>
      </text>
    </comment>
    <comment ref="AH2" authorId="0" shapeId="0" xr:uid="{A2902AFB-04F2-4542-8E31-E5AAEF041632}">
      <text>
        <r>
          <rPr>
            <b/>
            <sz val="8"/>
            <color indexed="81"/>
            <rFont val="Segoe UI"/>
            <family val="2"/>
          </rPr>
          <t>O PRÓPRIO INQUILINO PAGA O CONDOMÍNIO E O FUNDO DE RESERVA, AQUI DEMONSTRADOS</t>
        </r>
      </text>
    </comment>
    <comment ref="AJ2" authorId="0" shapeId="0" xr:uid="{8A641DE1-BB00-46B1-937E-2103F4C5F61F}">
      <text>
        <r>
          <rPr>
            <b/>
            <sz val="8"/>
            <color indexed="81"/>
            <rFont val="Segoe UI"/>
            <family val="2"/>
          </rPr>
          <t>O FUNDO DE RESERVA, AQUI SOMADO, NA VERDADE É DEPOSITADO PELO PROPRIETÁRIO DO APTº DIRETO NA C/C DO CONDOMÍNIO, CONFORME DEMONSTRATIVO A PARTE</t>
        </r>
      </text>
    </comment>
    <comment ref="AN2" authorId="0" shapeId="0" xr:uid="{2DC6A65F-191E-4409-9CA0-FDA11BCF83C6}">
      <text>
        <r>
          <rPr>
            <b/>
            <sz val="8"/>
            <color indexed="81"/>
            <rFont val="Segoe UI"/>
            <family val="2"/>
          </rPr>
          <t>OS ADIANTAMENTOS PORVENTURA FEITOS PELO PROPRIETÁRIO ESTÃO DESCRITOS EM DEMONSTRATIVO A PARTE</t>
        </r>
      </text>
    </comment>
    <comment ref="AO2" authorId="0" shapeId="0" xr:uid="{DC3B3695-383C-468B-A733-70714F5EF6C4}">
      <text>
        <r>
          <rPr>
            <b/>
            <sz val="8"/>
            <color indexed="81"/>
            <rFont val="Segoe UI"/>
            <family val="2"/>
          </rPr>
          <t>DO TOTAL DEVIDO, O SÍNDICO SÓ PAGA O FUNDO DE RESERVA. O REAL VALOR NÃO PAGO PELO SÍNDICO É O ITEM "PAGAMENTO SERVIÇO DO SÍNDICO", DESCRITO EM DEMONSTRATIVO A PARTE, BEM MENOR QUE O VALOR AQUI MOSTRADO</t>
        </r>
      </text>
    </comment>
    <comment ref="AP2" authorId="0" shapeId="0" xr:uid="{99F805BB-20EE-4059-834B-89381EC56D17}">
      <text>
        <r>
          <rPr>
            <b/>
            <sz val="8"/>
            <color indexed="81"/>
            <rFont val="Segoe UI"/>
            <family val="2"/>
          </rPr>
          <t>APTº 802 (SÍNDICO): FOI SUBTRAÍDO O TOTAL A PAGAR E SOMADO O FUNDO DE RESERVA. ATÉ A PLANILHA "202507 PLANILHA GERAL" TINHA O ERRO DE SOMAR 1 FUNDO DE RESERVA A MAIS</t>
        </r>
      </text>
    </comment>
    <comment ref="AQ2" authorId="0" shapeId="0" xr:uid="{E227FAE1-37B2-4BBA-9350-31E64365EF03}">
      <text>
        <r>
          <rPr>
            <b/>
            <sz val="8"/>
            <color indexed="81"/>
            <rFont val="Segoe UI"/>
            <family val="2"/>
          </rPr>
          <t>É O Nº INFORMADO NO CABEÇALHO DA PLANILHA PARA OS CONDÔMINOS ("PLAN P COND")</t>
        </r>
      </text>
    </comment>
    <comment ref="AR2" authorId="0" shapeId="0" xr:uid="{08F1ADFC-A8C4-44F6-A637-B106C636B78F}">
      <text>
        <r>
          <rPr>
            <b/>
            <sz val="8"/>
            <color indexed="81"/>
            <rFont val="Segoe UI"/>
            <family val="2"/>
          </rPr>
          <t>É A DATA INFORMADA NO CABEÇALHO DA PLANILHA PARA OS CONDÔMINOS ("PLAN P COND")</t>
        </r>
      </text>
    </comment>
    <comment ref="AS2" authorId="0" shapeId="0" xr:uid="{CBF7FE27-1AFA-4456-A9E3-BE7360586C0C}">
      <text>
        <r>
          <rPr>
            <b/>
            <sz val="8"/>
            <color indexed="81"/>
            <rFont val="Segoe UI"/>
            <family val="2"/>
          </rPr>
          <t>É A DATA INFORMADA NO CABEÇALHO DA PLANILHA PARA OS CONDÔMINOS ("PLAN P COND")</t>
        </r>
      </text>
    </comment>
    <comment ref="C3" authorId="0" shapeId="0" xr:uid="{A2260673-D847-45C3-B9C4-CFD2573831E7}">
      <text>
        <r>
          <rPr>
            <sz val="8"/>
            <color indexed="81"/>
            <rFont val="Segoe UI"/>
            <family val="2"/>
          </rPr>
          <t xml:space="preserve">O CONSUMO DO CONDOMÍNIO REFERENTE À LEITURA DE 24/04/25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EM VISTA DO AJUSTE QUE FOI FEITO EM 04/04/25 NA CONTA ANTERIOR</t>
        </r>
        <r>
          <rPr>
            <sz val="8"/>
            <color indexed="81"/>
            <rFont val="Segoe UI"/>
            <family val="2"/>
          </rPr>
          <t>, APURADA ANTERIORMENTE COM BASE NA MÉDIA DE CONSUMO</t>
        </r>
      </text>
    </comment>
    <comment ref="AA3" authorId="0" shapeId="0" xr:uid="{9A5909AA-0F99-4298-B947-C351A1C1D06E}">
      <text>
        <r>
          <rPr>
            <sz val="8"/>
            <color indexed="81"/>
            <rFont val="Segoe UI"/>
            <family val="2"/>
          </rPr>
          <t xml:space="preserve">O CONSUMO DO CONDOMÍNIO REFERENTE À LEITURA DE 24/04/25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EM VISTA DO AJUSTE QUE FOI FEITO EM 04/04/25 NA CONTA ANTERIOR</t>
        </r>
        <r>
          <rPr>
            <sz val="8"/>
            <color indexed="81"/>
            <rFont val="Segoe UI"/>
            <family val="2"/>
          </rPr>
          <t>, APURADA ANTERIORMENTE COM BASE NA MÉDIA DE CONSUMO</t>
        </r>
      </text>
    </comment>
    <comment ref="C4" authorId="0" shapeId="0" xr:uid="{14AC5A8B-D7A5-4959-A368-1E0EA7ACA6F0}">
      <text>
        <r>
          <rPr>
            <sz val="8"/>
            <color indexed="81"/>
            <rFont val="Segoe UI"/>
            <family val="2"/>
          </rPr>
          <t xml:space="preserve">O CONSUMO DO CONDOMÍNIO REFERENTE À LEITURA DE 24/04/25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EM VISTA DO AJUSTE QUE FOI FEITO EM 04/04/25 NA CONTA ANTERIOR</t>
        </r>
        <r>
          <rPr>
            <sz val="8"/>
            <color indexed="81"/>
            <rFont val="Segoe UI"/>
            <family val="2"/>
          </rPr>
          <t>, APURADA ANTERIORMENTE COM BASE NA MÉDIA DE CONSUMO</t>
        </r>
      </text>
    </comment>
    <comment ref="AA4" authorId="0" shapeId="0" xr:uid="{CF7064F4-32A8-4A14-92EB-05C91B48D985}">
      <text>
        <r>
          <rPr>
            <sz val="8"/>
            <color indexed="81"/>
            <rFont val="Segoe UI"/>
            <family val="2"/>
          </rPr>
          <t xml:space="preserve">O CONSUMO DO CONDOMÍNIO REFERENTE À LEITURA DE 24/04/25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EM VISTA DO AJUSTE QUE FOI FEITO EM 04/04/25 NA CONTA ANTERIOR</t>
        </r>
        <r>
          <rPr>
            <sz val="8"/>
            <color indexed="81"/>
            <rFont val="Segoe UI"/>
            <family val="2"/>
          </rPr>
          <t>, APURADA ANTERIORMENTE COM BASE NA MÉDIA DE CONSUMO</t>
        </r>
      </text>
    </comment>
    <comment ref="L15" authorId="0" shapeId="0" xr:uid="{2A26E597-6137-4DFE-9583-6DA3CDF57A84}">
      <text>
        <r>
          <rPr>
            <b/>
            <sz val="6"/>
            <color indexed="81"/>
            <rFont val="Segoe UI"/>
            <family val="2"/>
          </rPr>
          <t>FORAM DEVOLVIDOS À INQUILINA $150 QUE PAGOU A MAIOR (PAGOU $647, AO INVÉS DE $497) - VER ARQ. "AP 601 CLÁUDIA DEVOLUÇÃO PAGTº A MAIOR 20250612 PIX CC INTER" NA PASTA "H\Outr\Aptº PE\Condomínio Neápolis\Condôminos recibos"</t>
        </r>
      </text>
    </comment>
    <comment ref="AJ15" authorId="0" shapeId="0" xr:uid="{6C0914CE-47A0-4FAF-9AED-F7F4200C22BC}">
      <text>
        <r>
          <rPr>
            <b/>
            <sz val="6"/>
            <color indexed="81"/>
            <rFont val="Segoe UI"/>
            <family val="2"/>
          </rPr>
          <t>FORAM DEVOLVIDOS À INQUILINA $150 QUE PAGOU A MAIOR (PAGOU $647, AO INVÉS DE $497) - VER ARQ. "AP 601 CLÁUDIA DEVOLUÇÃO PAGTº A MAIOR 20250612 PIX CC INTER" NA PASTA "H\Outr\Aptº PE\Condomínio Neápolis\Condôminos recibos"</t>
        </r>
      </text>
    </comment>
    <comment ref="C17" authorId="0" shapeId="0" xr:uid="{F245C5F5-0DA3-43E1-A5F5-14DD29332B1C}">
      <text>
        <r>
          <rPr>
            <sz val="8"/>
            <color indexed="81"/>
            <rFont val="Segoe UI"/>
            <family val="2"/>
          </rPr>
          <t xml:space="preserve">O CONSUMO DO CONDOMÍNIO REFERENTE À LEITURA DE 24/06/25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PARECE QUE FOI FEITA LEITURA ERRADA PELA COPASA NO HIDRÔMETRO...</t>
        </r>
      </text>
    </comment>
    <comment ref="AA17" authorId="0" shapeId="0" xr:uid="{B484E2A3-7E29-4D8B-B2EF-0ACD17753C1D}">
      <text>
        <r>
          <rPr>
            <sz val="8"/>
            <color indexed="81"/>
            <rFont val="Segoe UI"/>
            <family val="2"/>
          </rPr>
          <t xml:space="preserve">O CONSUMO DO CONDOMÍNIO REFERENTE À LEITURA DE 24/06/25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PARECE QUE FOI FEITA LEITURA ERRADA PELA COPASA NO HIDRÔMETRO...</t>
        </r>
      </text>
    </comment>
    <comment ref="C18" authorId="0" shapeId="0" xr:uid="{14E7F268-7B19-49C6-88A7-CE04BC862C4D}">
      <text>
        <r>
          <rPr>
            <sz val="8"/>
            <color indexed="81"/>
            <rFont val="Segoe UI"/>
            <family val="2"/>
          </rPr>
          <t xml:space="preserve">O CONSUMO DO CONDOMÍNIO REFERENTE À LEITURA DE 24/06/25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PARECE QUE FOI FEITA LEITURA ERRADA PELA COPASA NO HIDRÔMETRO...</t>
        </r>
      </text>
    </comment>
    <comment ref="AA18" authorId="0" shapeId="0" xr:uid="{99513A19-70BF-4DFB-BE44-778A84F002B4}">
      <text>
        <r>
          <rPr>
            <sz val="8"/>
            <color indexed="81"/>
            <rFont val="Segoe UI"/>
            <family val="2"/>
          </rPr>
          <t xml:space="preserve">O CONSUMO DO CONDOMÍNIO REFERENTE À LEITURA DE 24/06/25 FOI CONSIDERADO NULO PARA O FIM DA PRESENTE APURAÇÃO (JÁ QUE O CONSUMO TOTAL DOS CONDÔMINOS SUPEROU O CONSUMO INFORMADO NA CONTA DA COPASA), </t>
        </r>
        <r>
          <rPr>
            <b/>
            <sz val="8"/>
            <color indexed="81"/>
            <rFont val="Segoe UI"/>
            <family val="2"/>
          </rPr>
          <t>PARECE QUE FOI FEITA LEITURA ERRADA PELA COPASA NO HIDRÔMETRO...</t>
        </r>
      </text>
    </comment>
    <comment ref="C24" authorId="0" shapeId="0" xr:uid="{2D5F56D8-9262-4172-B62A-D359D4C10CA3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AA24" authorId="0" shapeId="0" xr:uid="{EEEC8562-9B44-4605-AF64-01E8C442295C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C25" authorId="0" shapeId="0" xr:uid="{C73EFCF3-4F9B-4D7F-BB59-5448DE85DB39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AA25" authorId="0" shapeId="0" xr:uid="{D8B2C751-29ED-4BEB-AB4C-30BD06924845}">
      <text>
        <r>
          <rPr>
            <b/>
            <sz val="8"/>
            <color indexed="81"/>
            <rFont val="Segoe UI"/>
            <family val="2"/>
          </rPr>
          <t>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      </r>
      </text>
    </comment>
    <comment ref="I29" authorId="0" shapeId="0" xr:uid="{E7B4FB6F-B90E-4BAB-9E79-0D9474D400D4}">
      <text>
        <r>
          <rPr>
            <b/>
            <sz val="6"/>
            <color indexed="81"/>
            <rFont val="Segoe UI"/>
            <family val="2"/>
          </rPr>
          <t>PAGOU POR ENGANO $2424 (DA PLANILHA ANTERIOR FEITA COM ERRO), FOI DEVOLVIDA À Mª LÚCIA EM 13/08/25 VIA PIX CC INTER A DIFERENÇA DE $1077 (VER ARQ. "AP 402 DEVOLUÇÃO PAGTº A MAIOR 20250813 PIX CC INTER" NA PASTA "H\Outr\Aptº PE\Condomínio Neápolis\Condôminos recibos")</t>
        </r>
      </text>
    </comment>
    <comment ref="AG29" authorId="0" shapeId="0" xr:uid="{B84F9622-2887-41E6-876C-D4D3C77DCEB1}">
      <text>
        <r>
          <rPr>
            <b/>
            <sz val="6"/>
            <color indexed="81"/>
            <rFont val="Segoe UI"/>
            <family val="2"/>
          </rPr>
          <t>PAGOU POR ENGANO $2424 (DA PLANILHA ANTERIOR FEITA COM ERRO), FOI DEVOLVIDA À Mª LÚCIA EM 13/08/25 VIA PIX CC INTER A DIFERENÇA DE $1077 (VER ARQ. "AP 402 DEVOLUÇÃO PAGTº A MAIOR 20250813 PIX CC INTER" NA PASTA "H\Outr\Aptº PE\Condomínio Neápolis\Condôminos recibos")</t>
        </r>
      </text>
    </comment>
    <comment ref="C31" authorId="0" shapeId="0" xr:uid="{AA0F14E4-22D0-4C69-A0EE-8AFC5ABAC185}">
      <text>
        <r>
          <rPr>
            <sz val="8"/>
            <color indexed="81"/>
            <rFont val="Segoe UI"/>
            <family val="2"/>
          </rPr>
          <t xml:space="preserve">CONSUMO DE ÁGUA DO CONDOMÍNIO: RAZOÁVEL ENTRE 20 E 40 M3. </t>
        </r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AA31" authorId="0" shapeId="0" xr:uid="{FBBDB51E-EF67-47A8-B65A-84044BAE728F}">
      <text>
        <r>
          <rPr>
            <sz val="8"/>
            <color indexed="81"/>
            <rFont val="Segoe UI"/>
            <family val="2"/>
          </rPr>
          <t xml:space="preserve">CONSUMO DE ÁGUA DO CONDOMÍNIO: RAZOÁVEL ENTRE 20 E 40 M3. </t>
        </r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C32" authorId="0" shapeId="0" xr:uid="{B6984B91-F2E0-4CBD-9FB5-7C15087A3183}">
      <text>
        <r>
          <rPr>
            <sz val="8"/>
            <color indexed="81"/>
            <rFont val="Segoe UI"/>
            <family val="2"/>
          </rPr>
          <t xml:space="preserve">CONSUMO DE ÁGUA DO CONDOMÍNIO: RAZOÁVEL ENTRE 20 E 40 M3. </t>
        </r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AA32" authorId="0" shapeId="0" xr:uid="{9A8C22AF-6784-4857-957B-1ED671592B84}">
      <text>
        <r>
          <rPr>
            <sz val="8"/>
            <color indexed="81"/>
            <rFont val="Segoe UI"/>
            <family val="2"/>
          </rPr>
          <t xml:space="preserve">CONSUMO DE ÁGUA DO CONDOMÍNIO: RAZOÁVEL ENTRE 20 E 40 M3. </t>
        </r>
        <r>
          <rPr>
            <b/>
            <sz val="8"/>
            <color indexed="81"/>
            <rFont val="Segoe UI"/>
            <family val="2"/>
          </rPr>
          <t>O TOTAL DA LEITURA ATUAL FOI SIMULADO PARA A PRESENTE APURAÇÃO DO CONSUMO DO CONDOMÍNIO, COM BASE EM TABELAS QUE ESTÃO À DIREITA DA TABELA "COPASA NFFS" DA PLANILHA "MEDIÇÕES E TABELAS", UMA VEZ QUE A LEITURA DE 22/07/25 NA CONTA DA COPASA CONTINUA INCORRETA E QUE NÃO FOI ATENDIDA ATÉ O DIA 27/08/25 MINHA SOLICITAÇÃO DE CORREÇÃO DA LEITURA JUNTO À COPASA, O QUE REPERCUTIU ONEROSAMENTE NA TARIFAÇÃO NA CONTA REF. À LEITURA FEITA EM 22/08/25</t>
        </r>
      </text>
    </comment>
    <comment ref="C38" authorId="0" shapeId="0" xr:uid="{942B2486-9AB5-44E4-AEF8-73ABDE547E99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AA38" authorId="0" shapeId="0" xr:uid="{7E99A44D-04CC-4040-BA7D-6B9D02BFB36E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C45" authorId="0" shapeId="0" xr:uid="{C76C130C-12F4-4AA7-8FC5-610B79D363E1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AA45" authorId="0" shapeId="0" xr:uid="{98A40416-0885-4062-8F62-22862CBDEB27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C52" authorId="0" shapeId="0" xr:uid="{914444A6-4CC3-483F-A7FE-DE388F380320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AA52" authorId="0" shapeId="0" xr:uid="{EDC1EF21-CAA0-44C2-8A9C-18966ED9545B}">
      <text>
        <r>
          <rPr>
            <sz val="8"/>
            <color indexed="81"/>
            <rFont val="Segoe UI"/>
            <family val="2"/>
          </rPr>
          <t>CONSUMO DE ÁGUA DO CONDOMÍNIO: RAZOÁVEL ENTRE 20 E 40 M3.</t>
        </r>
      </text>
    </comment>
    <comment ref="C59" authorId="0" shapeId="0" xr:uid="{E3700683-5D15-4845-AAB9-FF3FBC28943D}">
      <text>
        <r>
          <rPr>
            <sz val="8"/>
            <color indexed="81"/>
            <rFont val="Segoe UI"/>
            <family val="2"/>
          </rPr>
          <t xml:space="preserve">O CONSUMO DO CONDOMÍNIO REFERENTE À LEITURA DE 29/12/25 (QUE NA REALIDADE FOI FEITA EM 26/12/25)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A59" authorId="0" shapeId="0" xr:uid="{5074C316-23F2-4105-84AD-537509A49FD5}">
      <text>
        <r>
          <rPr>
            <sz val="8"/>
            <color indexed="81"/>
            <rFont val="Segoe UI"/>
            <family val="2"/>
          </rPr>
          <t xml:space="preserve">O CONSUMO DO CONDOMÍNIO REFERENTE À LEITURA DE 29/12/25 (QUE NA REALIDADE FOI FEITA EM 26/12/25)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C66" authorId="0" shapeId="0" xr:uid="{818D1149-ECE3-4643-87F8-D1299C04ABA1}">
      <text>
        <r>
          <rPr>
            <sz val="8"/>
            <color indexed="81"/>
            <rFont val="Segoe UI"/>
            <family val="2"/>
          </rPr>
          <t xml:space="preserve">O CONSUMO DO CONDOMÍNIO REFERENTE À LEITURA DE 28/01/26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A66" authorId="0" shapeId="0" xr:uid="{28DBC3DA-D29D-49A3-8D6C-69621F603B8F}">
      <text>
        <r>
          <rPr>
            <sz val="8"/>
            <color indexed="81"/>
            <rFont val="Segoe UI"/>
            <family val="2"/>
          </rPr>
          <t xml:space="preserve">O CONSUMO DO CONDOMÍNIO REFERENTE À LEITURA DE 28/01/26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C73" authorId="0" shapeId="0" xr:uid="{6D135800-3702-4031-B5CF-CE409BB5E773}">
      <text>
        <r>
          <rPr>
            <sz val="8"/>
            <color indexed="81"/>
            <rFont val="Segoe UI"/>
            <family val="2"/>
          </rPr>
          <t xml:space="preserve">O CONSUMO DO CONDOMÍNIO REFERENTE À LEITURA DE 28/02/26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A73" authorId="0" shapeId="0" xr:uid="{27B60D75-B10E-49B9-874D-4A5F10C48521}">
      <text>
        <r>
          <rPr>
            <sz val="8"/>
            <color indexed="81"/>
            <rFont val="Segoe UI"/>
            <family val="2"/>
          </rPr>
          <t xml:space="preserve">O CONSUMO DO CONDOMÍNIO REFERENTE À LEITURA DE 28/02/26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AA80" authorId="0" shapeId="0" xr:uid="{FEBBC7BA-0DD4-438B-85C3-4879B82832C6}">
      <text>
        <r>
          <rPr>
            <sz val="8"/>
            <color indexed="81"/>
            <rFont val="Segoe UI"/>
            <family val="2"/>
          </rPr>
          <t xml:space="preserve">O CONSUMO DO CONDOMÍNIO REFERENTE À LEITURA DE 28/02/26 FOI CONSIDERADO NULO PARA O FIM DA PRESENTE APURAÇÃO (JÁ QUE O CONSUMO TOTAL DOS CONDÔMINOS SUPEROU O CONSUMO INFORMADO NA CONTA DA COPASA). </t>
        </r>
        <r>
          <rPr>
            <b/>
            <sz val="8"/>
            <color indexed="81"/>
            <rFont val="Segoe UI"/>
            <family val="2"/>
          </rPr>
          <t>PARECE QUE HOUVE ALGUM ERRO NO HIDRÔMETRO DA COPASA, APESAR DA LEITURA ESTAR CORRETA.</t>
        </r>
      </text>
    </comment>
    <comment ref="I130" authorId="0" shapeId="0" xr:uid="{58ADDEEA-7E8F-4DBF-879E-97BE5BF8D379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AG130" authorId="0" shapeId="0" xr:uid="{B9C809E6-CCDA-4B7D-BF3C-30CF759910AA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H162" authorId="0" shapeId="0" xr:uid="{EAA00F7B-A495-4F68-8C7D-D3C100526F88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AF162" authorId="0" shapeId="0" xr:uid="{67F0998D-A378-4E06-9E46-07D185B41057}">
      <text>
        <r>
          <rPr>
            <b/>
            <sz val="8"/>
            <color indexed="81"/>
            <rFont val="Segoe UI"/>
            <family val="2"/>
          </rPr>
          <t>CONFORME ARQUIVO "VALOR A RESSARCIR AO LUCAS RECIBO" E DEMAIS ARQUIVOS DA PASTA "H\Outr\Aptº PE\Condomínio Neápolis\AP 201 LUCAS INDENIZAÇÃO POR DANOS"- FOI ABATIDO DO FUNDO DE RESERVA</t>
        </r>
      </text>
    </comment>
    <comment ref="H163" authorId="0" shapeId="0" xr:uid="{9994A345-EE43-48C8-9447-042DC8C9BFF9}">
      <text>
        <r>
          <rPr>
            <b/>
            <sz val="8"/>
            <color indexed="81"/>
            <rFont val="Segoe UI"/>
            <family val="2"/>
          </rPr>
          <t>CONFORME ARQUIVO "CÂMERAS E INTERFONES CLAUDINEY ENTRADA PIX CC INTER" DA PASTA "H\Outr\Aptº PE\Condomínio Neápolis"</t>
        </r>
      </text>
    </comment>
    <comment ref="AF163" authorId="0" shapeId="0" xr:uid="{D78063D3-4EA9-4DE3-A27F-AFF4B4EECB39}">
      <text>
        <r>
          <rPr>
            <b/>
            <sz val="8"/>
            <color indexed="81"/>
            <rFont val="Segoe UI"/>
            <family val="2"/>
          </rPr>
          <t>CONFORME ARQUIVO "CÂMERAS E INTERFONES CLAUDINEY ENTRADA PIX CC INTER" DA PASTA "H\Outr\Aptº PE\Condomínio Neápolis"</t>
        </r>
      </text>
    </comment>
    <comment ref="H164" authorId="0" shapeId="0" xr:uid="{BEA38B7A-D64D-411A-8DE3-B8810E9C7DF2}">
      <text>
        <r>
          <rPr>
            <b/>
            <sz val="8"/>
            <color indexed="81"/>
            <rFont val="Segoe UI"/>
            <family val="2"/>
          </rPr>
          <t>CONFORME ARQUIVOS "CÂMERAS E INTERFONES CLAUDINEY PAGTº 20250707 PIX CC INTER", "CÂMERAS E INTERFONES CLAUDINEY PAGTº 20250807 PIX CC INTER" E "MONITOR DE CÂMERAS PARA HALL DO 1º ANDAR 20250711 RECIBO",  DA PASTA "H\Outr\Aptº PE\Condomínio Neápolis"</t>
        </r>
      </text>
    </comment>
    <comment ref="AF164" authorId="0" shapeId="0" xr:uid="{31B27D6B-4779-4257-8C78-681802475386}">
      <text>
        <r>
          <rPr>
            <b/>
            <sz val="8"/>
            <color indexed="81"/>
            <rFont val="Segoe UI"/>
            <family val="2"/>
          </rPr>
          <t>CONFORME ARQUIVOS "CÂMERAS E INTERFONES CLAUDINEY PAGTº 20250707 PIX CC INTER", "CÂMERAS E INTERFONES CLAUDINEY PAGTº 20250807 PIX CC INTER" E "MONITOR DE CÂMERAS PARA HALL DO 1º ANDAR 20250711 RECIBO",  DA PASTA "H\Outr\Aptº PE\Condomínio Neápolis"</t>
        </r>
      </text>
    </comment>
    <comment ref="H166" authorId="0" shapeId="0" xr:uid="{3AB34024-4654-450C-93F5-84A4A4B75D91}">
      <text>
        <r>
          <rPr>
            <b/>
            <sz val="8"/>
            <color indexed="81"/>
            <rFont val="Segoe UI"/>
            <family val="2"/>
          </rPr>
          <t>VER ARQ. "Garagem sinalização na rua VENCTº 20250920 NFSE" NA PASTA "H\Outr\Condomínio Neápolis"</t>
        </r>
      </text>
    </comment>
    <comment ref="AF166" authorId="0" shapeId="0" xr:uid="{4C2524F4-C839-408C-B785-138F3F335E99}">
      <text>
        <r>
          <rPr>
            <b/>
            <sz val="8"/>
            <color indexed="81"/>
            <rFont val="Segoe UI"/>
            <family val="2"/>
          </rPr>
          <t>VER ARQ. "Garagem sinalização na rua VENCTº 20250920 NFSE" NA PASTA "H\Outr\Condomínio Neápolis"</t>
        </r>
      </text>
    </comment>
    <comment ref="H167" authorId="0" shapeId="0" xr:uid="{98ACFD9D-CCCA-4996-8A99-DB58BBFE54CD}">
      <text>
        <r>
          <rPr>
            <b/>
            <sz val="8"/>
            <color indexed="81"/>
            <rFont val="Segoe UI"/>
            <family val="2"/>
          </rPr>
          <t>VER ARQUIVOS DE 10/2025 NA PASTA "H\Outr\Condomínio Neápolis\AVCB"</t>
        </r>
      </text>
    </comment>
    <comment ref="AF167" authorId="0" shapeId="0" xr:uid="{ED1D3387-88A7-40D7-8E61-21786830C7DE}">
      <text>
        <r>
          <rPr>
            <b/>
            <sz val="8"/>
            <color indexed="81"/>
            <rFont val="Segoe UI"/>
            <family val="2"/>
          </rPr>
          <t>VER ARQUIVOS DE 10/2025 NA PASTA "H\Outr\Condomínio Neápolis\AVCB"</t>
        </r>
      </text>
    </comment>
    <comment ref="H168" authorId="0" shapeId="0" xr:uid="{E609A8A6-5BFF-4BBF-99BF-75337EEBDDE9}">
      <text>
        <r>
          <rPr>
            <b/>
            <sz val="8"/>
            <color indexed="81"/>
            <rFont val="Segoe UI"/>
            <family val="2"/>
          </rPr>
          <t>VER ARQUIVOS DE 11 E 12/2025 NA PASTA "H\Outr\Condomínio Neápolis"</t>
        </r>
      </text>
    </comment>
    <comment ref="AF168" authorId="0" shapeId="0" xr:uid="{5E0FE7D5-AAD9-4EC4-909B-2D47CDB6BE2E}">
      <text>
        <r>
          <rPr>
            <b/>
            <sz val="8"/>
            <color indexed="81"/>
            <rFont val="Segoe UI"/>
            <family val="2"/>
          </rPr>
          <t>VER ARQUIVOS DE 11 E 12/2025 NA PASTA "H\Outr\Condomínio Neápolis"</t>
        </r>
      </text>
    </comment>
    <comment ref="H169" authorId="0" shapeId="0" xr:uid="{D753277E-2CD4-4F97-887F-0441011D65F8}">
      <text>
        <r>
          <rPr>
            <b/>
            <sz val="8"/>
            <color indexed="81"/>
            <rFont val="Segoe UI"/>
            <family val="2"/>
          </rPr>
          <t>VER ARQUIVOS DE 12/2025 NA PASTA "H\Outr\Condomínio Neápolis"</t>
        </r>
      </text>
    </comment>
    <comment ref="AF169" authorId="0" shapeId="0" xr:uid="{4686547E-151D-40DB-A679-575006349DCC}">
      <text>
        <r>
          <rPr>
            <b/>
            <sz val="8"/>
            <color indexed="81"/>
            <rFont val="Segoe UI"/>
            <family val="2"/>
          </rPr>
          <t>VER ARQUIVOS DE 12/2025 NA PASTA "H\Outr\Condomínio Neápolis"</t>
        </r>
      </text>
    </comment>
    <comment ref="H170" authorId="0" shapeId="0" xr:uid="{ADC31474-082F-433A-8D7F-2100F46CD75A}">
      <text>
        <r>
          <rPr>
            <b/>
            <sz val="8"/>
            <color indexed="81"/>
            <rFont val="Segoe UI"/>
            <family val="2"/>
          </rPr>
          <t>VER ARQUIVOS DE 12/2025 NA PASTA "H\Outr\Condomínio Neápolis"</t>
        </r>
      </text>
    </comment>
    <comment ref="AF170" authorId="0" shapeId="0" xr:uid="{6937772D-944D-47BE-97FE-D9761E846CB6}">
      <text>
        <r>
          <rPr>
            <b/>
            <sz val="8"/>
            <color indexed="81"/>
            <rFont val="Segoe UI"/>
            <family val="2"/>
          </rPr>
          <t>VER ARQUIVOS DE 12/2025 NA PASTA "H\Outr\Condomínio Neápolis"</t>
        </r>
      </text>
    </comment>
    <comment ref="B177" authorId="0" shapeId="0" xr:uid="{E3BF51D2-80C4-407D-A9EF-AF8DD853ED56}">
      <text>
        <r>
          <rPr>
            <b/>
            <sz val="8"/>
            <color indexed="81"/>
            <rFont val="Segoe UI"/>
            <family val="2"/>
          </rPr>
          <t>ESTE TOTAL FOI MODIFICADO A PARTIR DA PLANILHA DE 10/2024, SENDO DELE RETIRADO O VALOR DO FUNDO DE RESERVA, QUE SE TRATA DE RECEITA, E NÃO DE DESPESA</t>
        </r>
      </text>
    </comment>
    <comment ref="D177" authorId="0" shapeId="0" xr:uid="{8A3249F4-C970-41DE-9478-639AB110DD5C}">
      <text>
        <r>
          <rPr>
            <b/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I177" authorId="0" shapeId="0" xr:uid="{30CA8A03-AC75-493C-9784-46D8C1A348C6}">
      <text>
        <r>
          <rPr>
            <b/>
            <sz val="8"/>
            <color indexed="81"/>
            <rFont val="Segoe UI"/>
            <family val="2"/>
          </rPr>
          <t>REFERE-SE (EM REAIS) À DIFERENÇA DE CONSUMO DE ÁGUA DO CONDOMÍNIO FORA DA PREVISÃO</t>
        </r>
      </text>
    </comment>
    <comment ref="Z177" authorId="0" shapeId="0" xr:uid="{E5922E3D-5CC0-422E-A3E4-CDE77B0FA78C}">
      <text>
        <r>
          <rPr>
            <b/>
            <sz val="8"/>
            <color indexed="81"/>
            <rFont val="Segoe UI"/>
            <family val="2"/>
          </rPr>
          <t>ESTE TOTAL FOI MODIFICADO A PARTIR DA PLANILHA DE 10/2024, SENDO DELE RETIRADO O VALOR DO FUNDO DE RESERVA, QUE SE TRATA DE RECEITA, E NÃO DE DESPESA</t>
        </r>
      </text>
    </comment>
    <comment ref="AB177" authorId="0" shapeId="0" xr:uid="{B97D86E2-9E55-4AA4-B475-7A8C06769100}">
      <text>
        <r>
          <rPr>
            <b/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AG177" authorId="0" shapeId="0" xr:uid="{1AE3CD88-3663-40A7-9D00-BFB8A1534AA5}">
      <text>
        <r>
          <rPr>
            <b/>
            <sz val="8"/>
            <color indexed="81"/>
            <rFont val="Segoe UI"/>
            <family val="2"/>
          </rPr>
          <t>REFERE-SE (EM REAIS) À DIFERENÇA DE CONSUMO DE ÁGUA DO CONDOMÍNIO FORA DA PREVISÃO</t>
        </r>
      </text>
    </comment>
    <comment ref="G179" authorId="0" shapeId="0" xr:uid="{6067060F-BCFC-42E1-86E4-C50F8A107EBD}">
      <text>
        <r>
          <rPr>
            <b/>
            <sz val="8"/>
            <color indexed="81"/>
            <rFont val="Segoe UI"/>
            <family val="2"/>
          </rPr>
          <t>CONFORME ARQUIVOS "GÁS SUPERGASBRAS NF 20250607" E "GÁS SUPERGASBRAS VENCTº E PAGTº 20250613 CC INTER" DA PASTA "H\Outr\Aptº PE\Condomínio Neápolis"</t>
        </r>
      </text>
    </comment>
    <comment ref="AE179" authorId="0" shapeId="0" xr:uid="{381E66B7-A7BD-4F55-B914-03FAD0771E15}">
      <text>
        <r>
          <rPr>
            <b/>
            <sz val="8"/>
            <color indexed="81"/>
            <rFont val="Segoe UI"/>
            <family val="2"/>
          </rPr>
          <t>CONFORME ARQUIVOS "GÁS SUPERGASBRAS NF 20250607" E "GÁS SUPERGASBRAS VENCTº E PAGTº 20250613 CC INTER" DA PASTA "H\Outr\Aptº PE\Condomínio Neápolis"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Robson</author>
  </authors>
  <commentList>
    <comment ref="E10" authorId="0" shapeId="0" xr:uid="{89B7C9EC-068C-42F3-9305-091FE7312675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C12" authorId="1" shapeId="0" xr:uid="{57742791-9D48-430F-898B-2251E9643433}">
      <text>
        <r>
          <rPr>
            <b/>
            <sz val="8"/>
            <color indexed="81"/>
            <rFont val="Segoe UI"/>
            <family val="2"/>
          </rPr>
          <t>NESTE MÊS: INTERNET PARA TRANSMISSÃO DE IMAGENS DAS CÂMERAS ($65) + INDENIZAÇÃO DE $638,94 (CONFORME ARQUIVO "VALOR A RESSARCIR AO LUCAS RECIBO" E DEMAIS ARQUIVOS DA PASTA "H\Outr\Aptº PE\Condomínio Neápolis\AP 201 LUCAS INDENIZAÇÃO POR DANOS"), ESTA ÚLTIMA ORA ABATIDA DO FUNDO DE RESERVA</t>
        </r>
      </text>
    </comment>
    <comment ref="K12" authorId="1" shapeId="0" xr:uid="{A2EA4B7D-5821-434D-BC57-F9ABF6B19070}">
      <text>
        <r>
          <rPr>
            <b/>
            <sz val="6"/>
            <color indexed="81"/>
            <rFont val="Segoe UI"/>
            <family val="2"/>
          </rPr>
          <t>FORAM DEVOLVIDOS À INQUILINA $150 QUE PAGOU A MAIOR (PAGOU $647, AO INVÉS DE $497) - VER ARQ. "AP 601 CLÁUDIA DEVOLUÇÃO PAGTº A MAIOR 20250612 PIX CC INTER" NA PASTA "H\Outr\Aptº PE\Condomínio Neápolis\Condôminos recibos"</t>
        </r>
      </text>
    </comment>
    <comment ref="E15" authorId="0" shapeId="0" xr:uid="{EB4AE932-3977-4BFE-AD0E-15BBBD5EC484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E20" authorId="0" shapeId="0" xr:uid="{1EC821D1-F03D-4B10-8C6E-1C9353AB18A3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H22" authorId="1" shapeId="0" xr:uid="{21FB889B-B9FE-488A-B5A7-AC61CD8C71A3}">
      <text>
        <r>
          <rPr>
            <b/>
            <sz val="6"/>
            <color indexed="81"/>
            <rFont val="Segoe UI"/>
            <family val="2"/>
          </rPr>
          <t>PAGOU POR ENGANO $2424 (DA PLANILHA ANTERIOR FEITA COM ERRO), FOI DEVOLVIDA À Mª LÚCIA EM 13/08/25 VIA PIX CC INTER A DIFERENÇA DE $1077 (VER ARQ. "AP 402 DEVOLUÇÃO PAGTº A MAIOR 20250813 PIX CC INTER" NA PASTA "H\Outr\Aptº PE\Condomínio Neápolis\Condôminos recibos")</t>
        </r>
      </text>
    </comment>
    <comment ref="E25" authorId="0" shapeId="0" xr:uid="{8FA1D085-8B16-477A-A8D3-157281DCED1B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E30" authorId="0" shapeId="0" xr:uid="{DA638D73-42B9-4899-8E41-AE279809AB58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E35" authorId="0" shapeId="0" xr:uid="{FF8DF0DD-8ED8-48F1-AC32-FE21FFE9A34B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E40" authorId="0" shapeId="0" xr:uid="{240E4FF9-EFCE-49C7-BC23-2D93FA904840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E45" authorId="0" shapeId="0" xr:uid="{1D58AEA4-E009-47D2-B262-A83FC197193C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E50" authorId="0" shapeId="0" xr:uid="{19AE8A03-9DAC-4E8D-8408-60231FBA819A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N50" authorId="0" shapeId="0" xr:uid="{2C901A2F-B050-4CFD-9270-D632D918AB94}">
      <text>
        <r>
          <rPr>
            <b/>
            <sz val="8"/>
            <color indexed="81"/>
            <rFont val="Segoe UI"/>
            <family val="2"/>
          </rPr>
          <t>PAGO POR DIÓGENES LUÍS SILVA</t>
        </r>
      </text>
    </comment>
    <comment ref="E55" authorId="0" shapeId="0" xr:uid="{EF159BB2-B28C-4427-A471-93E5A302AB5A}">
      <text>
        <r>
          <rPr>
            <b/>
            <sz val="8"/>
            <color indexed="81"/>
            <rFont val="Segoe UI"/>
            <family val="2"/>
          </rPr>
          <t>PAGO POR MICHELE</t>
        </r>
      </text>
    </comment>
    <comment ref="N55" authorId="0" shapeId="0" xr:uid="{ED438E40-29AF-4B66-9A62-CEFD5BEEE898}">
      <text>
        <r>
          <rPr>
            <b/>
            <sz val="8"/>
            <color indexed="81"/>
            <rFont val="Segoe UI"/>
            <family val="2"/>
          </rPr>
          <t>PAGO POR DIÓGENES LUÍS SILVA</t>
        </r>
      </text>
    </comment>
    <comment ref="E60" authorId="0" shapeId="0" xr:uid="{BCD533C5-C839-452A-911B-C305E8FB73A9}">
      <text>
        <r>
          <rPr>
            <b/>
            <sz val="8"/>
            <color indexed="81"/>
            <rFont val="Segoe UI"/>
            <family val="2"/>
          </rPr>
          <t>MILTON PAGOU</t>
        </r>
      </text>
    </comment>
    <comment ref="N60" authorId="0" shapeId="0" xr:uid="{1FAD24A6-8DB0-491B-9901-C3D2CBBDF0D0}">
      <text>
        <r>
          <rPr>
            <b/>
            <sz val="8"/>
            <color indexed="81"/>
            <rFont val="Segoe UI"/>
            <family val="2"/>
          </rPr>
          <t>PAGO POR DIÓGENES LUÍS SILVA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A29" authorId="0" shapeId="0" xr:uid="{7F7BC134-B580-4B2D-9E33-E192283D9083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46" authorId="0" shapeId="0" xr:uid="{11A0DC99-A2DB-44D6-B83E-AE94E0925AEE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A29" authorId="0" shapeId="0" xr:uid="{15512F1F-80DB-47BF-9D8C-7358D38B3403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46" authorId="0" shapeId="0" xr:uid="{87D6F569-431C-4933-8FA3-7766C0E8EA97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</commentList>
</comments>
</file>

<file path=xl/sharedStrings.xml><?xml version="1.0" encoding="utf-8"?>
<sst xmlns="http://schemas.openxmlformats.org/spreadsheetml/2006/main" count="3796" uniqueCount="584">
  <si>
    <t>DATA</t>
  </si>
  <si>
    <t>CONTA</t>
  </si>
  <si>
    <t>DESCRIÇÃO</t>
  </si>
  <si>
    <t>CONSERV/PRED.</t>
  </si>
  <si>
    <t xml:space="preserve">CONSERVADORA CAMPOS DE OLIVEIRA  </t>
  </si>
  <si>
    <r>
      <t xml:space="preserve">MANUTENÇÃO ELEVADOR - THYSSENKRUPP                                 </t>
    </r>
    <r>
      <rPr>
        <sz val="11"/>
        <color indexed="10"/>
        <rFont val="Calibri"/>
        <family val="2"/>
      </rPr>
      <t xml:space="preserve">  </t>
    </r>
  </si>
  <si>
    <t>CONTA DE ÁGUA DO CONDOMÍNIO</t>
  </si>
  <si>
    <t>CONTA DE LUZ DO CONDOMÍNIO (CEMIG)</t>
  </si>
  <si>
    <t>HONORÁRIOS DA CONTADORA - MAYRA S. P. OLIVEIRA</t>
  </si>
  <si>
    <t>INTERNET PARA TRANSMISSÃO DE IMAGENS DAS CÂMERAS</t>
  </si>
  <si>
    <t>TOTAL LANÇAMENTOS</t>
  </si>
  <si>
    <t>RATEIO PARCIAL</t>
  </si>
  <si>
    <t>RATEIO FINAL</t>
  </si>
  <si>
    <t>CONDOMÍNIO NEÁPOLIS</t>
  </si>
  <si>
    <t>APTº</t>
  </si>
  <si>
    <t>COPASA</t>
  </si>
  <si>
    <t>GÁS</t>
  </si>
  <si>
    <t>RATEIO</t>
  </si>
  <si>
    <t>TOTAL A PAGAR</t>
  </si>
  <si>
    <t>Nº</t>
  </si>
  <si>
    <t>CONSUMO M³</t>
  </si>
  <si>
    <t>ÁGUA/ESGOTO (R$)</t>
  </si>
  <si>
    <t>VALOR (R$)</t>
  </si>
  <si>
    <t>(R$)</t>
  </si>
  <si>
    <t>CONDOMÍNIO</t>
  </si>
  <si>
    <t>BANCO INTER, AGÊNCIA 0001, CONTA CORRENTE 26620410-4</t>
  </si>
  <si>
    <t>CONDOMÍNIO DO RESIDENCIAL NEÁPOLIS, CNPJ 09.408.714/0001-08</t>
  </si>
  <si>
    <t>Caro condômino:</t>
  </si>
  <si>
    <t>DESPESAS BANCÁRIAS (BRADESCO, PIX DE ENCERRAMENTO)</t>
  </si>
  <si>
    <t>MINISTÉRIO DA FAZENDA- RET. FEDERAL INSS/PIS/COFINS/CSLL</t>
  </si>
  <si>
    <t>A CHAVE PIX É O CNPJ 09.408.714/0001-08</t>
  </si>
  <si>
    <t>SE PREFERIREM PODEM FAZER TRANSFERÊNCIA OU DEPOSITAR DIRETAMENTE NA CONTA DO CONDOMíNIO:</t>
  </si>
  <si>
    <t xml:space="preserve">MANUTENÇÃO ELEVADOR - THYSSENKRUPP                                   </t>
  </si>
  <si>
    <t>RATEIO PARCIAL DO SÍNDICO (RP/13)</t>
  </si>
  <si>
    <t>LIVRO "REGISTRO DE OCORRÊNCIA DE ELEVADOR"</t>
  </si>
  <si>
    <t>SEGURO DO PRÉDIO, PARCELA 6ª/6</t>
  </si>
  <si>
    <t>RECARGA ANUAL E REPARO DOS EXTINTORES</t>
  </si>
  <si>
    <t>FUNDO DE RESERVA</t>
  </si>
  <si>
    <t>ATA DE ELEIÇÃO DE NOVO SÍNDICO, REGISTRO NO CARTÓRIO</t>
  </si>
  <si>
    <t>RECUPERAÇÃO DO TETO E DO GESSO DE PARTE DO APTº 201 DO CONDOMÍNIO</t>
  </si>
  <si>
    <t>AÇÃO CONTRA COPASA, CUSTAS DE RECURSO JUDICIAL</t>
  </si>
  <si>
    <t>GASTOS COM ATUALIZAÇÃO DO SISTEMA DE CÂMERAS E INTERFONES</t>
  </si>
  <si>
    <t>REF.</t>
  </si>
  <si>
    <t>COPASA CONSUMO M³</t>
  </si>
  <si>
    <t>COPASA ÁGUA/ESGOTO (R$)</t>
  </si>
  <si>
    <t>GÁS CONSUMO M³</t>
  </si>
  <si>
    <t>GÁS VALOR (R$)</t>
  </si>
  <si>
    <t>RATEIO (R$)</t>
  </si>
  <si>
    <t>ITEM/UNIDADE</t>
  </si>
  <si>
    <t>VALOR</t>
  </si>
  <si>
    <t>OBS.</t>
  </si>
  <si>
    <t>NÃO</t>
  </si>
  <si>
    <t>COMPARAÇÃO DAS DESCRIÇÕES (DESTACAR OS ITENS QUE NÃO EXISTEM NA PRESENTE REF. OU NAS REF. ANTERIORES, PARA ZERÁ-LOS. ACRESCENTAR OS ITENS AINDA FALTOSOS NA REF. ATUAL, SEMPRE ZERANDO "VALOR" E "DATA" NAS REF. ANTERIORES)</t>
  </si>
  <si>
    <t>VALORES DEVIDOS POR UNIDADE, TABELA CRIADA EM 07/07/2025</t>
  </si>
  <si>
    <t>GASTOS</t>
  </si>
  <si>
    <t>GASTOS DATA</t>
  </si>
  <si>
    <t>GASTOS OBS.</t>
  </si>
  <si>
    <t>C/C (-) FD. RES.</t>
  </si>
  <si>
    <t>APARTAMENTO 201: DESCONTAR A INTERNET DE R$65,00</t>
  </si>
  <si>
    <t>SALDO DO FUNDO DE RESERVA EM</t>
  </si>
  <si>
    <t>SALDO</t>
  </si>
  <si>
    <t>SALDO DISPONÍVELDO FUNDO DE RESERVA NO ÚLTIMO DIA DO MÊS ANTERIOR AO DA REF.</t>
  </si>
  <si>
    <t>TOTAL A PAGAR(R$) ARRED.</t>
  </si>
  <si>
    <t>TOTAL A PAGAR(R$) SEM ARRED.</t>
  </si>
  <si>
    <t>SD. ANTERIOR</t>
  </si>
  <si>
    <t>COND. DO MÊS</t>
  </si>
  <si>
    <t>CRÉD./DÉB. A PGR</t>
  </si>
  <si>
    <t>PAGTº FEITO N/MÊS</t>
  </si>
  <si>
    <t>SD. A PGR/CRÉD.</t>
  </si>
  <si>
    <t>DATA PAGTº</t>
  </si>
  <si>
    <t>TOTAL DO MÊS</t>
  </si>
  <si>
    <t>COND. A PAGAR</t>
  </si>
  <si>
    <t>RECIBO Nº</t>
  </si>
  <si>
    <t>PAGO EM</t>
  </si>
  <si>
    <t>FORMA DE PAGTº</t>
  </si>
  <si>
    <t>DATA DA LEITURA</t>
  </si>
  <si>
    <t>RECIBO ENVIADO?</t>
  </si>
  <si>
    <t>PIX INTER</t>
  </si>
  <si>
    <t>PIX BRAD.</t>
  </si>
  <si>
    <t>PIX ITAÚ</t>
  </si>
  <si>
    <t>PIX BB</t>
  </si>
  <si>
    <t>PIX MERC. DO BR.</t>
  </si>
  <si>
    <t>PIX NUBANK</t>
  </si>
  <si>
    <t>PIX SANTANDER</t>
  </si>
  <si>
    <t>601 GILB.</t>
  </si>
  <si>
    <t>601 CLÁUDIA</t>
  </si>
  <si>
    <t>SIM</t>
  </si>
  <si>
    <t>GÁS ABASTECIMENTO</t>
  </si>
  <si>
    <r>
      <rPr>
        <b/>
        <u/>
        <sz val="10"/>
        <color theme="1"/>
        <rFont val="Calibri"/>
        <family val="2"/>
        <scheme val="minor"/>
      </rPr>
      <t>GÁS</t>
    </r>
    <r>
      <rPr>
        <b/>
        <sz val="10"/>
        <color theme="1"/>
        <rFont val="Calibri"/>
        <family val="2"/>
        <scheme val="minor"/>
      </rPr>
      <t xml:space="preserve"> (1KG COMPRADO É IGUAL A 2,5M3 CONSUMIDOS)</t>
    </r>
  </si>
  <si>
    <t>LEITURA DOS MEDIDORES DE ÁGUA E GÁS (DIA 28 DE CADA MÊS)</t>
  </si>
  <si>
    <t>DATA ABASTECTº</t>
  </si>
  <si>
    <t>QUANT. (KG)</t>
  </si>
  <si>
    <t>PREÇO/KG (= NF)</t>
  </si>
  <si>
    <t>TOTAL (R$)</t>
  </si>
  <si>
    <t>PREÇO/KG ARREDOND.</t>
  </si>
  <si>
    <t>EQUIV. KG PARA M3</t>
  </si>
  <si>
    <t>CUSTO POR M3 (R$)</t>
  </si>
  <si>
    <t>ITEM</t>
  </si>
  <si>
    <t>201 GÁS PISC.</t>
  </si>
  <si>
    <t>TOTAL</t>
  </si>
  <si>
    <t>ÁGUA</t>
  </si>
  <si>
    <t>12,809293</t>
  </si>
  <si>
    <t>COPASA NFFS</t>
  </si>
  <si>
    <t>DATAS E CONSUMO</t>
  </si>
  <si>
    <t>PARTE REF. À ÁGUA (R$)</t>
  </si>
  <si>
    <t>PARTE REF. AO ESGOTO (R$)</t>
  </si>
  <si>
    <t>LEITURA</t>
  </si>
  <si>
    <t>VENCTº</t>
  </si>
  <si>
    <t>QUITAÇÃO</t>
  </si>
  <si>
    <t>CONSUMO TOTAL (M3)</t>
  </si>
  <si>
    <t>TOTAL DA CONTA (R$)</t>
  </si>
  <si>
    <t>ABASTECTº</t>
  </si>
  <si>
    <t>USO DE REC. HÍDR.</t>
  </si>
  <si>
    <t>PREÇO/M3 ARREDOND.</t>
  </si>
  <si>
    <t>ESG. DINÂM. COLETA E TRATº</t>
  </si>
  <si>
    <t>FX. CONSUMO M3</t>
  </si>
  <si>
    <t>CONSUMO DA FX. EM M3</t>
  </si>
  <si>
    <t>VOLUME TOTAL</t>
  </si>
  <si>
    <t>R$/M3 DE ÁGUA</t>
  </si>
  <si>
    <t>VR. DA ÁGUA</t>
  </si>
  <si>
    <t>R$/M3 DE ESGOTO</t>
  </si>
  <si>
    <t>VR. DO ESGOTO</t>
  </si>
  <si>
    <t>SUBTOTAL</t>
  </si>
  <si>
    <t>FIXA</t>
  </si>
  <si>
    <t>0 A 5</t>
  </si>
  <si>
    <t>(A) DIF. C/LEIT. ANT.</t>
  </si>
  <si>
    <t>SOMA</t>
  </si>
  <si>
    <t>(B) DIF. ANT.</t>
  </si>
  <si>
    <t>USO REC. HÍDR. ÁGUA</t>
  </si>
  <si>
    <t>A (-) B</t>
  </si>
  <si>
    <t>USO REC. HÍDR. ESGOTO</t>
  </si>
  <si>
    <t>A (-) B ANTERIOR</t>
  </si>
  <si>
    <t>CONTA ORIGINAL DE 22/07/24, C/FATURAMENTO REALIZADO PELA MÉDIA DE CONSUMO (VIDRO EMBAÇADO/SUJO)</t>
  </si>
  <si>
    <t>A (-) B ANTEANTERIOR</t>
  </si>
  <si>
    <t>DIFERENÇA DE VALOR REF. À CONTA RECALCULADA EM 04/09/24 NA AGÊNCIA DA COPASA (R. TREMEDAL), POIS O FATURAMENTO DA ANTERIOR FOI REALIZADO PELA MÉDIA DE CONSUMO (VIDRO EMBAÇADO/SUJO)</t>
  </si>
  <si>
    <t>ESTA CONTA FOI REEMITIDA EM 04/04/25 APÓS SOLICITAÇAO DE 31/03/25. A ORIGINAL DE 24/03/25 ESTAVA COM C/FATURAMENTO REALIZADO PELA MÉDIA DE CONSUMO (VIDRO EMBAÇADO/SUJO)</t>
  </si>
  <si>
    <t>ESTA CONTA FOI REEMITIDA EM 27/05/25 APÓS SOLICITAÇAO DE MESMA DATA. A ORIGINAL DE 23/05/25 ESTAVA COM C/FATURAMENTO REALIZADO PELA MÉDIA DE CONSUMO (VIDRO EMBAÇADO/SUJO)</t>
  </si>
  <si>
    <r>
      <rPr>
        <b/>
        <u/>
        <sz val="8"/>
        <color theme="1"/>
        <rFont val="Calibri"/>
        <family val="2"/>
        <scheme val="minor"/>
      </rPr>
      <t>ÁGUA/ESGOTO DA LEITURA DE 20/12/22, MODELO</t>
    </r>
    <r>
      <rPr>
        <sz val="8"/>
        <color theme="1"/>
        <rFont val="Calibri"/>
        <family val="2"/>
        <scheme val="minor"/>
      </rPr>
      <t>, 3ª VARIÁVEL DA FÓRMULA (COLUNA "CONSUMO M3"): IGUAL AO ESGOTO DINÂMICO ($881,49) MAIS RECURSOS HÍDRICOS ESGOTO ($0,49), ISSO DIVIDIDO POR 15 (CONDÔMINOS + CONDOMÍNIO), TUDO NA CONTA, IGUAL A $58,798, ARREDOND. P/$58,80</t>
    </r>
  </si>
  <si>
    <t>CONSUMO DE ÁGUA DO CONDOMÍNIO: RAZOÁVEL ENTRE 20 E 40 M3. MENOS DE 20M3 OU MAIS DE 40M3: UMA DAS 2 LEITURAS PODE ESTAR ERRADA</t>
  </si>
  <si>
    <t>ANOTAR NO FINAL DA TABELA "RESUMO DOS LANÇAMENTOS (RECEITAS/DESPESAS) O SALDO DE CRÉDITO OU DÉBITO DE DIFERENÇA DE LEITURA (DIFERENÇA DE CONSUMO DE ÁGUA DO CONDOMÍNIO FORA DA PREVISÃO)</t>
  </si>
  <si>
    <t>FUNDO DE RESERVA (R$ 150,00 POR APTº)</t>
  </si>
  <si>
    <t>CONCILIAÇÃO DESTA TABELA COM A QUE ESTÁ A PARTIR DA CÉLULA A158 OU PRÓXIMA</t>
  </si>
  <si>
    <t>RECIBO</t>
  </si>
  <si>
    <t>PAGO</t>
  </si>
  <si>
    <t>FORMA</t>
  </si>
  <si>
    <t>DATA DA</t>
  </si>
  <si>
    <t>EM</t>
  </si>
  <si>
    <t>DE PAGTº</t>
  </si>
  <si>
    <t>ENVIADO?</t>
  </si>
  <si>
    <t>**********</t>
  </si>
  <si>
    <t>MENOS</t>
  </si>
  <si>
    <t>VER OBS. QTº A DESCONTOS, EM PLANILHAS ANTERIORES</t>
  </si>
  <si>
    <t>AGENDADO EM 03/11/24 P/06/11/24, PIX BRAD.</t>
  </si>
  <si>
    <t>OBS. A ANOTAR: É ALUGADO. QUANDO PAGAR NA IMOBILIÁRIA, DESCONTAR FUNDO DE RESERVA. O LOCATÁRIO PAGA CHEIO PARA O CONDOMÍNIO E TEM O DESCONTO DO FUNDO NA IMOBILIÁRIA</t>
  </si>
  <si>
    <t>APTº 302: QUANDO FOR PAGAR O ALUGUEL NA IMOBILIÁRIA, DESCONTAR O VALOR</t>
  </si>
  <si>
    <t>DO FUNDO DE RESERVA DE R$150,00, QUE DEVERÁ SER DEBITADO AO PROPRIETÁRIO</t>
  </si>
  <si>
    <r>
      <t xml:space="preserve">PAGO POR DYEGO, 1º EM 01/07/24. </t>
    </r>
    <r>
      <rPr>
        <b/>
        <u/>
        <sz val="11"/>
        <color rgb="FFFF0000"/>
        <rFont val="Calibri"/>
        <family val="2"/>
        <scheme val="minor"/>
      </rPr>
      <t xml:space="preserve">ENVIAR PLANILHA </t>
    </r>
    <r>
      <rPr>
        <b/>
        <u/>
        <sz val="11"/>
        <color theme="3" tint="-0.249977111117893"/>
        <rFont val="Calibri"/>
        <family val="2"/>
        <scheme val="minor"/>
      </rPr>
      <t>GERAL</t>
    </r>
    <r>
      <rPr>
        <b/>
        <u/>
        <sz val="11"/>
        <color rgb="FFFF0000"/>
        <rFont val="Calibri"/>
        <family val="2"/>
        <scheme val="minor"/>
      </rPr>
      <t xml:space="preserve"> P/PROPRIET., ROSÂNGELA.</t>
    </r>
    <r>
      <rPr>
        <sz val="11"/>
        <color theme="1"/>
        <rFont val="Calibri"/>
        <family val="2"/>
        <scheme val="minor"/>
      </rPr>
      <t xml:space="preserve"> OBS. A ANOTAR: É ALUGADO. QUANDO PAGAR NA IMOBILIÁRIA, DESCONTAR FUNDO DE RESERVA. O LOCATÁRIO PAGA CHEIO PARA O CONDOMÍNIO E TEM O DESCONTO DO FUNDO NA IMOBILIÁRIA</t>
    </r>
  </si>
  <si>
    <t>APTº 501: QUANDO FOR PAGAR O ALUGUEL NA IMOBILIÁRIA, DESCONTAR O VALOR</t>
  </si>
  <si>
    <t>DO FUNDO DE RESERVA DE R$150,00, QUE DEVERÁ SER DEBITADO AO PROPRIETÁRIO,</t>
  </si>
  <si>
    <t>MENOS FD. DE RES.</t>
  </si>
  <si>
    <t xml:space="preserve"> A PAGAR</t>
  </si>
  <si>
    <t>F. RESERVA PAGO POR GILBERTO</t>
  </si>
  <si>
    <t>OBS. A ANOTAR: É ALUGADO. QUANDO PAGAR NA IMOBILIÁRIA, DESCONTAR FUNDO DE RESERVA. O LOCATÁRIO PAGA CHEIO PARA O CONDOMÍNIO E TEM O DESCONTO DO FUNDO NA IMOBILIÁRIA - CONVERSAR COM A LOCATÁRIA CLÁUDIA P/USAR O SISTEMA DO 302; SE ELA CONCORDAR, AVISAR O GILBERTO, PROPRIETÁRIO DO APTº. 02/2023: NÃO CONCORDOU, PREFERE MANTER A FORMA ATUAL</t>
  </si>
  <si>
    <t>CONFORME ATA REGISTRADA E PUBLICADA NO GRUPO DE WHATSAPP EM 16/12/2022</t>
  </si>
  <si>
    <t>PAGO POR LUIZ GUSTAVO DE SOUZA GOMES</t>
  </si>
  <si>
    <t>COND. D/MÊS</t>
  </si>
  <si>
    <t>FUNDO DE RESERVA PAGO POR GILBERTO AUGUSTO BRANDÃO</t>
  </si>
  <si>
    <t>SE PREFERIREM PODEM FAZER TRANSFERÊNCIA OU DEPOSITAR DIRETAMENTE</t>
  </si>
  <si>
    <t>NA CONTA DO CONDOMíNIO:</t>
  </si>
  <si>
    <t xml:space="preserve">   </t>
  </si>
  <si>
    <t xml:space="preserve">  </t>
  </si>
  <si>
    <t>RESUMO DOS LANÇAMENTOS (RECEITAS/DESPESAS)</t>
  </si>
  <si>
    <t>A PARTIR DA PLANILHA 202401 LANÇAR SEMPRE A DATA DO MÊS ANTERIOR PARA CONSERVADORA, MANUTENÇÃO DO ELEVADOR, MINISTÉRIO DA FAZENDA E HONORÁRIOS DA CONTADORA, POIS PODEM SOFRER VARIAÇÃO</t>
  </si>
  <si>
    <t>A PAGAR</t>
  </si>
  <si>
    <t>OBSERVAÇÕES</t>
  </si>
  <si>
    <t>ENVIAR ATÉ O DIA 8 DE CADA MÊS PARA A CONTABILIDADE A CÓPIA DAS NFS QUE TIVEREM RETENÇÕES FEDERAIS (VERIFICAR SE GÁS, CONSERVADORA E EVENTUAIS NFS QUE VIEREM COM RETENÇÕES FEDERAIS)</t>
  </si>
  <si>
    <r>
      <t xml:space="preserve">TRATA-SE DE RETENÇÃO FEDERAL NA NFES DA CONSERVADORA E NA NFS-E DA TK ELEVADORES LTDA., E DE OUTRAS EVENTUAIS- </t>
    </r>
    <r>
      <rPr>
        <b/>
        <sz val="10"/>
        <color rgb="FFFF0000"/>
        <rFont val="Calibri"/>
        <family val="2"/>
      </rPr>
      <t>VER SEMPRE QUAL É A COMPETÊNCIA NAS NF'S; PEDIR À CONTADORA QUE FAÇA OS DARF'S, ENVIAR PARA ELA ATÉ O DIA 8 AS NF'S</t>
    </r>
  </si>
  <si>
    <t>VENCE TODO DIA 25, VÁLIDO PARA 12/12/2024 A 12/12/2025</t>
  </si>
  <si>
    <r>
      <rPr>
        <b/>
        <strike/>
        <u/>
        <sz val="10"/>
        <color rgb="FFFF0000"/>
        <rFont val="Calibri"/>
        <family val="2"/>
      </rPr>
      <t>02/2025: REAJUSTE A CONFIRMAR, NÃO FOI INFORMADO AINDA</t>
    </r>
    <r>
      <rPr>
        <sz val="10"/>
        <color indexed="8"/>
        <rFont val="Calibri"/>
        <family val="2"/>
      </rPr>
      <t xml:space="preserve">. PAGTº COM PIX. </t>
    </r>
    <r>
      <rPr>
        <b/>
        <u/>
        <sz val="10"/>
        <color rgb="FFFF0000"/>
        <rFont val="Calibri"/>
        <family val="2"/>
      </rPr>
      <t>TODO OUTUBRO</t>
    </r>
    <r>
      <rPr>
        <sz val="10"/>
        <color indexed="8"/>
        <rFont val="Calibri"/>
        <family val="2"/>
      </rPr>
      <t>: ENTREGAR PARA A CONTABILIDADE TODOS OS DOCUMENTOS DE DESPESAS DO PERÍODO DE 10/2022 A 09/2023, PARA CONFECÇÃO DA RAIS E DA DES, E DE OUTRAS DECLARAÇÕES</t>
    </r>
  </si>
  <si>
    <t>DEVIDO AO LUCAS, DO APTº 201, DESCONTADO DO VALOR DO CONDOMÍNIO A SER PAGO POR ELE</t>
  </si>
  <si>
    <t>PAGAMENTO SERVIÇO DO SÍNDICO</t>
  </si>
  <si>
    <t>XXXXXXX</t>
  </si>
  <si>
    <t>ESTE TOTAL FOI MODIFICADO A PARTIR DA PLANILHA DE 10/2024, SENDO DELE RETIRADO O VALOR DO FUNDO DE RESERVA, QUE SE TRATA DE RECEITA, E NÃO DE DESPESA</t>
  </si>
  <si>
    <t>SALDO EM CAIXA DA DIFERENÇA DA CONTA DE ÁGUA (LEITURA)</t>
  </si>
  <si>
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</si>
  <si>
    <t>COPIAR DA PLANILHA ANTERIOR (USAR FÓRMULA)</t>
  </si>
  <si>
    <t>DESPREZAR ESTAS INFORMAÇÕES (ANOTAÇÃO DE 06/07/25)</t>
  </si>
  <si>
    <t>P/DESP. DIV. (GÁS, ETC.)</t>
  </si>
  <si>
    <r>
      <t xml:space="preserve">ENTENDER MELHOR ESSA DESTINAÇÃO DE SALDO, VER USO NA PLANILHA "202402 PLANILHA GERAL". </t>
    </r>
    <r>
      <rPr>
        <b/>
        <strike/>
        <u/>
        <sz val="11"/>
        <color rgb="FFFF0000"/>
        <rFont val="Calibri"/>
        <family val="2"/>
      </rPr>
      <t>CONFORME GILBERTO ORIENTOU EM 02/2023, TRATA-SE DE VALOR FORA DO FUNDO DE RESERVA, A SER USADO PARA DESPESAS DIVERSAS</t>
    </r>
  </si>
  <si>
    <t>SALDO DE CRÉDITO OU DÉBITO DE DIFERENÇA DE LEITURA</t>
  </si>
  <si>
    <t>REFERE-SE (EM REAIS) À DIFERENÇA DE CONSUMO DE ÁGUA DO CONDOMÍNIO FORA DA PREVISÃO</t>
  </si>
  <si>
    <t>CONTA BANCO INTER - MANTER O DEMONSTRATIVO ACIMA, APENAS ATUALIZANDO-O COM A TABELA QUE SEGUE ABAIXO (ANOTAÇÃO DE 06/07/25)</t>
  </si>
  <si>
    <t>CONTA BANCO INTER</t>
  </si>
  <si>
    <t>SALDO C/C</t>
  </si>
  <si>
    <t>SD. LÍQ. APLIC.</t>
  </si>
  <si>
    <t>SD. TOTAL</t>
  </si>
  <si>
    <t>A CONFIRMAR</t>
  </si>
  <si>
    <t>FUNDO DE RESERVA - MANTER O DEMONSTRATIVO ACIMA, APENAS ATUALIZANDO-O COM A TABELA QUE SEGUE ABAIXO (ANOTAÇÃO DE 06/07/25)</t>
  </si>
  <si>
    <t>FUNDO DE RESERVA A ABATER (PAGO PELO PROPRIETÁRIO)</t>
  </si>
  <si>
    <t>INFORMAÇÕES PARA A REF.:</t>
  </si>
  <si>
    <t>CONTA CORRENTE (-) FUNDO DE RESERVA (R$)</t>
  </si>
  <si>
    <t>12/07/25: MUDEI TAIS TABELAS PARA A PLANILHA "LANÇTºS, VRS. DEVIDOS"</t>
  </si>
  <si>
    <t>INFORMAR NA PLAN. P/CONDÔM.</t>
  </si>
  <si>
    <t>SIM - PARC. 5ª/6</t>
  </si>
  <si>
    <t>NÃO - O CONSUMO DO CONDOMÍNIO REFERENTE À LEITURA DE 24/04/25 FOI CONSIDERADO NULO PARA O FIM DA PRESENTE APURAÇÃO (JÁ QUE O CONSUMO TOTAL DOS CONDÔMINOS SUPEROU O CONSUMO INFORMADO NA CONTA DA COPASA), EM VISTA DO AJUSTE QUE FOI FEITO EM 04/04/25 NA CONTA ANTERIOR, APURADA ANTERIORMENTE COM BASE NA MÉDIA DE CONSUMO</t>
  </si>
  <si>
    <t>SIM - TEM FÓRMULA DE "IGUAL", NÃO PRECISA PREENCHER</t>
  </si>
  <si>
    <t>NÃO - FOI ABATIDO DO FUNDO DE RESERVA</t>
  </si>
  <si>
    <t>SIM - PARC. 6ª/6</t>
  </si>
  <si>
    <t>NÃO - O CONSUMO DO CONDOMÍNIO REFERENTE À LEITURA DE 24/06/25 FOI CONSIDERADO NULO PARA O FIM DA PRESENTE APURAÇÃO (JÁ QUE O CONSUMO TOTAL DOS CONDÔMINOS SUPEROU O CONSUMO INFORMADO NA CONTA DA COPASA), PARECE QUE FOI FEITA LEITURA ERRADA PELA COPASA NO HIDRÔMETRO...</t>
  </si>
  <si>
    <t>NÃO - FOI ABATIDO DO FUNDO DE RESERVA- VER ARQUIVO "CÂMERAS E INTERFONES CLAUDINEY ENTRADA PIX CC INTER" DA PASTA "H\Outr\Aptº PE\Condomínio Neápolis"</t>
  </si>
  <si>
    <t>NÃO - FOI ABATIDO DO FUNDO DE RESERVA- VER ARQUIVOS "CÂMERAS E INTERFONES CLAUDINEY PAGTº 20250707 PIX CC INTER" E "MONITOR DE CÂMERAS PARA HALL DO 1º ANDAR 20250711 RECIBO", DA PASTA "H\Outr\Aptº PE\Condomínio Neápolis"</t>
  </si>
  <si>
    <t>CHAVES RESERVA</t>
  </si>
  <si>
    <t>CADEADO</t>
  </si>
  <si>
    <t>SIM -  PARA CX. CORREIO DA GARAGEM</t>
  </si>
  <si>
    <t>TOTAL A INFORMAR NA PLAN. P/CONDÔM. (SERVE APENAS PARA COMPARAR COM O TOTAL DOS LANÇAMENTOS DAQUELA PLANILHA)</t>
  </si>
  <si>
    <t>VALOR A PAGAR PARA O CONDOMÍNIO:</t>
  </si>
  <si>
    <t>SIM - 2, PARA CADEADO DA CX. CORREIO DA GARAGEM</t>
  </si>
  <si>
    <t>PIX MERCADO PAGO</t>
  </si>
  <si>
    <t>INTERNET PARA TRANSMISSÃO DE IMAGENS DAS CÂMERAS A DESCONTAR</t>
  </si>
  <si>
    <t>OUTROS A DESCONTAR</t>
  </si>
  <si>
    <t>APARTAMENTO 201: DESCONTAR A INTERNET DE</t>
  </si>
  <si>
    <t>APTº 601: DESCONTAR O VALOR DO FUNDO DE RESERVA DE</t>
  </si>
  <si>
    <t>MANTER ESTA TABELA, SOMENTE ATUALIZANDO-A MENSALMENTE COM OS DADOS DA TABELA "LANÇAMENTOS" DA PLANILHA "LANÇTºS, VRS. DEVIDOS" (ANOTAÇÕES DE 06 E 14/07/2025)</t>
  </si>
  <si>
    <t>RATEIO MENSAL (INFORMAÇÕES ADICIONAIS AOS LANÇAMENTOS NA PLANILHA PARA CONDÔMINOS)</t>
  </si>
  <si>
    <t>12/07/25: MUDEI ESTA TABELA PARA A PLANILHA "LANÇTºS, VRS. DEVIDOS"</t>
  </si>
  <si>
    <t>SALDO ATUAL</t>
  </si>
  <si>
    <t>TOTAL DOS LANÇAMENTOS, EXCLUÍDO O FUNDO DE RESERVA</t>
  </si>
  <si>
    <t>DESPREZAR</t>
  </si>
  <si>
    <t>SALDO DO MÊS:</t>
  </si>
  <si>
    <t>TOTAL DO SALDO DA ATUAL REF.</t>
  </si>
  <si>
    <t>TOTAL DAS RECEITAS DA ATUAL REF. (TABELA "VALORES DEVIDOS POR UNIDADE")</t>
  </si>
  <si>
    <r>
      <t xml:space="preserve">OBSERVAÇÕES DO RODAPÉ DA ANTIGA TABELA "RESUMO DOS LANÇAMENTOS" ATÉ A REF. 07/2025 </t>
    </r>
    <r>
      <rPr>
        <b/>
        <sz val="11"/>
        <color rgb="FFFF0000"/>
        <rFont val="Calibri"/>
        <family val="2"/>
        <scheme val="minor"/>
      </rPr>
      <t>(DESPREZAR)</t>
    </r>
  </si>
  <si>
    <t>Nº OFÍCIO</t>
  </si>
  <si>
    <t>TOTAL/MÊS (R$)</t>
  </si>
  <si>
    <t>DATA OFÍCIO</t>
  </si>
  <si>
    <t>ESTE DEMONSTRATIVO ESTÁ SENDO FEITO (E "ARQUIVADO") NA TABELA "APTº 801 - ALBERTO" DA PLANILHA "LANÇTºS, VRS. DEVIDOS" (ANOTAÇÃO DE 14/07/2025)</t>
  </si>
  <si>
    <t>APTº 801 (ALBERTO) - SALDO DE ADIANTAMENTOS</t>
  </si>
  <si>
    <t>APTº 601 (INQUILINA CLÁUDIA) - VALOR LÍQUIDO A PAGAR</t>
  </si>
  <si>
    <t>APTº 201 (LUCAS) - VALOR LÍQUIDO A PAGAR</t>
  </si>
  <si>
    <t>ESTE DEMONSTRATIVO ESTÁ SENDO ATUALIZADO E "ARQUIVADO" NA TABELA "RATEIO MENSAL (INFORMAÇÕES ADICIONAIS AOS LANÇAMENTOS NA PLANILHA PARA CONDÔMINOS)" DA PLANILHA "LANÇTºS, VRS. DEVIDOS" (ANOTAÇÃO DE 14/07/2025)</t>
  </si>
  <si>
    <t>SALDO DISPONíVEL DO FUNDO DE RESERVA EM 31/07/2025</t>
  </si>
  <si>
    <t>ENTRADA (CAPTAÇÃO DE JULHO/2025)</t>
  </si>
  <si>
    <t>SALDO DO FUNDO DE RESERVA EM 30/06/2025</t>
  </si>
  <si>
    <t>SALDO TOTAL NO BANCO INTER EM 31/07/2025 (A + B)</t>
  </si>
  <si>
    <t>SALDO DISPONÍVEL P/RESGATE DAS APLICAÇÕES FINANC. EM 31/07/2025 (B)</t>
  </si>
  <si>
    <t>SALDO DA CONTA-CORRENTE EM 31/07/2025 (A)</t>
  </si>
  <si>
    <t>TOTAL DO SALDO EM 31/08/2025</t>
  </si>
  <si>
    <t>CONFORME ARQUIVOS "GÁS SUPERGASBRAS NF 20250607" E "GÁS SUPERGASBRAS VENCTº E PAGTº 20250613 CC INTER" DA PASTA "H\Outr\Aptº PE\Condomínio Neápolis"</t>
  </si>
  <si>
    <t>SALDO DE JULHO/2024</t>
  </si>
  <si>
    <t>TOTAL DAS RECEITAS DE AGOSTO/2025 (TABELA "VALORES DEVIDOS POR UNIDADE")</t>
  </si>
  <si>
    <t>TOTAL DOS LANÇAMENTOS DE JULHO/2025</t>
  </si>
  <si>
    <t>CADEADO E 2 CHAVES-RESERVA PARA CX. CORREIO DA GARAGEM</t>
  </si>
  <si>
    <t>LÂMPADAS 9W DE LED, 6</t>
  </si>
  <si>
    <t>LANÇAMENTOS - AGOSTO/2025</t>
  </si>
  <si>
    <t xml:space="preserve"> </t>
  </si>
  <si>
    <t>ABAIXO: NÃO USAR NO DEMONSTRATIVO A SER ENVIADO PARA OS CONDÔMINOS (25/01/2023) - VER ORIENTAÇÕES NA PLANILHA "ORIENTAÇÕES P PLANILHA GERAL"</t>
  </si>
  <si>
    <t>ANOTAR NO RODAPÉ DA TABELA ACIMA AS PECULIARIDADES DE CADA CONDÔMINO (VER MODELOS NAS IMPRESSÕES QUE GILBERTO FEZ) (25/01/2023) - VER ORIENTAÇÕES NA PLANILHA "ORIENTAÇÕES P PLANILHA GERAL"</t>
  </si>
  <si>
    <t>% DO CONSUMO TOTAL, PARA CÁLCULO DO VALOR DO ESGOTO A SER COBRADO POR AP</t>
  </si>
  <si>
    <t>ESTA CONTA FOI REEMITIDA EM XX/XX/25 APÓS SOLICITAÇAO DE MESMA DATA. A ORIGINAL DE 22/07/25 ESTAVA COM C/ERRO DE LEITURA, TALVEZ PELO VIDRO ESTAR EMBAÇADO (PEDI NA AGÊNCIA DA COPASA NA R. CURITIBA, +-1135, CORREÇÃO DA LEITURA E SUBSTITUIÇÃO DO VIDRO DO HIDRÔMETRO, QUE ESTÁ DIFICULTANDO A LEITURA)</t>
  </si>
  <si>
    <t>201 (ESPAÇO "201 GÁS PISC." DA TABELA DE LEITURAS, ZERADO)</t>
  </si>
  <si>
    <t>CONDOM.</t>
  </si>
  <si>
    <t>O CONSUMO TOTAL EM M3 E O VALOR DO ESGOTO DESTA CONTA FORAM TAMBÉM USADOS PARA O FIM DO RATEIO REFERENTE A 08/2025. O TOTAL DA LEITURA DE 24/06/25 FOI USADO (E DEPOIS ZERADO) PARA A APURAÇÃO DO CONSUMO DO CONDOMÍNIO DA REFERÊNCIA 08/2025, UMA VEZ QUE A LEITURA NA CONTA DA COPASA (DE 22/07/25) ESTÁ INCORRETA (PARA MENOR!!!), E QUE NÃO FOI ATENDIDA ATÉ O DIA 08/08/25 MINHA SOLICITAÇÃO DE CORREÇÃO DA LEITURA JUNTO À COPASA.</t>
  </si>
  <si>
    <r>
      <t xml:space="preserve">FOI PAGA A QUE VENCEU EM 15/08/25 </t>
    </r>
    <r>
      <rPr>
        <strike/>
        <sz val="10"/>
        <rFont val="Calibri"/>
        <family val="2"/>
      </rPr>
      <t xml:space="preserve">(R$3870,33), EMBORA A APURAÇÃO DO CONSUMO DE CADA CONDÔMINO SE REFIRA À QUE VENCERÁ EM 15/09/25. </t>
    </r>
    <r>
      <rPr>
        <strike/>
        <sz val="10"/>
        <color indexed="8"/>
        <rFont val="Calibri"/>
        <family val="2"/>
      </rPr>
      <t xml:space="preserve">ANOTAR SEMPRE O QUE VEM NA CONTA. A DIFERENÇA SERÁ OBJETO DO "SALDO DE CRÉDITO OU DÉBITO DE DIFERENÇA DE LEITURA", ABAIXO. </t>
    </r>
    <r>
      <rPr>
        <b/>
        <strike/>
        <sz val="10"/>
        <color rgb="FFFF0000"/>
        <rFont val="Calibri"/>
        <family val="2"/>
      </rPr>
      <t>ANOTAÇÃO INSERIDA EM IGUAL ITEM DA TABELA "LANÇAMENTOS [MÊS/ANO]", LINHA 45 OU PRÓXIMA: "O VENCIMENTO CORRETO É [XX/XX/XXXX], DE CUJA CONTA FORAM FEITOS O PRESENTE LANÇAMENTO E O RATEIO DE ESGOTO E RECURSOS HÍDRICOS DO CONDOMÍNIO E DE CADA CONDÔMINO"</t>
    </r>
  </si>
  <si>
    <t>LÂMPADAS 9W DE LED</t>
  </si>
  <si>
    <t>SIM - 6 UNIDADES</t>
  </si>
  <si>
    <t>NÃO - O TOTAL DA LEITURA DE 24/06/25 FOI USADO (E DEPOIS ZERADO) PARA A PRESENTE APURAÇÃO DO CONSUMO DO CONDOMÍNIO, UMA VEZ QUE A LEITURA ATUAL NA CONTA DA COPASA (DE 22/07/25) ESTÁ INCORRETA (PARA MENOR!!!), E QUE NÃO FOI ATENDIDA ATÉ O DIA 08/08/25 MINHA SOLICITAÇÃO DE CORREÇÃO DA LEITURA JUNTO À COPASA.</t>
  </si>
  <si>
    <r>
      <t xml:space="preserve">IGUAL AO RATEIO DAS DESPESAS MAIS COPASA MAIS GÁS; O SÍNDICO SÓ PAGA O FUNDO DE RESERVA </t>
    </r>
    <r>
      <rPr>
        <b/>
        <sz val="10"/>
        <color rgb="FFFF0000"/>
        <rFont val="Calibri"/>
        <family val="2"/>
      </rPr>
      <t>(ALTERAÇÃO FEITA EM 11/08/25)</t>
    </r>
  </si>
  <si>
    <t>07 E 11/07, 11/08/25</t>
  </si>
  <si>
    <t>PIX CEF</t>
  </si>
  <si>
    <t>08/2025: MUDEI ESTA TABELA PARA A PLANILHA "LANÇTºS, VRS. DEVIDOS" (TABELA INTITULADA "CONTA CORRENTE INTER E DISPONÍVEL P/RESGATE DAS APLICAÇÕES FINANC.")</t>
  </si>
  <si>
    <t>08/2025: MUDEI ESTA TABELA PARA A PLANILHA "LANÇTºS, VRS. DEVIDOS" (TABELA INTITULADA "FUNDO DE RESERVA")</t>
  </si>
  <si>
    <t>ÁGUA/ESGOTO, CÁLCULO</t>
  </si>
  <si>
    <t>GÁS, CÁLCULO</t>
  </si>
  <si>
    <t>CONFERÊNCIA</t>
  </si>
  <si>
    <t>NA PLANILHA "MEDIÇÕES E TABELAS":</t>
  </si>
  <si>
    <r>
      <t xml:space="preserve">CONSUMO </t>
    </r>
    <r>
      <rPr>
        <b/>
        <sz val="8"/>
        <color theme="1"/>
        <rFont val="Calibri"/>
        <family val="2"/>
        <scheme val="minor"/>
      </rPr>
      <t>(NÃO USAR)</t>
    </r>
  </si>
  <si>
    <r>
      <t xml:space="preserve">CONSUMO </t>
    </r>
    <r>
      <rPr>
        <b/>
        <sz val="8"/>
        <color theme="1"/>
        <rFont val="Calibri"/>
        <family val="2"/>
        <scheme val="minor"/>
      </rPr>
      <t>(USAR)</t>
    </r>
  </si>
  <si>
    <t>UNIDADE / ITEM</t>
  </si>
  <si>
    <t>NA PLANILHA "PLAN P COND":</t>
  </si>
  <si>
    <r>
      <t xml:space="preserve">A TABELA </t>
    </r>
    <r>
      <rPr>
        <b/>
        <sz val="10"/>
        <color rgb="FFFF0000"/>
        <rFont val="Calibri"/>
        <family val="2"/>
        <scheme val="minor"/>
      </rPr>
      <t>ABAIXO</t>
    </r>
    <r>
      <rPr>
        <sz val="10"/>
        <color theme="1"/>
        <rFont val="Calibri"/>
        <family val="2"/>
        <scheme val="minor"/>
      </rPr>
      <t xml:space="preserve"> COINCIDE COM IGUAL TABELA DA PLANILHA "PLAN P COND"</t>
    </r>
  </si>
  <si>
    <t>TABELA 1</t>
  </si>
  <si>
    <t>TABELA 2</t>
  </si>
  <si>
    <r>
      <t xml:space="preserve">VALOR ÁGUA/ESGOTO </t>
    </r>
    <r>
      <rPr>
        <b/>
        <sz val="6"/>
        <color theme="1"/>
        <rFont val="Calibri"/>
        <family val="2"/>
        <scheme val="minor"/>
      </rPr>
      <t>(USAR)</t>
    </r>
  </si>
  <si>
    <r>
      <t xml:space="preserve">VALOR </t>
    </r>
    <r>
      <rPr>
        <b/>
        <sz val="8"/>
        <color theme="1"/>
        <rFont val="Calibri"/>
        <family val="2"/>
        <scheme val="minor"/>
      </rPr>
      <t>(USAR)</t>
    </r>
  </si>
  <si>
    <t>USAR ESTA TABELA COMO RASCUNHO PARA OBTER OS DADOS DO PAGTº E CONFERIR OS VALORES PAGOS QUE SERVIRÃO DE BASE PARA OS RECIBOS A ENVIAR PARA OS CONDÔMINOS (ANOTAÇÃO DE 17/08/2025)</t>
  </si>
  <si>
    <t>NA PLANILHA "LANÇTºS":</t>
  </si>
  <si>
    <t>TABELA 3</t>
  </si>
  <si>
    <t>NA PLANILHA "VRS. DEVIDOS E OUTROS":</t>
  </si>
  <si>
    <t>FUNDO DE RESERVA,  SALDO EXISTENTE EM</t>
  </si>
  <si>
    <t>FUNDO DE RESERVA,     ENTRADAS NO MÊS</t>
  </si>
  <si>
    <t>NA PLANILHA "DADOS DO PAGTº":</t>
  </si>
  <si>
    <t>SALDO DISPONÍVEL FUNDO DE RESERVA EM</t>
  </si>
  <si>
    <t>COPIAR/COLAR ESPECIAL (TRANSPOR) AQUI OS DADOS DA TABELA "VALORES DEVIDOS POR UNIDADE" DA PLANILHA "MEDIÇÕES E TABELAS", ATÉ A COLUNA REFERENTE AO APTº 802</t>
  </si>
  <si>
    <r>
      <t>ENTRADA, CAPTAÇÃO DO MÊS ANTERIOR (</t>
    </r>
    <r>
      <rPr>
        <b/>
        <strike/>
        <sz val="8"/>
        <color theme="1"/>
        <rFont val="Calibri"/>
        <family val="2"/>
        <scheme val="minor"/>
      </rPr>
      <t>EM RELAÇÃO À ATUAL REF.</t>
    </r>
    <r>
      <rPr>
        <strike/>
        <sz val="8"/>
        <color indexed="8"/>
        <rFont val="Calibri"/>
        <family val="2"/>
      </rPr>
      <t>)</t>
    </r>
  </si>
  <si>
    <t>SERVIÇOS DE SERRALHEIRO NO PORTÃO DA GARAGEM</t>
  </si>
  <si>
    <t>SIM - E NO PORTEIRO ELETRÔNICO</t>
  </si>
  <si>
    <t>O TOTAL DA LINHA ACIMA COINCIDE COM OS LANÇAMENTOS DA PLANILHA "PLAN P COND"</t>
  </si>
  <si>
    <t>MANTER ESTA TABELA, SOMENTE ATUALIZANDO-A MENSALMENTE E TRANSPONDO SEUS DADOS PARA A TABELA "VALORES DEVIDOS POR UNIDADE" DA PLANILHA "VRS. DEVIDOS E OUTROS" (ANOTAÇÕES DE 06 E 14/07 E 20/08/2025)</t>
  </si>
  <si>
    <t>(MANTER E ATUALIZAR ESTE TÍTULO, POIS É OBJETO DE FÓRMULA NA PLANILHA "PLAN P COND")</t>
  </si>
  <si>
    <t>MANTER E ATUALIZAR ESTE TÍTULO, POIS É OBJETO DE FÓRMULA NA PLANILHA "PLAN P COND"</t>
  </si>
  <si>
    <t>ATUALIZAR TABELA REFERENTE AO GÁS, SEMPRE QUE HOUVER ABASTECIMENTO.</t>
  </si>
  <si>
    <t>PROCEDER À LEITURA DE ÁGUA E GÁS NO DIA 28 DE CADA MÊS, USANDO O ARQUIVO "ÁGUA E GÁS LEITURAS" DO ONE DRIVE.</t>
  </si>
  <si>
    <t>PREENCHER DADOS DAS TABELAS REFERENTES AOS APTºS 201, 601 E 801. QUANTO AOS APTº 601 E 801, USAR TAIS INFORMAÇÕES PARA ELABORAR OS RECIBOS QUE SÃO ENVIADOS À INQUILINA DO APTº 601 E AO CONDÔMINO DO APTº 801.</t>
  </si>
  <si>
    <t>PREENCHER DADOS DA TABELA, OBSERVANDO QUE JÁ EXISTE FÓRMULA EM ALGUMAS LINHAS/COLUNAS.</t>
  </si>
  <si>
    <t>(LINHAS/COLUNAS COM FÓRMULA: "CONTA DE ÁGUA DO CONDOMÍNIO" (NAS 2 LINHAS/COLUNAS); "PAGAMENTO SERVIÇO DO SÍNDICO"; "FUNDO DE RESERVA").</t>
  </si>
  <si>
    <t>ATUALIZAR AS FÓRMULAS DA LINHA "FUNDO DE RESERVA" NAS COLUNAS "VALOR" E "DATA".</t>
  </si>
  <si>
    <t>PREENCHER DADOS DA TABELA "FUNDO DE RESERVA".</t>
  </si>
  <si>
    <t>USAR A MESMA PLANILHA NA PRÓXIMA REFERÊNCIA (OS DADOS ANTERIORES NÃO SERÃO MAIS NECESSÁRIOS, POIS JÁ ESTÃO SALVOS NAS DEMAIS PLANILHAS DO PRESENTE ARQUIVO).</t>
  </si>
  <si>
    <t>DATA-LIMITE P/PAGTº</t>
  </si>
  <si>
    <t>FUNDO DE RESERVA ATUAL, INFORMADO NA PLANILHA "PLAN P COND" ATRAVÉS DE FÓRMULA:</t>
  </si>
  <si>
    <t>TARIFAS DA LEITURA DE 22/08/2025</t>
  </si>
  <si>
    <t>5 A 10</t>
  </si>
  <si>
    <t>10 A 15</t>
  </si>
  <si>
    <t>15 A 20</t>
  </si>
  <si>
    <t>20 A 40</t>
  </si>
  <si>
    <t>40 A 60</t>
  </si>
  <si>
    <t>LEITURA ERRADA QUE FOI FEITA EM 22/07/25:</t>
  </si>
  <si>
    <t>M3</t>
  </si>
  <si>
    <t>LEITURA CORRETA DE 22/07/25:</t>
  </si>
  <si>
    <t>LEITURA ANTERIOR CORRETA:</t>
  </si>
  <si>
    <t>LEITURA ANTERIOR:</t>
  </si>
  <si>
    <t>CONSUMO CORRETO:</t>
  </si>
  <si>
    <t>???</t>
  </si>
  <si>
    <t>TARIFAS DA LEITURA DE 22/07/2025 APÓS SER CORRIGIDA (NÃO FOI CORRIGIDA ATÉ 27/08/25)</t>
  </si>
  <si>
    <t>TARIFAS DA LEITURA DE 22/08/25 APÓS A LEITURA DE 22/07/25 SER CORRIGIDA (NÃO FOI CORRIGIDA ATÉ 27/08/25)</t>
  </si>
  <si>
    <t>LEITURA ATUAL, VERIFIQUEI QUE ESTÁ CORRETA:</t>
  </si>
  <si>
    <r>
      <rPr>
        <b/>
        <u/>
        <sz val="8"/>
        <color theme="1"/>
        <rFont val="Calibri"/>
        <family val="2"/>
        <scheme val="minor"/>
      </rPr>
      <t>GÁS</t>
    </r>
    <r>
      <rPr>
        <sz val="8"/>
        <color theme="1"/>
        <rFont val="Calibri"/>
        <family val="2"/>
        <scheme val="minor"/>
      </rPr>
      <t>: HÁ 2 TANQUES DE 200 KG CADA. 1KG COMPRADO É IGUAL A 2,5M3 CONSUMIDOS. ESSE VALOR É CORRIGIDO A CADA ABASTECIMENTO. 2ª VARIÁVEL DA FÓRMULA (COLUNA "CONSUMO M3"): VALOR É IGUAL A 2,5 X O PREÇO UNITÁRIO DO QUILO, QUE SERÁ VERIFICADO NO ÚLTIMO ABASTECIMENTO FEITO</t>
    </r>
  </si>
  <si>
    <r>
      <rPr>
        <b/>
        <u/>
        <sz val="8"/>
        <color theme="1"/>
        <rFont val="Calibri"/>
        <family val="2"/>
        <scheme val="minor"/>
      </rPr>
      <t>GÁS DO 201</t>
    </r>
    <r>
      <rPr>
        <sz val="8"/>
        <color theme="1"/>
        <rFont val="Calibri"/>
        <family val="2"/>
        <scheme val="minor"/>
      </rPr>
      <t>: TEM UM MEDIDOR A PARTE. NO APTº A MEDIÇÃO GERALMENTE É ZERO, PORQUE TEM FOGÃO ELÉTRICO</t>
    </r>
  </si>
  <si>
    <t>OS DADOS AQUI LANÇADOS SÃO HIPOTÉTICOS, POIS ESTA CONTA ESTÁ SENDO POR MIM QUESTIONADA, CONFORME TABELAS À DIREITA, EM VISTA DE NÃO TER SIDO AINDA CORRIGIDA A CONTA ANTERIOR</t>
  </si>
  <si>
    <t>LANÇAMENTOS - SETEMBRO/2025</t>
  </si>
  <si>
    <t>VALORES DEVIDOS POR UNIDADE - SETEMBRO/2025</t>
  </si>
  <si>
    <t>SIM - VALOR A SER RATEADO ENTRE OS CONDÔMINOS</t>
  </si>
  <si>
    <t>MÊS DO LANÇTº</t>
  </si>
  <si>
    <t>COPASA DO COND. A RATEAR (R$)</t>
  </si>
  <si>
    <t>PARTE DO SÍNDICO A RATEAR (COPASA, GÁS E DESPESAS, EM R$)</t>
  </si>
  <si>
    <r>
      <t xml:space="preserve">COPASA DO COND. A RATEAR - </t>
    </r>
    <r>
      <rPr>
        <b/>
        <sz val="8"/>
        <color theme="1"/>
        <rFont val="Calibri"/>
        <family val="2"/>
        <scheme val="minor"/>
      </rPr>
      <t>SÓ FÓRMULA</t>
    </r>
  </si>
  <si>
    <r>
      <t xml:space="preserve">PARTE DO SÍNDICO A RATEAR - </t>
    </r>
    <r>
      <rPr>
        <b/>
        <sz val="8"/>
        <color theme="1"/>
        <rFont val="Calibri"/>
        <family val="2"/>
        <scheme val="minor"/>
      </rPr>
      <t>SÓ FÓRMULA</t>
    </r>
  </si>
  <si>
    <t>RATEIOS DE COPASA E SÍNDICO</t>
  </si>
  <si>
    <t>SERVIÇOS DE SERRALHEIRO NO PORTÃO DA GARAGEM E NO PORTEIRO ELETRÔNICO</t>
  </si>
  <si>
    <t>TABELA A SER COLADA (TRANSPOR) EM TABELA IDÊNTICA EXISTENTE NA PLANILHA "VRS. DEVIDOS E OUTROS"</t>
  </si>
  <si>
    <t>Ofício nº 09/2025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</si>
  <si>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setembro/2025</t>
    </r>
  </si>
  <si>
    <t>Belo Horizonte/MG, 01 de setembro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</si>
  <si>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</si>
  <si>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10/09/2025</t>
    </r>
    <r>
      <rPr>
        <sz val="13"/>
        <color theme="1"/>
        <rFont val="Calibri"/>
        <family val="2"/>
        <scheme val="minor"/>
      </rPr>
      <t>.</t>
    </r>
  </si>
  <si>
    <t>UNIDADE / DATA DA LEITURA</t>
  </si>
  <si>
    <t>PARA O APTº 201, USAR A PLANILHA "PLAN P COND" QUE JÁ ESTÁ SALVA: PREENCHER COM A COR AMARELO A LINHA REFERENTE AO APTº; COPIAR/COLAR (E A SEGUIR COPIAR/COLAR COMO TEXTO), ABAIXO DA TABELA "VALORES DEVIDOS POR UNIDADE", OS DADOS REFERENTES AO APTº 201 QUE ESTÃO NA PLANILHA "VRS. DEVIDOS E OUTROS", E DEPOIS SALVÁ-LA TAMBÉM COMO PDF, PARA ENVIAR AO CONDÔMINO. SEMPRE FAZER RECIBO DO VALOR TOTAL DO CONDOMÍNIO DEVIDO.</t>
  </si>
  <si>
    <t>PARA O APTº 601, USAR A PLANILHA "PLAN P COND" QUE JÁ ESTÁ SALVA: PREENCHER COM A COR AMARELO A LINHA REFERENTE AO APTº; COPIAR/COLAR (E A SEGUIR COPIAR/COLAR COMO TEXTO), ABAIXO DA TABELA "VALORES DEVIDOS POR UNIDADE", OS DADOS REFERENTES AO APTº 601 QUE ESTÃO NA PLANILHA "VRS. DEVIDOS E OUTROS", E DEPOIS SALVÁ-LA TAMBÉM COMO PDF, PARA ENVIAR À INQUILINA E AO PROPRIETÁRIO DO APTº. FAZER RECIBO APENAS DO CONDOMÍNIO PAGO.</t>
  </si>
  <si>
    <t>SALDO DO FUNDO DE RESERVA</t>
  </si>
  <si>
    <t>NA DATA:</t>
  </si>
  <si>
    <t>ENTRADA, CAPTAÇÃO</t>
  </si>
  <si>
    <t>NO MÊS:</t>
  </si>
  <si>
    <t>OBSERV.</t>
  </si>
  <si>
    <t>SALDO DE</t>
  </si>
  <si>
    <t>INFORMAÇÕES</t>
  </si>
  <si>
    <t>PARA A REF.:</t>
  </si>
  <si>
    <t>CTª SUBSTITUÍDA</t>
  </si>
  <si>
    <t>NOVA CONTA OBTIDA EM 02/09/25, SUBSTITUINDO A ANTERIOR, QUE TINHA ERRO DE LEITURA (NÃO FOI USADA P/CALCULAR RATEIOS)</t>
  </si>
  <si>
    <t>CONTA DE ÁGUA DO CONDOMÍNIO, VALOR TOTAL A PAGAR</t>
  </si>
  <si>
    <t>RETENÇÕES FEDERAIS / MUNICIPAIS DE TRIBUTOS A RECOLHER</t>
  </si>
  <si>
    <t>PARA INSERIR COR NA FÓRMULA: PÁGINA INICIAL / FORMATAÇÃO CONDICIONAL / REGRAS DE REALCE DAS CÉLULAS / É IGUAL A... (VERDADEIRO OU FALSO, UM DE CADA VEZ) / FORMATAR PERSONALIZADO</t>
  </si>
  <si>
    <t>PREENCHTº AZUL: A CONFIRMAR</t>
  </si>
  <si>
    <t>SINALIZAÇÃO HORIZONTAL NA RUA EM FRENTE À GARAGEM</t>
  </si>
  <si>
    <t>MATERIAL PARA PINTURA</t>
  </si>
  <si>
    <t>SIM - EM PARTE DO PORTÃO DA GARAGEM E ELEVADOR</t>
  </si>
  <si>
    <r>
      <rPr>
        <b/>
        <sz val="8"/>
        <color theme="1"/>
        <rFont val="Calibri"/>
        <family val="2"/>
        <scheme val="minor"/>
      </rPr>
      <t>O ÚLTIMO SALDO</t>
    </r>
    <r>
      <rPr>
        <sz val="8"/>
        <color theme="1"/>
        <rFont val="Calibri"/>
        <family val="2"/>
        <scheme val="minor"/>
      </rPr>
      <t xml:space="preserve"> COINCIDE COM O QUE CONSTA NA TABELA 3 ("VALORES DEVIDOS POR UNIDADE") DA PLANILHA "MEDIÇÕES E TABELAS"</t>
    </r>
  </si>
  <si>
    <t>PARA INSERIR COR NA FÓRMULA: PÁGINA INICIAL / FORMATAÇÃO CONDICIONAL / REGRAS DE REALCE DAS CÉLULAS / É IGUAL A... (VERDADEIRO OU FALSO, UM DE CADA VEZ) / FORMATAR PERSONALIZADO (08/09/25)</t>
  </si>
  <si>
    <t>PIX NUBANK ($150) E BRAD. ($800)</t>
  </si>
  <si>
    <t>PREENCHER/ATUALIZAR DEMAIS DADOS DA TABELA 2.</t>
  </si>
  <si>
    <t>XXX</t>
  </si>
  <si>
    <t>XEROX PROJ.ELÉTRICO P/RENOV.AUTO DE VISTORIA/CORPO DE BOMBEIROS</t>
  </si>
  <si>
    <r>
      <t xml:space="preserve">EM TODAS AS PLANILHAS: AO ACRESCENTAR LINHA OU COLUNA, USAR "COPIAR" </t>
    </r>
    <r>
      <rPr>
        <b/>
        <i/>
        <u/>
        <sz val="10"/>
        <color theme="1"/>
        <rFont val="Calibri"/>
        <family val="2"/>
        <scheme val="minor"/>
      </rPr>
      <t>LINHA OU COLUNA</t>
    </r>
    <r>
      <rPr>
        <b/>
        <i/>
        <sz val="10"/>
        <color theme="1"/>
        <rFont val="Calibri"/>
        <family val="2"/>
        <scheme val="minor"/>
      </rPr>
      <t xml:space="preserve"> / "INSERIR" CÉLULAS COPIADAS, PARA QUE NÃO SEJA ALTERADO O RESULTADO DAS DIVERSAS FÓRMULAS JÁ EXISTENTES.</t>
    </r>
  </si>
  <si>
    <r>
      <t>CONTA DA COPASA (</t>
    </r>
    <r>
      <rPr>
        <b/>
        <u/>
        <sz val="10"/>
        <color theme="1"/>
        <rFont val="Calibri"/>
        <family val="2"/>
        <scheme val="minor"/>
      </rPr>
      <t>NO ATO DO RECEBIMENTO</t>
    </r>
    <r>
      <rPr>
        <sz val="10"/>
        <color theme="1"/>
        <rFont val="Calibri"/>
        <family val="2"/>
        <scheme val="minor"/>
      </rPr>
      <t>): CONFERIR SE A LEITURA NELA REGISTRADA ESTÁ PRÓXIMA DA QUE CONSTA NO HIDRÔMETRO; PREENCHER DADOS DA TABELA "COPASA NFFS".</t>
    </r>
  </si>
  <si>
    <r>
      <t xml:space="preserve">COPIAR/COLAR TEXTO (ATÉ A COLUNA REFERENTE AO APTº 802) OS </t>
    </r>
    <r>
      <rPr>
        <b/>
        <u/>
        <sz val="10"/>
        <color theme="1"/>
        <rFont val="Calibri"/>
        <family val="2"/>
        <scheme val="minor"/>
      </rPr>
      <t>NÚMEROS</t>
    </r>
    <r>
      <rPr>
        <sz val="10"/>
        <color theme="1"/>
        <rFont val="Calibri"/>
        <family val="2"/>
        <scheme val="minor"/>
      </rPr>
      <t xml:space="preserve"> DA TABELA 3 ("VALORES DEVIDOS POR UNIDADE"), NA TABELA QUE ESTÁ LOGO ABAIXO DA TABELA ORIGINAL, EM CIMA DO TEXTO ANTERIOR JÁ EXISTENTE. </t>
    </r>
    <r>
      <rPr>
        <b/>
        <i/>
        <sz val="10"/>
        <color theme="1"/>
        <rFont val="Calibri"/>
        <family val="2"/>
        <scheme val="minor"/>
      </rPr>
      <t>ESSES DADOS SERÃO OBJETO DE COPIAR/COLAR ESPECIAL (TRANSPOR) PARA TABELA IDÊNTICA EXISTENTE NA PLANILHA "VRS. DEVIDOS E OUTROS".</t>
    </r>
  </si>
  <si>
    <r>
      <t xml:space="preserve">CONFERIR A ANOTAÇÃO QUE ESTÁ ACIMA DA TABELA 3 ("VALORES DEVIDOS POR UNIDADE"), CUJA FÓRMULA DEVE APRESENTAR O RESULTADO </t>
    </r>
    <r>
      <rPr>
        <b/>
        <u/>
        <sz val="10"/>
        <color theme="1"/>
        <rFont val="Calibri"/>
        <family val="2"/>
        <scheme val="minor"/>
      </rPr>
      <t>"VERDADEIRO"</t>
    </r>
    <r>
      <rPr>
        <sz val="10"/>
        <color theme="1"/>
        <rFont val="Calibri"/>
        <family val="2"/>
        <scheme val="minor"/>
      </rPr>
      <t xml:space="preserve"> (</t>
    </r>
    <r>
      <rPr>
        <i/>
        <sz val="10"/>
        <color theme="1"/>
        <rFont val="Calibri"/>
        <family val="2"/>
        <scheme val="minor"/>
      </rPr>
      <t>"'A TABELA ABAIXO COINCIDE COM IGUAL TABELA DA PLANILHA "PLAN P COND'"</t>
    </r>
    <r>
      <rPr>
        <sz val="10"/>
        <color theme="1"/>
        <rFont val="Calibri"/>
        <family val="2"/>
        <scheme val="minor"/>
      </rPr>
      <t>), TOMANDO ANTES O CUIDADO DE VERIFICAR SE A COLUNA "</t>
    </r>
    <r>
      <rPr>
        <b/>
        <u/>
        <sz val="10"/>
        <color theme="1"/>
        <rFont val="Calibri"/>
        <family val="2"/>
        <scheme val="minor"/>
      </rPr>
      <t>RATEIO</t>
    </r>
    <r>
      <rPr>
        <sz val="10"/>
        <color theme="1"/>
        <rFont val="Calibri"/>
        <family val="2"/>
        <scheme val="minor"/>
      </rPr>
      <t>" JÁ FOI ATUALIZADA.</t>
    </r>
  </si>
  <si>
    <r>
      <t xml:space="preserve">USAR A TABELA 3 ("VALORES DEVIDOS POR UNIDADE") COMO RASCUNHO PARA OBTER OS DADOS DO PAGTº E CONFERIR OS VALORES PAGOS QUE SERVIRÃO DE BASE PARA OS RECIBOS A ENVIAR PARA OS CONDÔMINOS. </t>
    </r>
    <r>
      <rPr>
        <i/>
        <sz val="10"/>
        <color theme="1"/>
        <rFont val="Calibri"/>
        <family val="2"/>
        <scheme val="minor"/>
      </rPr>
      <t>NO MÊS SEGUINTE SERÁ REUTILIZADA, COM NOVOS DADOS</t>
    </r>
    <r>
      <rPr>
        <sz val="10"/>
        <color theme="1"/>
        <rFont val="Calibri"/>
        <family val="2"/>
        <scheme val="minor"/>
      </rPr>
      <t>.</t>
    </r>
  </si>
  <si>
    <r>
      <t xml:space="preserve">ATUALIZAR, NAS COLUNAS "VALOR" E "DATA", AS FÓRMULAS DA LINHA "PAGAMENTO SERVIÇO DO SÍNDICO" </t>
    </r>
    <r>
      <rPr>
        <b/>
        <i/>
        <sz val="10"/>
        <color theme="1"/>
        <rFont val="Calibri"/>
        <family val="2"/>
        <scheme val="minor"/>
      </rPr>
      <t>(CUJOS DADOS ESTÃO NAS TABELAS "VALORES DEVIDOS POR UNIDADE" E "RATEIO MENSAL" DA PLANILHA "VRS. DEVIDOS E OUTROS")</t>
    </r>
    <r>
      <rPr>
        <sz val="10"/>
        <color theme="1"/>
        <rFont val="Calibri"/>
        <family val="2"/>
        <scheme val="minor"/>
      </rPr>
      <t xml:space="preserve"> E DAS DUAS LINHAS INTITULADAS "CONTA DE ÁGUA DO CONDOMÍNIO" </t>
    </r>
    <r>
      <rPr>
        <b/>
        <i/>
        <sz val="10"/>
        <color theme="1"/>
        <rFont val="Calibri"/>
        <family val="2"/>
        <scheme val="minor"/>
      </rPr>
      <t>(CUJOS DADOS ESTÃO NAS TABELAS DA PLANILHA "MEDIÇÕES E TABELAS")</t>
    </r>
    <r>
      <rPr>
        <sz val="10"/>
        <color theme="1"/>
        <rFont val="Calibri"/>
        <family val="2"/>
        <scheme val="minor"/>
      </rPr>
      <t>.</t>
    </r>
  </si>
  <si>
    <r>
      <t>SELECIONAR, NA COLUNA "</t>
    </r>
    <r>
      <rPr>
        <i/>
        <sz val="10"/>
        <color theme="1"/>
        <rFont val="Calibri"/>
        <family val="2"/>
        <scheme val="minor"/>
      </rPr>
      <t>INFORMAR NA PLAN. P/CONDÔM.</t>
    </r>
    <r>
      <rPr>
        <sz val="10"/>
        <color theme="1"/>
        <rFont val="Calibri"/>
        <family val="2"/>
        <scheme val="minor"/>
      </rPr>
      <t>" DO MÊS DE REFERÊNCIA EM APURAÇÃO (COLUNA "REF."), AS LINHAS COM "SIM". COPIAR/COLAR ESPECIAL TEXTO OS DADOS SELECIONADOS PARA A 1ª TABELA ("</t>
    </r>
    <r>
      <rPr>
        <i/>
        <sz val="10"/>
        <color theme="1"/>
        <rFont val="Calibri"/>
        <family val="2"/>
        <scheme val="minor"/>
      </rPr>
      <t>LANÇAMENTOS (...)</t>
    </r>
    <r>
      <rPr>
        <sz val="10"/>
        <color theme="1"/>
        <rFont val="Calibri"/>
        <family val="2"/>
        <scheme val="minor"/>
      </rPr>
      <t>") DA PLANILHA "PLAN P COND" (</t>
    </r>
    <r>
      <rPr>
        <b/>
        <i/>
        <sz val="10"/>
        <color theme="1"/>
        <rFont val="Calibri"/>
        <family val="2"/>
        <scheme val="minor"/>
      </rPr>
      <t>ESSA OPÇÃO É MELHOR DO QUE TER FÓRMULA NESTA ÚLTIMA TABELA, JÁ QUE PODE HAVER NOS MESES SEGUINTES ACRÉSCIMO OU SUPRESSÃO DE ITENS A SEREM LANÇADOS</t>
    </r>
    <r>
      <rPr>
        <sz val="10"/>
        <color theme="1"/>
        <rFont val="Calibri"/>
        <family val="2"/>
        <scheme val="minor"/>
      </rPr>
      <t>).</t>
    </r>
  </si>
  <si>
    <r>
      <t xml:space="preserve">CONFERIR AS 2 ANOTAÇÕES QUE ESTÃO ABAIXO DA TABELA "VALORES DEVIDOS POR UNIDADE", CUJAS FÓRMULAS DEVEM APRESENTAR O RESULTADO </t>
    </r>
    <r>
      <rPr>
        <b/>
        <u/>
        <sz val="10"/>
        <color theme="1"/>
        <rFont val="Calibri"/>
        <family val="2"/>
        <scheme val="minor"/>
      </rPr>
      <t>"VERDADEIRO"</t>
    </r>
    <r>
      <rPr>
        <sz val="10"/>
        <color theme="1"/>
        <rFont val="Calibri"/>
        <family val="2"/>
        <scheme val="minor"/>
      </rPr>
      <t xml:space="preserve"> (</t>
    </r>
    <r>
      <rPr>
        <i/>
        <sz val="10"/>
        <color theme="1"/>
        <rFont val="Calibri"/>
        <family val="2"/>
        <scheme val="minor"/>
      </rPr>
      <t>"'OS VALORES DAS 2 ÚLTIMAS LINHAS DA COLUNA "TOTAL/MÊS" COINCIDEM COM IGUAIS VALORES DA TABELA 3 ("VALORES DEVIDOS POR UNIDADE") DA PLANILHA "MEDIÇÕES E TABELAS'"</t>
    </r>
    <r>
      <rPr>
        <sz val="10"/>
        <color theme="1"/>
        <rFont val="Calibri"/>
        <family val="2"/>
        <scheme val="minor"/>
      </rPr>
      <t>).</t>
    </r>
  </si>
  <si>
    <r>
      <t xml:space="preserve">PREENCHER DADOS DA TABELA "RATEIO MENSAL (INFORMAÇÕES ADICIONAIS AOS LANÇAMENTOS NA PLANILHA PARA CONDÔMINOS)". </t>
    </r>
    <r>
      <rPr>
        <b/>
        <i/>
        <sz val="10"/>
        <color theme="1"/>
        <rFont val="Calibri"/>
        <family val="2"/>
        <scheme val="minor"/>
      </rPr>
      <t>TAIS DADOS JÁ CONSTAM NA PLANILHA "PLAN P COND" E FORAM OBJETO DE CONFERÊNCIA, CONFORME ANOTAÇÃO SEGUINTE)</t>
    </r>
    <r>
      <rPr>
        <sz val="10"/>
        <color theme="1"/>
        <rFont val="Calibri"/>
        <family val="2"/>
        <scheme val="minor"/>
      </rPr>
      <t>.</t>
    </r>
  </si>
  <si>
    <r>
      <t>CONFERIR E ATUALIZAR NA TABELA "RATEIO MENSAL (INFORMAÇÕES ADICIONAIS AOS LANÇAMENTOS NA PLANILHA PARA CONDÔMINOS)" AS SEGUINTES ANOTAÇÕES: 1) A QUE ESTÁ ACIMA DA PRIMEIRA LINHA PREENCHIDA (</t>
    </r>
    <r>
      <rPr>
        <i/>
        <sz val="10"/>
        <color theme="1"/>
        <rFont val="Calibri"/>
        <family val="2"/>
        <scheme val="minor"/>
      </rPr>
      <t>"FUNDO DE RESERVA ATUAL, INFORMADO NA PLANILHA "PLAN P COND" ATRAVÉS DE FÓRMULA"</t>
    </r>
    <r>
      <rPr>
        <sz val="10"/>
        <color theme="1"/>
        <rFont val="Calibri"/>
        <family val="2"/>
        <scheme val="minor"/>
      </rPr>
      <t>), QUE DEVE SER ATUALIZADO ALI E TAMBÉM NA PLANILHA "PLAN P COND"</t>
    </r>
    <r>
      <rPr>
        <i/>
        <sz val="10"/>
        <color theme="1"/>
        <rFont val="Calibri"/>
        <family val="2"/>
        <scheme val="minor"/>
      </rPr>
      <t>; 2) A QUE ESTÁ À DIREITA DA ÚLTIMA LINHA PREENCHIDA, CUJA FÓRMULA DEVE APRESENTAR O RESULTADO "VERDADEIRO" (</t>
    </r>
    <r>
      <rPr>
        <sz val="10"/>
        <color theme="1"/>
        <rFont val="Calibri"/>
        <family val="2"/>
        <scheme val="minor"/>
      </rPr>
      <t>"O RATEIO FINAL COINCIDE COM O QUE CONSTA NA PLANILHA "PLAN P COND'"</t>
    </r>
    <r>
      <rPr>
        <i/>
        <sz val="10"/>
        <color theme="1"/>
        <rFont val="Calibri"/>
        <family val="2"/>
        <scheme val="minor"/>
      </rPr>
      <t>).</t>
    </r>
  </si>
  <si>
    <r>
      <t>ATUALIZAR AS FÓRMULAS DAS LINHAS REFERENTES AOS APTºS 201 E 601 (</t>
    </r>
    <r>
      <rPr>
        <b/>
        <i/>
        <sz val="10"/>
        <color theme="1"/>
        <rFont val="Calibri"/>
        <family val="2"/>
        <scheme val="minor"/>
      </rPr>
      <t>VER OBSERVAÇÕES SOBRE ESTES APTºS NAS ORIENTAÇÕES REFERENTES À PLANILHA "PLAN P COND"</t>
    </r>
    <r>
      <rPr>
        <sz val="10"/>
        <color theme="1"/>
        <rFont val="Calibri"/>
        <family val="2"/>
        <scheme val="minor"/>
      </rPr>
      <t>).</t>
    </r>
  </si>
  <si>
    <r>
      <t xml:space="preserve">CONFERIR NA TABELA "FUNDO DE RESERVA" A ANOTAÇÃO QUE ESTÁ À DIREITA DA ÚLTIMA LINHA PREENCHIDA, CUJA FÓRMULA DEVE APRESENTAR O RESULTADO </t>
    </r>
    <r>
      <rPr>
        <b/>
        <u/>
        <sz val="10"/>
        <color theme="1"/>
        <rFont val="Calibri"/>
        <family val="2"/>
        <scheme val="minor"/>
      </rPr>
      <t>"VERDADEIRO"</t>
    </r>
    <r>
      <rPr>
        <sz val="10"/>
        <color theme="1"/>
        <rFont val="Calibri"/>
        <family val="2"/>
        <scheme val="minor"/>
      </rPr>
      <t xml:space="preserve"> ("</t>
    </r>
    <r>
      <rPr>
        <i/>
        <sz val="10"/>
        <color theme="1"/>
        <rFont val="Calibri"/>
        <family val="2"/>
        <scheme val="minor"/>
      </rPr>
      <t>ESTE SALDO ATUAL COINCIDE COM O QUE ESTÁ NA PLANILHA "PLAN P COND'")</t>
    </r>
    <r>
      <rPr>
        <sz val="10"/>
        <color theme="1"/>
        <rFont val="Calibri"/>
        <family val="2"/>
        <scheme val="minor"/>
      </rPr>
      <t xml:space="preserve">. </t>
    </r>
    <r>
      <rPr>
        <b/>
        <i/>
        <sz val="10"/>
        <color theme="1"/>
        <rFont val="Calibri"/>
        <family val="2"/>
        <scheme val="minor"/>
      </rPr>
      <t xml:space="preserve">MAS ANTES É NECESSÁRIO </t>
    </r>
    <r>
      <rPr>
        <b/>
        <i/>
        <u/>
        <sz val="10"/>
        <color theme="1"/>
        <rFont val="Calibri"/>
        <family val="2"/>
        <scheme val="minor"/>
      </rPr>
      <t>ATUALIZAR</t>
    </r>
    <r>
      <rPr>
        <b/>
        <i/>
        <sz val="10"/>
        <color theme="1"/>
        <rFont val="Calibri"/>
        <family val="2"/>
        <scheme val="minor"/>
      </rPr>
      <t xml:space="preserve"> A PLANILHA "PLAN P COND"!</t>
    </r>
  </si>
  <si>
    <r>
      <t xml:space="preserve">ATUALIZAR O TEXTO INICIAL E A FÓRMULA DO FUNDO DE RESERVA NA 1ª TABELA. </t>
    </r>
    <r>
      <rPr>
        <b/>
        <i/>
        <sz val="10"/>
        <color theme="1"/>
        <rFont val="Calibri"/>
        <family val="2"/>
        <scheme val="minor"/>
      </rPr>
      <t>O MÊS DE REFERÊNCIA NOS CABEÇALHOS E A TABELA "VALORES DEVIDOS POR UNIDADE" JÁ SÃO PREENCHIDOS POR FÓRMULAS.</t>
    </r>
  </si>
  <si>
    <r>
      <t xml:space="preserve">ATUALIZAR O TEXTO DAS INFORMAÇÕES SOBRE O FUNDO DE RESERVA (DATAS), </t>
    </r>
    <r>
      <rPr>
        <b/>
        <i/>
        <sz val="10"/>
        <color theme="1"/>
        <rFont val="Calibri"/>
        <family val="2"/>
        <scheme val="minor"/>
      </rPr>
      <t>LEMBRANDO QUE OS VALORES RESULTAM DE FÓRMULA VINCULADA A DADOS DA TABELA "FUNDO DE RESERVA", DA PLANILHA "LANÇTºS"</t>
    </r>
    <r>
      <rPr>
        <sz val="10"/>
        <color theme="1"/>
        <rFont val="Calibri"/>
        <family val="2"/>
        <scheme val="minor"/>
      </rPr>
      <t>.</t>
    </r>
  </si>
  <si>
    <r>
      <t xml:space="preserve">APÓS TERMINAR DE ELABORAR A "PLAN P COND", SALVÁ-LA TAMBÉM COMO PDF, PARA ENVIAR AOS CONDÔMINOS (EXCETO APTºS 201 E 601). </t>
    </r>
    <r>
      <rPr>
        <b/>
        <i/>
        <sz val="10"/>
        <color theme="1"/>
        <rFont val="Calibri"/>
        <family val="2"/>
        <scheme val="minor"/>
      </rPr>
      <t>PREVENTIVAMENTE, COPIAR/COLAR ESTA PLANILHA (JÁ PRONTA) NA PLANILHA "</t>
    </r>
    <r>
      <rPr>
        <b/>
        <i/>
        <u/>
        <sz val="10"/>
        <color theme="1"/>
        <rFont val="Calibri"/>
        <family val="2"/>
        <scheme val="minor"/>
      </rPr>
      <t>TODAS</t>
    </r>
    <r>
      <rPr>
        <b/>
        <i/>
        <sz val="10"/>
        <color theme="1"/>
        <rFont val="Calibri"/>
        <family val="2"/>
        <scheme val="minor"/>
      </rPr>
      <t xml:space="preserve">" DO ARQUIVO "Planilha p condôm 202302 em diante", </t>
    </r>
    <r>
      <rPr>
        <b/>
        <i/>
        <u/>
        <sz val="10"/>
        <color theme="1"/>
        <rFont val="Calibri"/>
        <family val="2"/>
        <scheme val="minor"/>
      </rPr>
      <t>RETIRANDO NAQUELA PLANILHA AS FÓRMULAS QUE ESTÃO VINCULADAS A OUTRAS PLANILHAS</t>
    </r>
    <r>
      <rPr>
        <sz val="10"/>
        <color theme="1"/>
        <rFont val="Calibri"/>
        <family val="2"/>
        <scheme val="minor"/>
      </rPr>
      <t>.</t>
    </r>
  </si>
  <si>
    <r>
      <t>PARA O APTº 201, USAR A PLANILHA "PLAN P COND" QUE JÁ ESTÁ SALVA: PREENCHER COM A COR AMARELO A LINHA REFERENTE AO APTº; COPIAR/COLAR (</t>
    </r>
    <r>
      <rPr>
        <i/>
        <sz val="10"/>
        <color theme="1"/>
        <rFont val="Calibri"/>
        <family val="2"/>
        <scheme val="minor"/>
      </rPr>
      <t>E A SEGUIR COPIAR/COLAR COMO TEXTO</t>
    </r>
    <r>
      <rPr>
        <sz val="10"/>
        <color theme="1"/>
        <rFont val="Calibri"/>
        <family val="2"/>
        <scheme val="minor"/>
      </rPr>
      <t xml:space="preserve">), ABAIXO DA TABELA "VALORES DEVIDOS POR UNIDADE", OS DADOS REFERENTES AO APTº 201 QUE ESTÃO NA PLANILHA "VRS. DEVIDOS E OUTROS", E DEPOIS SALVÁ-LA TAMBÉM COMO PDF, PARA ENVIAR AO CONDÔMINO. </t>
    </r>
    <r>
      <rPr>
        <b/>
        <i/>
        <sz val="10"/>
        <color theme="1"/>
        <rFont val="Calibri"/>
        <family val="2"/>
        <scheme val="minor"/>
      </rPr>
      <t>SEMPRE FAZER RECIBO DO VALOR TOTAL DO CONDOMÍNIO DEVIDO.</t>
    </r>
  </si>
  <si>
    <r>
      <t>PARA O APTº 601, USAR A PLANILHA "PLAN P COND" QUE JÁ ESTÁ SALVA: PREENCHER COM A COR AMARELO A LINHA REFERENTE AO APTº; COPIAR/COLAR (</t>
    </r>
    <r>
      <rPr>
        <i/>
        <sz val="10"/>
        <color theme="1"/>
        <rFont val="Calibri"/>
        <family val="2"/>
        <scheme val="minor"/>
      </rPr>
      <t>E A SEGUIR COPIAR/COLAR COMO TEXTO</t>
    </r>
    <r>
      <rPr>
        <sz val="10"/>
        <color theme="1"/>
        <rFont val="Calibri"/>
        <family val="2"/>
        <scheme val="minor"/>
      </rPr>
      <t xml:space="preserve">), ABAIXO DA TABELA "VALORES DEVIDOS POR UNIDADE", OS DADOS REFERENTES AO APTº 601 QUE ESTÃO NA PLANILHA "VRS. DEVIDOS E OUTROS", E DEPOIS SALVÁ-LA TAMBÉM COMO PDF, PARA ENVIAR À INQUILINA E AO PROPRIETÁRIO DO APTº. </t>
    </r>
    <r>
      <rPr>
        <b/>
        <i/>
        <sz val="10"/>
        <color theme="1"/>
        <rFont val="Calibri"/>
        <family val="2"/>
        <scheme val="minor"/>
      </rPr>
      <t>FAZER RECIBO APENAS DO CONDOMÍNIO PAGO</t>
    </r>
    <r>
      <rPr>
        <sz val="10"/>
        <color theme="1"/>
        <rFont val="Calibri"/>
        <family val="2"/>
        <scheme val="minor"/>
      </rPr>
      <t>.</t>
    </r>
  </si>
  <si>
    <r>
      <t xml:space="preserve">COPIAR/COLAR ESPECIAL (TRANSPOR) AQUI OS DADOS DA TABELA "VALORES DEVIDOS POR UNIDADE" DA PLANILHA "MEDIÇÕES E TABELAS" </t>
    </r>
    <r>
      <rPr>
        <b/>
        <i/>
        <sz val="10"/>
        <rFont val="Calibri"/>
        <family val="2"/>
        <scheme val="minor"/>
      </rPr>
      <t>(SOMENTE APÓS TEREM SIDO ENVIADOS TODOS OS RECIBOS AOS CONDÔMINOS)</t>
    </r>
    <r>
      <rPr>
        <sz val="10"/>
        <color theme="1"/>
        <rFont val="Calibri"/>
        <family val="2"/>
        <scheme val="minor"/>
      </rPr>
      <t>.</t>
    </r>
  </si>
  <si>
    <t>NA TABELA JÁ CITADA, ATUALIZAR, NA COLUNA "TOTAL/MÊS (R$)", AS FÓRMULAS DAS LINHAS "TOTAL A PAGAR(R$) ARRED." E "TOTAL A PAGAR(R$) SEM ARRED.". ATUALIZAR TAMBÉM AS INFORMAÇÕES DAS COLUNAS "Nº OFÍCIO" E "DATA OFÍCIO".</t>
  </si>
  <si>
    <t>VERIFICAR SALDO DE CONTA CORRENTE (-) FUNDO DE RESERVA (R$) E ANOTAR AQUI (01/10/2025)</t>
  </si>
  <si>
    <t>NOVA CONTA OBTIDA EM 02/10/25, SUBSTITUINDO A ANTERIOR, QUE TINHA ERRO DE LEITURA</t>
  </si>
  <si>
    <t>XXXX</t>
  </si>
  <si>
    <t>COBRADO POR</t>
  </si>
  <si>
    <r>
      <t xml:space="preserve">LANÇAMENTOS, TABELA CRIADA EM 07/07/2025 </t>
    </r>
    <r>
      <rPr>
        <b/>
        <sz val="10"/>
        <color theme="1"/>
        <rFont val="Calibri"/>
        <family val="2"/>
        <scheme val="minor"/>
      </rPr>
      <t>(OS ITENS "RATEIO PARCIAL", "RATEIO PARCIAL DO SÍNDICO (RP/13)" E "RATEIO FINAL" NÃO SÃO NECESSÁRIOS AQUI, POIS SÃO FÓRMULAS QUE DEPENDEM DIRETAMENTE DOS VALORES AQUI INFORMADOS, BASTANDO USAR A BASE DA PLANILHA ATUAL)</t>
    </r>
  </si>
  <si>
    <r>
      <t xml:space="preserve">ESTE </t>
    </r>
    <r>
      <rPr>
        <b/>
        <sz val="10"/>
        <color theme="1"/>
        <rFont val="Calibri"/>
        <family val="2"/>
        <scheme val="minor"/>
      </rPr>
      <t>SALDO ATUA</t>
    </r>
    <r>
      <rPr>
        <sz val="10"/>
        <color theme="1"/>
        <rFont val="Calibri"/>
        <family val="2"/>
        <scheme val="minor"/>
      </rPr>
      <t>L COINCIDE COM O QUE ESTÁ NA PLANILHA "PLAN P COND"</t>
    </r>
  </si>
  <si>
    <r>
      <t xml:space="preserve">O </t>
    </r>
    <r>
      <rPr>
        <b/>
        <sz val="10"/>
        <color theme="1"/>
        <rFont val="Calibri"/>
        <family val="2"/>
        <scheme val="minor"/>
      </rPr>
      <t>RATEIO FINAL</t>
    </r>
    <r>
      <rPr>
        <sz val="10"/>
        <color theme="1"/>
        <rFont val="Calibri"/>
        <family val="2"/>
        <scheme val="minor"/>
      </rPr>
      <t xml:space="preserve"> COINCIDE COM O QUE CONSTA NA PLANILHA "PLAN P COND"</t>
    </r>
  </si>
  <si>
    <r>
      <t xml:space="preserve">O VALOR DA </t>
    </r>
    <r>
      <rPr>
        <b/>
        <sz val="8"/>
        <color theme="1"/>
        <rFont val="Calibri"/>
        <family val="2"/>
        <scheme val="minor"/>
      </rPr>
      <t>ÚLTIMA LINHA</t>
    </r>
    <r>
      <rPr>
        <sz val="8"/>
        <color theme="1"/>
        <rFont val="Calibri"/>
        <family val="2"/>
        <scheme val="minor"/>
      </rPr>
      <t xml:space="preserve"> DA COLUNA "TOTAL/MÊS" COINCIDE COM IGUAL VALOR DA TABELA 3 ("VALORES DEVIDOS POR UNIDADE") DA PLANILHA "MEDIÇÕES E TABELAS"</t>
    </r>
  </si>
  <si>
    <r>
      <t xml:space="preserve">O VALOR DA </t>
    </r>
    <r>
      <rPr>
        <b/>
        <sz val="8"/>
        <color theme="1"/>
        <rFont val="Calibri"/>
        <family val="2"/>
        <scheme val="minor"/>
      </rPr>
      <t>PENÚLTIMA LINHA</t>
    </r>
    <r>
      <rPr>
        <sz val="8"/>
        <color theme="1"/>
        <rFont val="Calibri"/>
        <family val="2"/>
        <scheme val="minor"/>
      </rPr>
      <t xml:space="preserve"> DA COLUNA "TOTAL/MÊS" COINCIDE COM IGUAL VALOR DA TABELA 3 ("VALORES DEVIDOS POR UNIDADE") DA PLANILHA "MEDIÇÕES E TABELAS"</t>
    </r>
  </si>
  <si>
    <t>APTº 601: DESCONTAR O VALOR DO FUNDO DE RESERVA DE R$</t>
  </si>
  <si>
    <t>VALOR A PAGAR PARA O CONDOMÍNIO: R$</t>
  </si>
  <si>
    <t>TARIFAS DA LEITURA DE 22/07/2025 (A QUE ESTAVA INCORRETA ATÉ 27/08/25)</t>
  </si>
  <si>
    <t>XXXXX</t>
  </si>
  <si>
    <t>PENDÊNCIAS</t>
  </si>
  <si>
    <t>TABELA REFERENTE AO GÁS</t>
  </si>
  <si>
    <t>TABELA "COPASA NFFS"</t>
  </si>
  <si>
    <t>LEITURA DE ÁGUA E GÁS</t>
  </si>
  <si>
    <t>TABELA "RATEIOS DE COPASA E SÍNDICO"</t>
  </si>
  <si>
    <t>TABELA 3, COLUNA "RATEIO" (SÃO FÓRMULAS)</t>
  </si>
  <si>
    <t>TABELA 3, AS 5 COLUNAS À DIREITA DA 2ª COLUNA INTITULADA "TOTAL A PAGAR"</t>
  </si>
  <si>
    <t>TABELA ABAIXO DA TABELA 3</t>
  </si>
  <si>
    <t>ANOTAÇÃO QUE ESTÁ ACIMA DA TABELA 3 (CONFERIR FÓRMULA)</t>
  </si>
  <si>
    <t>TABELA 3, CONFERIR VALORES PAGOS</t>
  </si>
  <si>
    <t>PREENCHER DADOS</t>
  </si>
  <si>
    <t>ATUALIZAR AS FÓRMULAS DA LINHA "FUNDO DE RESERVA"</t>
  </si>
  <si>
    <t>ATUALIZAR AS FÓRMULAS DA LINHA "PAGAMENTO SERVIÇO DO SÍNDICO"</t>
  </si>
  <si>
    <t>ATUALIZAR AS FÓRMULAS DAS LINHAS "CONTA DE ÁGUA DO CONDOMÍNIO"</t>
  </si>
  <si>
    <t>TABELA "VALORES DEVIDOS POR UNIDADE": COLAR/TRANSPOR DADOS DA TABELA ABAIXO DA TABELA 3 DA PLANILHA "MEDIÇÕES E TABELAS"</t>
  </si>
  <si>
    <t>COPIAR/COLAR ESPECIAL (TRANSPOR) NA TABELA "VALORES DEVIDOS POR UNIDADE" DAQUI OS DADOS DA TABELA QUE ESTÁ LOGO ABAIXO DA TABELA 3 ("VALORES DEVIDOS POR UNIDADE") DA PLANILHA "MEDIÇÕES E TABELAS", ATÉ A COLUNA REFERENTE AO APTº 802.</t>
  </si>
  <si>
    <r>
      <t xml:space="preserve">PREENCHER/ATUALIZAR DADOS DA TABELA "RATEIOS DE COPASA E SÍNDICO", QUE ESTÁ À DIREITA DA TABELA "COPASA NFFS". </t>
    </r>
    <r>
      <rPr>
        <b/>
        <i/>
        <sz val="10"/>
        <color theme="1"/>
        <rFont val="Calibri"/>
        <family val="2"/>
        <scheme val="minor"/>
      </rPr>
      <t>OS DADOS IRÃO ATRAVÉS DE FÓRMULA PARA A TABELA DA PLANILHA "LANÇTºS"</t>
    </r>
    <r>
      <rPr>
        <b/>
        <sz val="10"/>
        <color theme="1"/>
        <rFont val="Calibri"/>
        <family val="2"/>
        <scheme val="minor"/>
      </rPr>
      <t>.</t>
    </r>
  </si>
  <si>
    <r>
      <t>ATUALIZAR A TABELA 3 ("VALORES DEVIDOS POR UNIDADE") QUANTO À COLUNA "</t>
    </r>
    <r>
      <rPr>
        <b/>
        <u/>
        <sz val="10"/>
        <color theme="1"/>
        <rFont val="Calibri"/>
        <family val="2"/>
        <scheme val="minor"/>
      </rPr>
      <t>RATEIO</t>
    </r>
    <r>
      <rPr>
        <sz val="10"/>
        <color theme="1"/>
        <rFont val="Calibri"/>
        <family val="2"/>
        <scheme val="minor"/>
      </rPr>
      <t xml:space="preserve">" E QUANTO ÀS 5 COLUNAS EXISTENTES À DIREITA DA 2ª COLUNA INTITULADA "TOTAL A PAGAR" </t>
    </r>
    <r>
      <rPr>
        <b/>
        <i/>
        <sz val="10"/>
        <color theme="1"/>
        <rFont val="Calibri"/>
        <family val="2"/>
        <scheme val="minor"/>
      </rPr>
      <t>(OS DADOS DAS COLUNAS À ESQUERDA JÁ SÃO PREENCHIDOS POR FÓRMULAS, REFERENTES AOS DADOS DA TABELA 2)</t>
    </r>
    <r>
      <rPr>
        <b/>
        <sz val="10"/>
        <color theme="1"/>
        <rFont val="Calibri"/>
        <family val="2"/>
        <scheme val="minor"/>
      </rPr>
      <t>.</t>
    </r>
  </si>
  <si>
    <r>
      <t xml:space="preserve">PREENCHER DADOS DA TABELA 1 ("LEITURA DOS MEDIDORES DE ÁGUA E GÁS"). </t>
    </r>
    <r>
      <rPr>
        <b/>
        <sz val="10"/>
        <color theme="1"/>
        <rFont val="Calibri"/>
        <family val="2"/>
        <scheme val="minor"/>
      </rPr>
      <t>QUANTO ÀS LINHAS "DIF. C/LEIT. ANT." E "% DO CONSUMO TOTAL" DE ÁGUA E "DIF. C/LEIT. ANT." DE GÁS DA TABELA 1</t>
    </r>
    <r>
      <rPr>
        <sz val="10"/>
        <color theme="1"/>
        <rFont val="Calibri"/>
        <family val="2"/>
        <scheme val="minor"/>
      </rPr>
      <t xml:space="preserve">, COPIAR/COLAR TEXTO - COPIAR/COLAR ESPECIAL (TRANSPOR) NA TABELA 2, À DIREITA DESTA. </t>
    </r>
    <r>
      <rPr>
        <b/>
        <i/>
        <sz val="10"/>
        <color theme="1"/>
        <rFont val="Calibri"/>
        <family val="2"/>
        <scheme val="minor"/>
      </rPr>
      <t>OS DADOS DESTA ÚLTIMA IRÃO ATRAVÉS DE FÓRMULA PARA A TABELA 3 ("VALORES DEVIDOS POR UNIDADE"). OS DADOS DA TABELA 3 ("VALORES DEVIDOS POR UNIDADE") IRÃO ATRAVÉS DE FÓRMULA PARA A TABELA DE MESMO NOME NA PLANILHA "PLAN P COND".</t>
    </r>
  </si>
  <si>
    <t>% DO CONSUMO TOTAL, PARA CÁLCULO DO VALOR DO ESGOTO A SER</t>
  </si>
  <si>
    <t>O TEXTO DA COLUNA DA TABELA 2)</t>
  </si>
  <si>
    <r>
      <rPr>
        <sz val="8"/>
        <color theme="1"/>
        <rFont val="Calibri"/>
        <family val="2"/>
        <scheme val="minor"/>
      </rPr>
      <t xml:space="preserve">AP </t>
    </r>
    <r>
      <rPr>
        <b/>
        <sz val="8"/>
        <color theme="1"/>
        <rFont val="Calibri"/>
        <family val="2"/>
        <scheme val="minor"/>
      </rPr>
      <t>(COLAR AQUI</t>
    </r>
  </si>
  <si>
    <t>CONSULTORIA E A.R.T. P/RENOV.AUTO DE VISTORIA/CORPO DE BOMBEIROS</t>
  </si>
  <si>
    <t>15 E 24/10/25</t>
  </si>
  <si>
    <r>
      <t>% DO CONSUMO TOTAL, PARA CÁLCULO DO VALOR DO ESGOTO A SER COBRADO POR AP (</t>
    </r>
    <r>
      <rPr>
        <b/>
        <strike/>
        <sz val="6"/>
        <color theme="1"/>
        <rFont val="Calibri"/>
        <family val="2"/>
        <scheme val="minor"/>
      </rPr>
      <t>COLAR "TEXTO" AQUI O TEXTO DA COLUNA DA TABELA 2</t>
    </r>
    <r>
      <rPr>
        <strike/>
        <sz val="6"/>
        <color theme="1"/>
        <rFont val="Calibri"/>
        <family val="2"/>
        <scheme val="minor"/>
      </rPr>
      <t>)</t>
    </r>
  </si>
  <si>
    <t>COLUNAS OCULTAS (TABELAS COM SIMULAÇÃO DAS TARIFAS DAS LEITURAS DE 22/07 E 22/08/2025 ANTES DAS CORREÇÕES QUE A COPASA FEZ)</t>
  </si>
  <si>
    <t>ELIMINAR DESTA TABELA A 1ª LINHA</t>
  </si>
  <si>
    <t>COPIAR A ÚLTIMA LINHA PARA A PLANILHA "MEDIÇÕES E COPASA HISTÓRICO"</t>
  </si>
  <si>
    <t>(31/10/25)</t>
  </si>
  <si>
    <t>LINHAS OCULTAS (ANTIGA TABELA "LANÇAMENTOS", USADA ATÉ 08/2025 NA PLANILHA PARA CONDÔMINOS)</t>
  </si>
  <si>
    <t>MENSALMENTE:</t>
  </si>
  <si>
    <r>
      <t>ELIMINAR DA "</t>
    </r>
    <r>
      <rPr>
        <b/>
        <u/>
        <sz val="10"/>
        <color rgb="FFFF0000"/>
        <rFont val="Calibri"/>
        <family val="2"/>
        <scheme val="minor"/>
      </rPr>
      <t>TABELA 1</t>
    </r>
    <r>
      <rPr>
        <b/>
        <sz val="10"/>
        <color rgb="FFFF0000"/>
        <rFont val="Calibri"/>
        <family val="2"/>
        <scheme val="minor"/>
      </rPr>
      <t>" A 1ª LINHA DE ÁGUA E A 1ª DE GÁS</t>
    </r>
  </si>
  <si>
    <t>LINHAS OCULTAS (ANTIGOS RESUMOS DO FUNDO DE RESERVA E DOS LANÇAMENTOS GERAIS E OUTROS DEMONSTRATIVOS, SUBSTITUÍDOS A PARTIR DE 08/2025 POR OUTRAS TABELAS)</t>
  </si>
  <si>
    <t>SITUAÇÃO</t>
  </si>
  <si>
    <t>CONFERIR PREENCHTº</t>
  </si>
  <si>
    <t>JÁ CONFERIDO</t>
  </si>
  <si>
    <t>TABELA 3 DA PLANILHA "MEDIÇÕES E TABELAS", COLUNA "RATEIO"</t>
  </si>
  <si>
    <t>PLANILHA P COND (EXCEL E PDF), APTº 201</t>
  </si>
  <si>
    <t>PLANILHA P COND (EXCEL E PDF), APTº 601</t>
  </si>
  <si>
    <r>
      <t xml:space="preserve">TABELA "VALORES DEVIDOS POR UNIDADE" DA PLANILHA "VRS. DEVIDOS E OUTROS", </t>
    </r>
    <r>
      <rPr>
        <b/>
        <sz val="11"/>
        <color theme="1"/>
        <rFont val="Calibri"/>
        <family val="2"/>
        <scheme val="minor"/>
      </rPr>
      <t>1ª LINHA DE CONFERÊNCIA</t>
    </r>
  </si>
  <si>
    <t>(NÃO É FÓRMULA)</t>
  </si>
  <si>
    <t>COPIAR A ÚLTIMA LINHA DE CADA ITEM PARA A PLANILHA "MEDIÇÕES E COPASA HISTÓRICO"</t>
  </si>
  <si>
    <t>ALTERAÇÃO FEITA EM 29/10/2025: NÃO USAR ESTA ÚLTIMA TABELA. BASTA SELECIONAR AS CORRESPONDENTES COLUNAS DA TABELA 2 E SUBSTITUIR O Nº DA LINHA ANTERIOR PELA LINHA ATUAL, COM DADOS DA TABELA 1</t>
  </si>
  <si>
    <t>CONFERÊNCIAS (ELABORAÇÃO INICIADA EM 03/11/2025)</t>
  </si>
  <si>
    <t>SEM ALTERAÇÃO</t>
  </si>
  <si>
    <t>AQUI: INSERIR UMA LINHA EM BRANCO E PASSAR "PARA CIMA" OS DADOS ANTERIORES, PARA MANTER A FÓRMULA EXISTENTE NO ARQ. "Recibos 202511 em diante", EM H\Outr\Condomínio Neápolis\Condôminos recibos</t>
  </si>
  <si>
    <r>
      <t xml:space="preserve">PLANILHA P COND (EXCEL E PDF, VERIFICAR DIVERSAS FÓRMULAS NELA) </t>
    </r>
    <r>
      <rPr>
        <b/>
        <sz val="11"/>
        <color theme="1"/>
        <rFont val="Calibri"/>
        <family val="2"/>
        <scheme val="minor"/>
      </rPr>
      <t>E CÓPIA DELA NO ARQUIVO "Planilha p condôm 202302 em diante" SEM FÓRMULAS</t>
    </r>
  </si>
  <si>
    <t>ELIMINAR DESTA TABELA A 1ª COLUNA DATADA</t>
  </si>
  <si>
    <t>COPIAR A ÚLTIMA COLUNA PARA TABELA IDÊNTICA DA PLANILHA "MEDIÇÕES E COPASA HISTÓRICO"</t>
  </si>
  <si>
    <t>CONDOMÍNIO E FUNDO DE RESERVA COM VENCIMENTO EM:</t>
  </si>
  <si>
    <r>
      <t xml:space="preserve">TABELA ABAIXO DA TABELA 3, DA PLANILHA "MEDIÇÕES E TABELAS" </t>
    </r>
    <r>
      <rPr>
        <b/>
        <sz val="11"/>
        <color theme="1"/>
        <rFont val="Calibri"/>
        <family val="2"/>
        <scheme val="minor"/>
      </rPr>
      <t>(A SER COLADA EM TABELA IDÊNTICA EXISTENTE NA PLANILHA "VRS. DEVIDOS E OUTROS")</t>
    </r>
  </si>
  <si>
    <t>TABELA 3, DA PLANILHA "MEDIÇÕES E TABELAS": PREENCHER AS 5 COLUNAS À DIREITA DA 2ª COLUNA INTITULADA "TOTAL A PAGAR"</t>
  </si>
  <si>
    <r>
      <t xml:space="preserve">RECIBOS (ARQ. "Recibos 202511 em diante", NA PASTA "H\Outr\Condomínio Neápolis\Condôminos recibos", EXCEL E PDF - </t>
    </r>
    <r>
      <rPr>
        <b/>
        <sz val="11"/>
        <color theme="1"/>
        <rFont val="Calibri"/>
        <family val="2"/>
        <scheme val="minor"/>
      </rPr>
      <t>PREENCHTº AUTOMÁTICO POR FÓRMULAS (CONFERIR), EXCETO ALGUMAS PARTES DO RECIBO DO APTº 801, A ATUALIZAR</t>
    </r>
  </si>
  <si>
    <t>A PREENCHER</t>
  </si>
  <si>
    <t>PLANILHA "LANÇTºS": ATUALIZAR AS FÓRMULAS DA LINHA "PAGAMENTO SERVIÇO DO SÍNDICO"</t>
  </si>
  <si>
    <t>TABELA "GÁS" DA PLANILHA "MEDIÇÕES E TABELAS"</t>
  </si>
  <si>
    <r>
      <t>(MANTER E ATUALIZAR ESTES 2 TÍTULOS (</t>
    </r>
    <r>
      <rPr>
        <b/>
        <sz val="10"/>
        <color theme="4"/>
        <rFont val="Calibri"/>
        <family val="2"/>
        <scheme val="minor"/>
      </rPr>
      <t xml:space="preserve">O 1º TEM VÍRGULA E PONTO, E O 2º </t>
    </r>
    <r>
      <rPr>
        <b/>
        <u/>
        <sz val="10"/>
        <color theme="4"/>
        <rFont val="Calibri"/>
        <family val="2"/>
        <scheme val="minor"/>
      </rPr>
      <t>ESTÁ COM UM ESPAÇO NO INÍCIO DELE</t>
    </r>
    <r>
      <rPr>
        <b/>
        <sz val="10"/>
        <color rgb="FFFF0000"/>
        <rFont val="Calibri"/>
        <family val="2"/>
        <scheme val="minor"/>
      </rPr>
      <t>), POIS SÃO OBJETO DE FÓRMULA NAS PLANILHAS DO ARQ. "Recibos", EM H\Outr\Condomínio Neápolis\Condôminos recibos) - ANOTAÇÃO DE 15/10/2025</t>
    </r>
  </si>
  <si>
    <t>NA PASTA "Banco Inter e outros (H\Outr\Condomínio Neápolis\Banco Inter e outros"):</t>
  </si>
  <si>
    <t>BAIXAR E SALVAR EM PDF NO MÊS SEGUINTE O EXTRATO DA CONTA CORRENTE DO PERÍODO DE 01/2025 ATÉ O MÊS ANTERIOR, SUBSTITUINDO O ARQUIVO JÁ EXISTENTE (QUE EM 13/10/2025 ERA "Extrato 202501-202509")</t>
  </si>
  <si>
    <t>ORIENTAÇÕES (INICIADAS EM 13/08/2025, 4ª F.; ÚLTIMA ALTERAÇÃO: 06/11/2025, 5ª F.):</t>
  </si>
  <si>
    <t>BAIXAR E SALVAR EM PDF NO MÊS SEGUINTE O EXTRATO DA "POSIÇÃO DE RENDA FIXA" DO ÚLTIMO DIA DO MÊS ANTERIOR, (A EXEMPLO DO ARQUIVO "extrato-posicao-renda-fixa 20250930", DE 13/10/2025)</t>
  </si>
  <si>
    <t>OBS. 2</t>
  </si>
  <si>
    <r>
      <t xml:space="preserve">TABELA "% DO CONSUMO TOTAL", À DIREITA DA TABELA 2 DA PLANILHA "MEDIÇÕES E TABELAS" </t>
    </r>
    <r>
      <rPr>
        <b/>
        <sz val="11"/>
        <color theme="1"/>
        <rFont val="Calibri"/>
        <family val="2"/>
        <scheme val="minor"/>
      </rPr>
      <t>(MENSALMENTE: ELIMINAR DESTA TABELA A 1ª COLUNA DATADA; COPIAR/COLAR A ÚLTIMA COLUNA NA TABELA IDÊNTICA DA PLANILHA "MEDIÇÕES E COPASA HISTÓRICO")</t>
    </r>
  </si>
  <si>
    <t>OBS. 1</t>
  </si>
  <si>
    <t>ARQ. "Extrato": ATUALIZÁ-LO DIARIAMENTE COM ENTRADAS E SAÍDAS , CONFERIR SEMPRE COM O EXTRATO DO APLICATIVO DO BANCO INTER</t>
  </si>
  <si>
    <r>
      <t xml:space="preserve">ARQ. "Extrato": </t>
    </r>
    <r>
      <rPr>
        <b/>
        <sz val="10"/>
        <color theme="1"/>
        <rFont val="Calibri"/>
        <family val="2"/>
        <scheme val="minor"/>
      </rPr>
      <t>PARA O ÚLTIMO DIA DE CADA MÊS</t>
    </r>
    <r>
      <rPr>
        <sz val="10"/>
        <color theme="1"/>
        <rFont val="Calibri"/>
        <family val="2"/>
        <scheme val="minor"/>
      </rPr>
      <t>, COPIAR/COLAR LINHA DO ÚLTIMO DIA DO MÊS ANTERIOR, ATUALIZANDO OS VALORES DAS COLUNAS "</t>
    </r>
    <r>
      <rPr>
        <i/>
        <sz val="10"/>
        <color theme="1"/>
        <rFont val="Calibri"/>
        <family val="2"/>
        <scheme val="minor"/>
      </rPr>
      <t>SALDO ATUAL CONF. BANCO (B)</t>
    </r>
    <r>
      <rPr>
        <sz val="10"/>
        <color theme="1"/>
        <rFont val="Calibri"/>
        <family val="2"/>
        <scheme val="minor"/>
      </rPr>
      <t>" (OBTIDO VIA ARQUIVO MAIS RECENTE DO "EXTRATO DA POSIÇÃO DE RENDA FIXA") E "</t>
    </r>
    <r>
      <rPr>
        <i/>
        <sz val="10"/>
        <color theme="1"/>
        <rFont val="Calibri"/>
        <family val="2"/>
        <scheme val="minor"/>
      </rPr>
      <t>FUNDO DE RESERVA</t>
    </r>
    <r>
      <rPr>
        <sz val="10"/>
        <color theme="1"/>
        <rFont val="Calibri"/>
        <family val="2"/>
        <scheme val="minor"/>
      </rPr>
      <t>" (OBTIDO NA PLANILHA "VRS. DEVIDOS E OUTROS" DO ARQUIVO "PLANILHAS MENSAIS 202508 EM DIANTE RASCUNHO EM USO", TABELA "FUNDO DE RESERVA")</t>
    </r>
  </si>
  <si>
    <t>BAIXAR E SALVAR EM PDF NO MÊS SEGUINTE O EXTRATO DA CONTA CORRENTE DO MÊS ANTERIOR (A EXEMPLO DO ARQUIVO "Extrato 202509", DE 13/10/2025)</t>
  </si>
  <si>
    <r>
      <rPr>
        <b/>
        <u/>
        <sz val="10"/>
        <color theme="1"/>
        <rFont val="Calibri"/>
        <family val="2"/>
        <scheme val="minor"/>
      </rPr>
      <t xml:space="preserve">18/10/2025: </t>
    </r>
    <r>
      <rPr>
        <sz val="10"/>
        <color theme="1"/>
        <rFont val="Calibri"/>
        <family val="2"/>
        <scheme val="minor"/>
      </rPr>
      <t xml:space="preserve">CRIEI O ARQUIVO "NEÁP Recibos TESTE" (PLANILHA MACRO EXCEL) EM H\Outr\Condomínio Neápolis\Condôminos recibos, </t>
    </r>
    <r>
      <rPr>
        <strike/>
        <sz val="10"/>
        <color theme="1"/>
        <rFont val="Calibri"/>
        <family val="2"/>
        <scheme val="minor"/>
      </rPr>
      <t>A SER CONCLUÍDO AINDA</t>
    </r>
    <r>
      <rPr>
        <sz val="10"/>
        <color theme="1"/>
        <rFont val="Calibri"/>
        <family val="2"/>
        <scheme val="minor"/>
      </rPr>
      <t xml:space="preserve">, PARA RECEBER OS DADOS DOS PAGAMENTOS DA TABELA 3 ("VALORES DEVIDOS POR UNIDADE") DA PLANILHA "MEDIÇÕES E TABELAS", SUBSTITUINDO OS RECIBOS EM WORD DA PASTA "CONDÔMINOS RECIBOS". BASTARÁ MENSALMENTE SALVAR EM PDF CADA PLANILHA DAQUELE ARQUIVO, PARA ENVIO AOS CONDÔMINOS. </t>
    </r>
    <r>
      <rPr>
        <b/>
        <i/>
        <sz val="10"/>
        <color theme="1"/>
        <rFont val="Calibri"/>
        <family val="2"/>
        <scheme val="minor"/>
      </rPr>
      <t>31/10/2025: TORNEI-O DEFINITIVO COM O TÍTULO DE "Recibos 202511 em diante"</t>
    </r>
  </si>
  <si>
    <t>ARQ. "Extrato", NA PASTA "Banco Inter e outros": ATUALIZÁ-LO DIARIAMENTE COM ENTRADAS E SAÍDAS , CONFERIR SEMPRE COM O EXTRATO DO APLICATIVO DO BANCO INTER</t>
  </si>
  <si>
    <t>MERC. PAGO IP</t>
  </si>
  <si>
    <r>
      <t>ARQ. "Extrato", NA PASTA "Banco Inter e outros": PARA O ÚLTIMO DIA DE CADA MÊS, COPIAR/COLAR LINHA DO ÚLTIMO DIA DO MÊS ANTERIOR, ATUALIZANDO OS VALORES DAS COLUNAS "</t>
    </r>
    <r>
      <rPr>
        <i/>
        <sz val="11"/>
        <color theme="1"/>
        <rFont val="Calibri"/>
        <family val="2"/>
        <scheme val="minor"/>
      </rPr>
      <t>SALDO ATUAL CONF. BANCO (B)</t>
    </r>
    <r>
      <rPr>
        <sz val="11"/>
        <color theme="1"/>
        <rFont val="Calibri"/>
        <family val="2"/>
        <scheme val="minor"/>
      </rPr>
      <t>" (OBTIDO VIA ARQUIVO MAIS RECENTE DO "EXTRATO DA POSIÇÃO DE RENDA FIXA") E "</t>
    </r>
    <r>
      <rPr>
        <i/>
        <sz val="11"/>
        <color theme="1"/>
        <rFont val="Calibri"/>
        <family val="2"/>
        <scheme val="minor"/>
      </rPr>
      <t>FUNDO DE RESERVA</t>
    </r>
    <r>
      <rPr>
        <sz val="11"/>
        <color theme="1"/>
        <rFont val="Calibri"/>
        <family val="2"/>
        <scheme val="minor"/>
      </rPr>
      <t>" (OBTIDO NA PLANILHA "VRS. DEVIDOS E OUTROS" DO ARQUIVO "PLANILHAS MENSAIS 202508 EM DIANTE RASCUNHO EM USO", TABELA "FUNDO DE RESERVA")</t>
    </r>
  </si>
  <si>
    <r>
      <t>PASTA "Banco Inter e outros": BAIXAR E SALVAR EM PDF NO MÊS SEGUINTE O EXTRATO DA CONTA CORRENTE DO MÊS ANTERIOR (</t>
    </r>
    <r>
      <rPr>
        <i/>
        <sz val="11"/>
        <color theme="1"/>
        <rFont val="Calibri"/>
        <family val="2"/>
        <scheme val="minor"/>
      </rPr>
      <t>A EXEMPLO DO ARQUIVO "Extrato 202509", DE 13/10/2025</t>
    </r>
    <r>
      <rPr>
        <sz val="11"/>
        <color theme="1"/>
        <rFont val="Calibri"/>
        <family val="2"/>
        <scheme val="minor"/>
      </rPr>
      <t>)</t>
    </r>
  </si>
  <si>
    <r>
      <t>PASTA "Banco Inter e outros": BAIXAR E SALVAR EM PDF NO MÊS SEGUINTE O EXTRATO DA CONTA CORRENTE DO PERÍODO DE 01/2025 ATÉ O MÊS ANTERIOR, SUBSTITUINDO O ARQUIVO JÁ EXISTENTE (</t>
    </r>
    <r>
      <rPr>
        <i/>
        <sz val="11"/>
        <color theme="1"/>
        <rFont val="Calibri"/>
        <family val="2"/>
        <scheme val="minor"/>
      </rPr>
      <t>QUE EM 13/10/2025 ERA "Extrato 202501-202509"</t>
    </r>
    <r>
      <rPr>
        <sz val="11"/>
        <color theme="1"/>
        <rFont val="Calibri"/>
        <family val="2"/>
        <scheme val="minor"/>
      </rPr>
      <t>)</t>
    </r>
  </si>
  <si>
    <r>
      <t>PASTA "Banco Inter e outros": BAIXAR E SALVAR EM PDF NO MÊS SEGUINTE O EXTRATO DA "POSIÇÃO DE RENDA FIXA" DO ÚLTIMO DIA DO MÊS ANTERIOR, (</t>
    </r>
    <r>
      <rPr>
        <i/>
        <sz val="11"/>
        <color theme="1"/>
        <rFont val="Calibri"/>
        <family val="2"/>
        <scheme val="minor"/>
      </rPr>
      <t>A EXEMPLO DO ARQUIVO "extrato-posicao-renda-fixa 20250930", DE 13/10/2025</t>
    </r>
    <r>
      <rPr>
        <sz val="11"/>
        <color theme="1"/>
        <rFont val="Calibri"/>
        <family val="2"/>
        <scheme val="minor"/>
      </rPr>
      <t>)</t>
    </r>
  </si>
  <si>
    <r>
      <t>SITUAÇÃO:</t>
    </r>
    <r>
      <rPr>
        <b/>
        <sz val="11"/>
        <color theme="1"/>
        <rFont val="Calibri"/>
        <family val="2"/>
        <scheme val="minor"/>
      </rPr>
      <t xml:space="preserve"> :</t>
    </r>
  </si>
  <si>
    <t>LUMINÁRIA DE EMERGÊNCIA</t>
  </si>
  <si>
    <t>SIM - 1 UNIDADE</t>
  </si>
  <si>
    <t>RECUPERAÇÃO DA PAREDE DAS VAGAS 402 E 601 FUNDOS</t>
  </si>
  <si>
    <t>SIM - MATERIAL</t>
  </si>
  <si>
    <t>COPIAR/COLAR ESTA LINHA PARA NOVA DESPESA</t>
  </si>
  <si>
    <t>DESENTUPIMENTO DO ESGOTO DO PRÉDIO</t>
  </si>
  <si>
    <r>
      <t xml:space="preserve">COPIAR/COLAR ESTA LINHA PARA NOVA DESPESA. </t>
    </r>
    <r>
      <rPr>
        <b/>
        <u/>
        <sz val="10"/>
        <color rgb="FFFF0000"/>
        <rFont val="Calibri"/>
        <family val="2"/>
        <scheme val="minor"/>
      </rPr>
      <t>ACIMA DESTA LINHA</t>
    </r>
    <r>
      <rPr>
        <sz val="10"/>
        <color rgb="FFFF0000"/>
        <rFont val="Calibri"/>
        <family val="2"/>
        <scheme val="minor"/>
      </rPr>
      <t xml:space="preserve">: INFORMAR NA PLANILHA P/CONDÔMINOS.; </t>
    </r>
    <r>
      <rPr>
        <b/>
        <u/>
        <sz val="10"/>
        <color rgb="FFFF0000"/>
        <rFont val="Calibri"/>
        <family val="2"/>
        <scheme val="minor"/>
      </rPr>
      <t>ABAIXO</t>
    </r>
    <r>
      <rPr>
        <sz val="10"/>
        <color rgb="FFFF0000"/>
        <rFont val="Calibri"/>
        <family val="2"/>
        <scheme val="minor"/>
      </rPr>
      <t>: NÃO INFORMAR NA PLANILHA P/CONDÔMINOS (DESCONTAR NO FUNDO DE RESERVA)</t>
    </r>
  </si>
  <si>
    <t>CONSERTO DA CERCA ELÉTRICA</t>
  </si>
  <si>
    <t>"CONFERIDO"</t>
  </si>
  <si>
    <t>OBS.: COM FÓRMULAS PARA PREENCHIMENTO DOS DOIS VALORES DE ÁGUA</t>
  </si>
  <si>
    <t>AS EXPRESSÕES</t>
  </si>
  <si>
    <t>SÃO FÓRMULAS!</t>
  </si>
  <si>
    <t>E</t>
  </si>
  <si>
    <t>"PENDENTE"</t>
  </si>
  <si>
    <t>INÍCIO</t>
  </si>
  <si>
    <t>TÉRMINO</t>
  </si>
  <si>
    <r>
      <t xml:space="preserve">MENSAGEM ATÉ 01/2023: "ALBERTO JÁ PAGOU OS $197, CONF. ANOT. DO GILBERTO NO "RECIBO DE CONDOMÍNIO" QUE DEIXOU COMIGO. ALBERTO FAZ DÉBITO AUTOMÁTICO DE $450  PARA A CONTA BRADESCO DO CONDOMÍNIO TODO DIA 25. SALDO DEVIDO IGUAL A CRÉDITO DE $179 + $450 MENOS CONDOMÍNIO DESTE MÊS". </t>
    </r>
    <r>
      <rPr>
        <b/>
        <u/>
        <sz val="8"/>
        <color rgb="FFFF0000"/>
        <rFont val="Calibri"/>
        <family val="2"/>
        <scheme val="minor"/>
      </rPr>
      <t>MENSAGENS A PARTIR DE 02/2023</t>
    </r>
    <r>
      <rPr>
        <sz val="8"/>
        <color theme="1"/>
        <rFont val="Calibri"/>
        <family val="2"/>
        <scheme val="minor"/>
      </rPr>
      <t>: TRANSFERÊNCIAS DO ALBERTO PARA A CONTA DO CONDOMÍNIO- PARA A ANTIGA NO BRADESCO: $3000 EM 01/02/23, $4.000 EM 12/05/23, $3000 EM 03/10/23, $3000 EM 05/02/24. PARA A ATUAL NO BANCO INTER: $4000 EM 02/07/24, $756 EM 02/12/24, $1200 EM 05/01/25, $1500 EM 01/03/25, $1800 EM 01/05/25, $1200 EM 01/09/25, $3000 EM 03/12/25</t>
    </r>
  </si>
  <si>
    <r>
      <rPr>
        <b/>
        <sz val="8"/>
        <color rgb="FFFF0000"/>
        <rFont val="Calibri"/>
        <family val="2"/>
        <scheme val="minor"/>
      </rPr>
      <t>APTº 802 A PAGAR: IGUAL AO FUNDO DE RESERVA</t>
    </r>
    <r>
      <rPr>
        <sz val="8"/>
        <color theme="1"/>
        <rFont val="Calibri"/>
        <family val="2"/>
        <scheme val="minor"/>
      </rPr>
      <t>; O VALOR DEVIDO EM 01/2023 ($860) FOI COMPENSADO PELAS DESPESAS QUE PAGOU EM FAVOR DO CONDOMÍNIO, CONF. PLANILHA "REEMBOLSOS E ACERTOS" DO ARQ. "Adm", EM "H\Outr\Aptº PE\Condomínio Neápolis", FALTANDO COMPENSAR $50,71 NO VALOR DEVIDO EM 02/2023</t>
    </r>
  </si>
  <si>
    <r>
      <rPr>
        <b/>
        <u/>
        <sz val="8"/>
        <color rgb="FFFF0000"/>
        <rFont val="Calibri"/>
        <family val="2"/>
        <scheme val="minor"/>
      </rPr>
      <t>TOTAL A PAGAR</t>
    </r>
    <r>
      <rPr>
        <sz val="8"/>
        <color theme="1"/>
        <rFont val="Calibri"/>
        <family val="2"/>
        <scheme val="minor"/>
      </rPr>
      <t>: QUANTO AO APTº 802 (SÍNDICO), FOI SUBTRAÍDO O TOTAL A PAGAR E SOMADO O FUNDO DE RESERVA</t>
    </r>
  </si>
  <si>
    <r>
      <t>CONTA DE ÁGUA DO CONDOMÍNIO (</t>
    </r>
    <r>
      <rPr>
        <b/>
        <sz val="10"/>
        <color rgb="FFFF0000"/>
        <rFont val="Calibri"/>
        <family val="2"/>
        <scheme val="minor"/>
      </rPr>
      <t>A SER RATEADA ENTRE OS CONDÔMINOS</t>
    </r>
    <r>
      <rPr>
        <sz val="10"/>
        <color theme="1"/>
        <rFont val="Calibri"/>
        <family val="2"/>
        <scheme val="minor"/>
      </rPr>
      <t>)</t>
    </r>
  </si>
  <si>
    <r>
      <t xml:space="preserve">FUNDO DE RESERVA - </t>
    </r>
    <r>
      <rPr>
        <b/>
        <sz val="10"/>
        <color rgb="FFFF0000"/>
        <rFont val="Calibri"/>
        <family val="2"/>
        <scheme val="minor"/>
      </rPr>
      <t>TEM FÓRMULA DE "IGUAL", NÃO PRECISA PREENCHER</t>
    </r>
  </si>
  <si>
    <t>SIM - PARCELA 1ª/6</t>
  </si>
  <si>
    <r>
      <t xml:space="preserve">PAGAMENTO SERVIÇO DO SÍNDICO - </t>
    </r>
    <r>
      <rPr>
        <b/>
        <sz val="10"/>
        <color rgb="FFFF0000"/>
        <rFont val="Calibri"/>
        <family val="2"/>
        <scheme val="minor"/>
      </rPr>
      <t>TEM FÓRMULA DE "IGUAL", NÃO PRECISA PREENCHER</t>
    </r>
  </si>
  <si>
    <t>10 E 20/01/26</t>
  </si>
  <si>
    <t>PORTA DE VIDRO, 1º ANDAR</t>
  </si>
  <si>
    <t>NÃO - MANUTENÇÃO E INSTALAÇÃO DE MOLA</t>
  </si>
  <si>
    <t>SEGURO DO PRÉDIO</t>
  </si>
  <si>
    <t>INFORMAR NA PLAN. P/CONDÔM. (+ DESCRIÇÃO COMPLEMENTAR)</t>
  </si>
  <si>
    <r>
      <t xml:space="preserve">TABELA 3 DA PLANILHA "MEDIÇÕES E TABELAS" COINCIDE COM IGUAL TABELA DA PLANILHA "PLAN P COND" </t>
    </r>
    <r>
      <rPr>
        <b/>
        <sz val="11"/>
        <color theme="1"/>
        <rFont val="Calibri"/>
        <family val="2"/>
        <scheme val="minor"/>
      </rPr>
      <t>(SEMPRE ATUALIZAR OS DADOS DO CABEÇALHO DA TABELA. ATUALIZAR TAMBÉM OS DADOS DE SALDO DA LINHA DO APTº 801)</t>
    </r>
  </si>
  <si>
    <r>
      <t xml:space="preserve">PLANILHA "LANÇTºS" COINCIDE COM OS LANÇAMENTOS DA PLANILHA "PLAN P COND" </t>
    </r>
    <r>
      <rPr>
        <b/>
        <sz val="11"/>
        <color theme="1"/>
        <rFont val="Calibri"/>
        <family val="2"/>
        <scheme val="minor"/>
      </rPr>
      <t>(BUSCAR DADOS DE DESPESAS NO ARQUIVO "Adm" E NOS DEMAIS ARQUIVOS DA PASTA "H\Outr\Condomínio Neápolis")</t>
    </r>
  </si>
  <si>
    <t>TABELA "VALORES DEVIDOS POR UNIDADE" DA PLANILHA "VRS. DEVIDOS E OUTROS": COLAR/TRANSPOR PARA LÁ OS DADOS DA TABELA ABAIXO DA TABELA 3 DA PLANILHA "MEDIÇÕES E TABELAS"</t>
  </si>
  <si>
    <t>ELIMINAR DA TABELA "MEDIÇÕES E TABELAS" A 1ª LINHA</t>
  </si>
  <si>
    <t>COPIAR A ÚLTIMA LINHA DAQUELA TABELA PARA A PRESENTE PLANILHA</t>
  </si>
  <si>
    <t>ELIMINAR DA TABELA "MEDIÇÕES E TABELAS" A 1ª LINHA DE ÁGUA E A 1ª DE GÁS</t>
  </si>
  <si>
    <t>ELIMINAR DA TABELA "MEDIÇÕES E TABELAS" A 1ª COLUNA DATADA</t>
  </si>
  <si>
    <t>COPIAR A ÚLTIMA COLUNA DAQUELA TABELA PARA A PRESENTE PLANILHA</t>
  </si>
  <si>
    <t>COPIAR A ÚLTIMA LINHA DE CADA ITEM DAQUELA TABELA PARA A PRESENTE PLANILHA</t>
  </si>
  <si>
    <t>PORTA DE VIDRO, 1º ANDAR - MANUTENÇÃO E INSTALAÇÃO DE MOLA</t>
  </si>
  <si>
    <r>
      <t xml:space="preserve">GÁS ABASTECIMENTO </t>
    </r>
    <r>
      <rPr>
        <b/>
        <sz val="10"/>
        <color rgb="FFFF0000"/>
        <rFont val="Calibri"/>
        <family val="2"/>
        <scheme val="minor"/>
      </rPr>
      <t>(RETIRAR VALOR DO SALDO BANCÁRIO, E NÃO DO FUNDO DE RESERVA.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É COBRADO DE CADA CONDÔMINO POR RATEIO, CONF. PLANILHA "VALORES DEVIDOS POR UNIDADE"</t>
    </r>
    <r>
      <rPr>
        <sz val="10"/>
        <color theme="1"/>
        <rFont val="Calibri"/>
        <family val="2"/>
        <scheme val="minor"/>
      </rPr>
      <t>)</t>
    </r>
  </si>
  <si>
    <t>EM EXECUÇÃO</t>
  </si>
  <si>
    <t>FALTA ALTERAR FÓRMULA DA COLUNA "VALOR" DO GÁS DA TABELA 2 DA PLANILHA "MEDIÇÕES E TABELAS"</t>
  </si>
  <si>
    <t>05/01,28/01</t>
  </si>
  <si>
    <t>(FORAM BLOQUEADAS DIVERSAS CÉLULAS DESTA PLANILHA A PARTIR DE 30/01/26)</t>
  </si>
  <si>
    <r>
      <t xml:space="preserve">TABELA "RATEIOS DE COPASA E SÍNDICO", À DIREITA DA TABELA 2 DA PLANILHA "MEDIÇÕES E TABELAS" </t>
    </r>
    <r>
      <rPr>
        <b/>
        <sz val="11"/>
        <color theme="1"/>
        <rFont val="Calibri"/>
        <family val="2"/>
        <scheme val="minor"/>
      </rPr>
      <t xml:space="preserve">(MENSALMENTE: </t>
    </r>
    <r>
      <rPr>
        <b/>
        <strike/>
        <sz val="11"/>
        <color theme="1"/>
        <rFont val="Calibri"/>
        <family val="2"/>
        <scheme val="minor"/>
      </rPr>
      <t>ELIMINAR DESTA TABELA A 1ª LINHA</t>
    </r>
    <r>
      <rPr>
        <b/>
        <sz val="11"/>
        <color theme="1"/>
        <rFont val="Calibri"/>
        <family val="2"/>
        <scheme val="minor"/>
      </rPr>
      <t>; COPIAR/COLAR A ÚLTIMA LINHA NA TABELA IDÊNTICA DA PLANILHA "MEDIÇÕES E COPASA HISTÓRICO")</t>
    </r>
  </si>
  <si>
    <r>
      <t xml:space="preserve">TABELA "COPASA NFFS" DA PLANILHA "MEDIÇÕES E TABELAS" </t>
    </r>
    <r>
      <rPr>
        <b/>
        <sz val="11"/>
        <color theme="1"/>
        <rFont val="Calibri"/>
        <family val="2"/>
        <scheme val="minor"/>
      </rPr>
      <t xml:space="preserve">(MENSALMENTE: </t>
    </r>
    <r>
      <rPr>
        <b/>
        <strike/>
        <sz val="11"/>
        <color theme="1"/>
        <rFont val="Calibri"/>
        <family val="2"/>
        <scheme val="minor"/>
      </rPr>
      <t>ELIMINAR DESTA TABELA A 1ª LINHA</t>
    </r>
    <r>
      <rPr>
        <b/>
        <sz val="11"/>
        <color theme="1"/>
        <rFont val="Calibri"/>
        <family val="2"/>
        <scheme val="minor"/>
      </rPr>
      <t>; COPIAR/COLAR A ÚLTIMA LINHA NA TABELA IDÊNTICA DA PLANILHA "MEDIÇÕES E COPASA HISTÓRICO")</t>
    </r>
  </si>
  <si>
    <t>(TABELAS 1 E 2 E AS DEMAIS À DIREITA DELAS)</t>
  </si>
  <si>
    <t>LANÇAMENTOS, TABELA CRIADA EM 07/07/2025 (OS ITENS "RATEIO PARCIAL", "RATEIO PARCIAL DO SÍNDICO (RP/13)" E "RATEIO FINAL" NÃO SÃO NECESSÁRIOS AQUI, POIS SÃO FÓRMULAS QUE DEPENDEM DIRETAMENTE DOS VALORES AQUI INFORMADOS, BASTANDO USAR A BASE DA PLANILHA ATUAL)</t>
  </si>
  <si>
    <t>CONTA DE ÁGUA DO CONDOMÍNIO (A SER RATEADA ENTRE OS CONDÔMINOS)</t>
  </si>
  <si>
    <t>COPIAR/COLAR ESTA LINHA PARA NOVA DESPESA. ACIMA DESTA LINHA: INFORMAR NA PLANILHA P/CONDÔMINOS.; ABAIXO: NÃO INFORMAR NA PLANILHA P/CONDÔMINOS (DESCONTAR NO FUNDO DE RESERVA)</t>
  </si>
  <si>
    <t>GÁS ABASTECIMENTO (RETIRAR VALOR DO SALDO BANCÁRIO, E NÃO DO FUNDO DE RESERVA. É COBRADO DE CADA CONDÔMINO POR RATEIO, CONF. PLANILHA "VALORES DEVIDOS POR UNIDADE")</t>
  </si>
  <si>
    <t>PAGAMENTO SERVIÇO DO SÍNDICO - TEM FÓRMULA DE "IGUAL", NÃO PRECISA PREENCHER</t>
  </si>
  <si>
    <t>FUNDO DE RESERVA - TEM FÓRMULA DE "IGUAL", NÃO PRECISA PREENCHER</t>
  </si>
  <si>
    <t>DEPOIS DE PRONTA: COPIAR/COLAR A TABELA TODA ABAIXO DA EXISTENTE, E A SEGUIR COPIAR/COLAR ESPECIAL TEXTO A TABELA TODA EM CIMA DA QUE JÁ FOI COLADA (ASSIM OS VALORES SERÃO FIXADOS CONFORME OS EXISTENTES NA TABELA ORIGINAL, MAS SEM FÓRMULAS)</t>
  </si>
  <si>
    <t>DEPOIS DE PRONTA: COPIAR/COLAR A TABELA À DIREITA DA EXISTENTE, SENDO "COLAR TEXTO" AS COLUNAS COM FÓRMULAS DE OUTRAS PLANILHAS, PRESERVANDO AS DEMAIS FÓRMULAS DESTA TABELA</t>
  </si>
  <si>
    <t>GÁS E OUTROS FORA DO VALOR RATEADO</t>
  </si>
  <si>
    <t>OBSERVAÇÕES DO RODAPÉ DA ANTIGA TABELA "RESUMO DOS LANÇAMENTOS" ATÉ A REF. 07/2025 (DESPREZAR)</t>
  </si>
  <si>
    <t>TAB. ESQUERDA X DIREITA</t>
  </si>
  <si>
    <t>TABELA SUPERIOR X TABELA INFERIOR</t>
  </si>
  <si>
    <t>SEM VALOR</t>
  </si>
  <si>
    <r>
      <t xml:space="preserve">DADOS DO PAGTº - AQUI: COPIAR/COLAR ESPECIAL (TRANSPOR) OS DADOS DA TABELA "VALORES DEVIDOS POR UNIDADE" DA PLANILHA "MEDIÇÕES E TABELAS" (SOMENTE APÓS TEREM SIDO ENVIADOS </t>
    </r>
    <r>
      <rPr>
        <b/>
        <sz val="11"/>
        <color rgb="FFFF0000"/>
        <rFont val="Calibri"/>
        <family val="2"/>
        <scheme val="minor"/>
      </rPr>
      <t>TODOS</t>
    </r>
    <r>
      <rPr>
        <b/>
        <sz val="11"/>
        <color theme="1"/>
        <rFont val="Calibri"/>
        <family val="2"/>
        <scheme val="minor"/>
      </rPr>
      <t xml:space="preserve"> OS RECIBOS AOS CONDÔMINOS) / BLOQUEAR CÉLULAS APÓS CADA PREENCHTº</t>
    </r>
  </si>
  <si>
    <r>
      <t xml:space="preserve">DEPOIS DE PRONTA: COPIAR/COLAR A TABELA À DIREITA DA EXISTENTE, </t>
    </r>
    <r>
      <rPr>
        <strike/>
        <sz val="11"/>
        <color theme="1"/>
        <rFont val="Calibri"/>
        <family val="2"/>
        <scheme val="minor"/>
      </rPr>
      <t>SENDO "COLAR TEXTO" AS COLUNAS COM FÓRMULAS DE OUTRAS PLANILHAS, PRESERVANDO AS DEMAIS FÓRMULAS DESTA TABELA</t>
    </r>
  </si>
  <si>
    <t>DEPOIS DE PRONTA: COPIAR/COLAR A TABELA TODA À DIREITA DA EXISTENTE, E A SEGUIR COPIAR/COLAR ESPECIAL TEXTO A TABELA TODA EM CIMA DA QUE JÁ FOI COLADA (ASSIM OS VALORES SERÃO FIXADOS CONFORME OS EXISTENTES NA TABELA ORIGINAL, MAS SEM FÓRMULAS)</t>
  </si>
  <si>
    <t>PLANILHA "LANÇTºS": ATUALIZAR AS FÓRMULAS DAS 2 LINHAS "CONTA DE ÁGUA DO CONDOMÍNIO" - DEPOIS DE PRONTA: COPIAR/COLAR A TABELA TODA ABAIXO DA EXISTENTE, E A SEGUIR COPIAR/COLAR ESPECIAL TEXTO A TABELA TODA EM CIMA DA QUE JÁ FOI COLADA (ASSIM OS VALORES SERÃO FIXADOS CONFORME OS EXISTENTES NA TABELA ORIGINAL, MAS SEM FÓRMULAS) - CONFERIR FÓRMULA "VERDADEIRO"</t>
  </si>
  <si>
    <t>TABELA "FUNDO DE RESERVA" DA PLANILHA "VRS. DEVIDOS E OUTROS": SALDO ATUAL COINCIDE COM O QUE ESTÁ NA PLANILHA "PLAN P COND" (ÚLTIMA COLUNA: ADICIONAR VALOR DA COLUNA "SALDO ATUAL CONF. BANCO (B)"DO ARQUIVO "EXTRATO". A SEGUIR: ATUALIZAR VALOR DA COLUNA "FUNDO DE RESERVA" DO ARQUIVO "EXTRATO") - DEPOIS DE PRONTA: COPIAR/COLAR A TABELA TODA À DIREITA DA EXISTENTE, E A SEGUIR COPIAR/COLAR ESPECIAL TEXTO A TABELA TODA EM CIMA DA QUE JÁ FOI COLADA (ASSIM OS VALORES SERÃO FIXADOS CONFORME OS EXISTENTES NA TABELA ORIGINAL, MAS SEM FÓRMULAS) - CONFERIR FÓRMULA "VERDADEIRO"</t>
  </si>
  <si>
    <r>
      <t xml:space="preserve">TABELA 1 DA PLANILHA "MEDIÇÕES E TABELAS" </t>
    </r>
    <r>
      <rPr>
        <b/>
        <sz val="11"/>
        <color theme="1"/>
        <rFont val="Calibri"/>
        <family val="2"/>
        <scheme val="minor"/>
      </rPr>
      <t xml:space="preserve">(MENSALMENTE: ELIMINAR DA "TABELA 1" A 1ª LINHA DE ÁGUA E A 1ª DE GÁS; COPIAR/COLAR A ÚLTIMA LINHA DE CADA ITEM NA TABELA IDÊNTICA DA PLANILHA "MEDIÇÕES E COPASA HISTÓRICO". </t>
    </r>
    <r>
      <rPr>
        <b/>
        <strike/>
        <sz val="11"/>
        <color theme="1"/>
        <rFont val="Calibri"/>
        <family val="2"/>
        <scheme val="minor"/>
      </rPr>
      <t>CONFERIR NA LINHA "A (-) B" DA LEITURA ATUAL SE HÁ CONSUMO ANORMAL DE ÁGUA E AVISAR AO CONDÔMINO SE HOUVER</t>
    </r>
    <r>
      <rPr>
        <b/>
        <sz val="11"/>
        <color theme="1"/>
        <rFont val="Calibri"/>
        <family val="2"/>
        <scheme val="minor"/>
      </rPr>
      <t>)</t>
    </r>
  </si>
  <si>
    <r>
      <t xml:space="preserve">TABELA 2 DA PLANILHA "MEDIÇÕES E TABELAS" </t>
    </r>
    <r>
      <rPr>
        <b/>
        <sz val="11"/>
        <color theme="1"/>
        <rFont val="Calibri"/>
        <family val="2"/>
        <scheme val="minor"/>
      </rPr>
      <t xml:space="preserve">(PROCEDIMENTOS: 1- SEMPRE ATUALIZAR OS DADOS DO CABEÇALHO DA TABELA; </t>
    </r>
    <r>
      <rPr>
        <b/>
        <strike/>
        <sz val="11"/>
        <color theme="1"/>
        <rFont val="Calibri"/>
        <family val="2"/>
        <scheme val="minor"/>
      </rPr>
      <t>2- SELECIONAR AS CORRESPONDENTES COLUNAS DA TABELA 2 E SUBSTITUIR O Nº DA LINHA ANTERIOR PELA LINHA ATUAL, COM DADOS DA TABELA 1)</t>
    </r>
  </si>
  <si>
    <t>VOLTAR À FÓRMULA CORRETA: AY41-SOMA(U5:U19), SENDO O 1º ITEM DESTA FÓRMULA O "CONSUMO TOTAL" DA TABELA "COPASA NFFS'. NA APURAÇÃO PARA FEVEREIRO/2026 (E TAMBÉM PARA JANEIRO/2026) FOI PRECISO ALTERAR ESTA FÓRMULA, DEVIDO A ERRO NO HIDRÔMETRO DA COPASA NA LEITURA DE 28/01/26 (E TAMBÉM DE 29/12/25), CUJO CONSUMO APURADO PELA COPASA VEIO MENOR QUE O CONSUMO TOTAL DOS CONDÔMINOS QUE FOI POR MIM APURADO, SENDO POR ISSO ZERADO O CONSUMO REFERENTE AO CONDOMÍNIO.</t>
  </si>
  <si>
    <t>VOLTAR À FÓRMULA CORRETA: ARRED(C40/$AY$41;3), SENDO O DIVISOR O "CONSUMO TOTAL" DA TABELA "COPASA NFFS'. NA APURAÇÃO PARA FEVEREIRO/2026 (E TAMBÉM PARA JANEIRO/2026) FOI PRECISO ALTERAR ESTA FÓRMULA, DEVIDO A ERRO NO HIDRÔMETRO DA COPASA NA LEITURA DE 28/01/26 (E TAMBÉM DE 29/12/25), CUJO CONSUMO APURADO PELA COPASA VEIO MENOR QUE O CONSUMO TOTAL DOS CONDÔMINOS QUE FOI POR MIM APURADO, SENDO POR ISSO ZERADO O CONSUMO REFERENTE AO CONDOMÍNIO.</t>
  </si>
  <si>
    <t>SIM - PARCELA 2ª/6</t>
  </si>
  <si>
    <t>O VALOR DA PENÚLTIMA LINHA DA COLUNA "TOTAL/MÊS" COINCIDE COM IGUAL VALOR DA TABELA 3 ("VALORES DEVIDOS POR UNIDADE") DA PLANILHA "MEDIÇÕES E TABELAS"</t>
  </si>
  <si>
    <t>O VALOR DA ÚLTIMA LINHA DA COLUNA "TOTAL/MÊS" COINCIDE COM IGUAL VALOR DA TABELA 3 ("VALORES DEVIDOS POR UNIDADE") DA PLANILHA "MEDIÇÕES E TABELAS"</t>
  </si>
  <si>
    <r>
      <t xml:space="preserve">TABELA "VALORES DEVIDOS POR UNIDADE" DA PLANILHA "VRS. DEVIDOS E OUTROS", </t>
    </r>
    <r>
      <rPr>
        <b/>
        <sz val="11"/>
        <color theme="1"/>
        <rFont val="Calibri"/>
        <family val="2"/>
        <scheme val="minor"/>
      </rPr>
      <t>2ª LINHA DE CONFERÊNCIA</t>
    </r>
    <r>
      <rPr>
        <sz val="11"/>
        <color theme="1"/>
        <rFont val="Calibri"/>
        <family val="2"/>
        <scheme val="minor"/>
      </rPr>
      <t xml:space="preserve"> - DEPOIS DE PRONTA: 1) COPIAR/COLAR A TABELA TODA À DIREITA DA EXISTENTE, E A SEGUIR COPIAR/COLAR ESPECIAL TEXTO A TABELA TODA EM CIMA DA QUE JÁ FOI COLADA (ASSIM OS VALORES SERÃO FIXADOS CONFORME OS EXISTENTES NA TABELA ORIGINAL, MAS SEM FÓRMULAS) - CONFERIR FÓRMULA "VERDADEIRO"; 2) ANALISAR SE HÁ CONSUMO ANORMAL DE ÁGUA E AVISAR AO CONDÔMINO SE HOUVER</t>
    </r>
  </si>
  <si>
    <t>O ÚLTIMO SALDO COINCIDE COM O QUE CONSTA NA TABELA 3 ("VALORES DEVIDOS POR UNIDADE") DA PLANILHA "MEDIÇÕES E TABELAS"</t>
  </si>
  <si>
    <t>RECUPERAÇÃO DO TETO E DO GESSO DE PARTE DO APTº 201 DO CONDOMÍNIO. HOUVE ABASTECTº DE GÁS, $4277,19. ESTE VALOR FOI RETIRADO DO SALDO BANCÁRIO, E NÃO DO FUNDO DE RESERVA, JÁ QUE É COBRADO DE CADA CONDÔMINO POR RATEIO, CONF. PLANILHA "VALORES DEVIDOS POR UNIDADE"</t>
  </si>
  <si>
    <t>HOUVE ABASTECTº DE GÁS, $4846,50. ESTE VALOR FOI RETIRADO DO SALDO BANCÁRIO, E NÃO DO FUNDO DE RESERVA, JÁ QUE É COBRADO DE CADA CONDÔMINO POR RATEIO, CONF. PLANILHA "VALORES DEVIDOS POR UNIDADE"</t>
  </si>
  <si>
    <t>O RATEIO FINAL COINCIDE COM O QUE CONSTA NA PLANILHA "PLAN P COND"</t>
  </si>
  <si>
    <t>ESTE SALDO ATUAL COINCIDE COM O QUE ESTÁ NA PLANILHA "PLAN P COND"</t>
  </si>
  <si>
    <t>SIM - O VALOR CORRETO É $226,01, E NÃO $238,46, ESTE ÚLTIMO CALCULADO COM BASE NO REAJUSTE DA MENSALIDADE DA CONSERVADORA, QUE SÓ VIGORARÁ A PARTIR DA COMPETÊNCIA 02/2026, COM RECOLHTº EM 03/2026</t>
  </si>
  <si>
    <t>PIX NUBANK ($18)/DEP.EM M/CC BRAD.($700)</t>
  </si>
  <si>
    <t>SIM - PARCELA 3ª/6</t>
  </si>
  <si>
    <r>
      <t xml:space="preserve">FALTA OBTER O VALOR NA PLANILHA LANÇTºS DA FÓRMULA DA CÉLULA </t>
    </r>
    <r>
      <rPr>
        <b/>
        <strike/>
        <sz val="8"/>
        <color theme="1"/>
        <rFont val="Calibri"/>
        <family val="2"/>
        <scheme val="minor"/>
      </rPr>
      <t>AT42</t>
    </r>
  </si>
  <si>
    <r>
      <t>TABELA "RATEIO MENSAL" DA PLANILHA "VRS. DEVIDOS E OUTROS" COINCIDE COM O QUE CONSTA NA PLANILHA "PLAN P COND" (</t>
    </r>
    <r>
      <rPr>
        <i/>
        <sz val="11"/>
        <color theme="1"/>
        <rFont val="Calibri"/>
        <family val="2"/>
        <scheme val="minor"/>
      </rPr>
      <t>ATUALIZAR VALORES DA COLUNA "RATEIO" DA TABELA 3 DA PLANILHA "MEDIÇÕES E TABELAS"</t>
    </r>
    <r>
      <rPr>
        <sz val="11"/>
        <color theme="1"/>
        <rFont val="Calibri"/>
        <family val="2"/>
        <scheme val="minor"/>
      </rPr>
      <t>) - DEPOIS DE PRONTA: COPIAR/COLAR A TABELA TODA À DIREITA DA EXISTENTE, E A SEGUIR COPIAR/COLAR ESPECIAL TEXTO A TABELA TODA EM CIMA DA QUE JÁ FOI COLADA (ASSIM OS VALORES SERÃO FIXADOS CONFORME OS EXISTENTES NA TABELA ORIGINAL, MAS SEM FÓRMULAS) - CONFERIR FÓRMULA "VERDADEIRO"</t>
    </r>
  </si>
  <si>
    <t>TABELA "APTº 801" DA PLANILHA "VRS. DEVIDOS E OUTROS" - DEPOIS DE PRONTA: COPIAR/COLAR A TABELA TODA À DIREITA DA EXISTENTE, E A SEGUIR COPIAR/COLAR ESPECIAL TEXTO A TABELA TODA EM CIMA DA QUE JÁ FOI COLADA (ASSIM OS VALORES SERÃO FIXADOS CONFORME OS EXISTENTES NA TABELA ORIGINAL, MAS SEM FÓRMULAS) - CONFERIR FÓRMULA "VERDADEIRO"</t>
  </si>
  <si>
    <t>TABELA "APTº 201" (E TEXTO CORRESPONDENTE) DA PLANILHA "VRS. DEVIDOS E OUTROS" - DEPOIS DE PRONTA: COPIAR/COLAR A TABELA TODA À DIREITA DA EXISTENTE, E A SEGUIR COPIAR/COLAR ESPECIAL TEXTO A TABELA TODA EM CIMA DA QUE JÁ FOI COLADA (ASSIM OS VALORES SERÃO FIXADOS CONFORME OS EXISTENTES NA TABELA ORIGINAL, MAS SEM FÓRMULAS)</t>
  </si>
  <si>
    <t>TABELA "APTº 601" (E TEXTO CORRESPONDENTE) DA PLANILHA "VRS. DEVIDOS E OUTROS" - DEPOIS DE PRONTA: COPIAR/COLAR A TABELA TODA À DIREITA DA EXISTENTE, E A SEGUIR COPIAR/COLAR ESPECIAL TEXTO A TABELA TODA EM CIMA DA QUE JÁ FOI COLADA (ASSIM OS VALORES SERÃO FIXADOS CONFORME OS EXISTENTES NA TABELA ORIGINAL, MAS SEM FÓRMULAS)</t>
  </si>
  <si>
    <r>
      <t>FALTA ANALISAR CONSUMO ANORMAL DE ÁGUA (</t>
    </r>
    <r>
      <rPr>
        <b/>
        <strike/>
        <u/>
        <sz val="8"/>
        <color rgb="FFFF0000"/>
        <rFont val="Calibri"/>
        <family val="2"/>
        <scheme val="minor"/>
      </rPr>
      <t>APTº 401: EXCESSO</t>
    </r>
    <r>
      <rPr>
        <strike/>
        <sz val="8"/>
        <color theme="1"/>
        <rFont val="Calibri"/>
        <family val="2"/>
        <scheme val="minor"/>
      </rPr>
      <t>) E TOTAL A PAGAR</t>
    </r>
  </si>
  <si>
    <t>PIX NUBANK ($2)/DEP.EM M/CC BRAD.($650)</t>
  </si>
  <si>
    <r>
      <t xml:space="preserve">PLANILHA "DADOS DO PAGTº" </t>
    </r>
    <r>
      <rPr>
        <b/>
        <sz val="11"/>
        <color theme="1"/>
        <rFont val="Calibri"/>
        <family val="2"/>
        <scheme val="minor"/>
      </rPr>
      <t xml:space="preserve">(PREENCHER COM DADOS DA TABELA 3 DA PLANILHA "MEDIÇÕES E TABELAS", SOMENTE APÓS TEREM SIDO ENVIADOS TODOS OS RECIBOS AOS CONDÔMINOS - </t>
    </r>
    <r>
      <rPr>
        <b/>
        <strike/>
        <sz val="11"/>
        <color theme="1"/>
        <rFont val="Calibri"/>
        <family val="2"/>
        <scheme val="minor"/>
      </rPr>
      <t>BLOQUEAR CÉLULAS APÓS CADA PREENCHIMENTO</t>
    </r>
    <r>
      <rPr>
        <b/>
        <sz val="11"/>
        <color theme="1"/>
        <rFont val="Calibri"/>
        <family val="2"/>
        <scheme val="minor"/>
      </rPr>
      <t>)</t>
    </r>
  </si>
  <si>
    <t>VERIFICAR SE FOI RETIRADA (DA CONTA DA LEITURA DE 25/02/26, QUE VENCE EM 15/04/26) A MULTA POR ATRASO DE PAGAMENTO (PROTOCOLO 20260304870368, DE 04/03/26), REF. À CONTA DA LEITURA DE 29/12/25, QUE PAGUEI NO DIA 18/02/26: VENCEU NO DIA 15/02/26, UM DOMINGO, E OS DIAS 16 E 17 FORAM DEFINIDOS COMO FERIADOS BANCÁRIOS. PREVISÃO DE ATENDIMENTO: ATÉ 18/03/26.</t>
  </si>
  <si>
    <t>LANÇAMENTOS - ABRIL/2026</t>
  </si>
  <si>
    <t>FÓRMULA QUE FOI USADA DE 12/2025 A 02/2026: ARRED(C40/TOTAL DO CONSUMO DA TABELA 1;3). FOI PRECISO ALTERAR A FÓRMULA PARA ESTA, DEVIDO A ERRO NO HIDRÔMETRO DA COPASA NA LEITURA DE 28/01/26 (E TAMBÉM DE 29/12/25), CUJO CONSUMO APURADO PELA COPASA VEIO MENOR QUE O CONSUMO TOTAL DOS CONDÔMINOS QUE FOI POR MIM APURADO, SENDO POR ISSO ZERADO O CONSUMO REFERENTE AO CONDOMÍNIO.</t>
  </si>
  <si>
    <t>FÓRMULA QUE FOI USADA DE 12/2025 A 02/2026: TOTAL DO CONSUMO DA TABELA 1 (-) SOMA(U5:U19). FOI PRECISO ALTERAR A FÓRMULA PARA ESTA, DEVIDO A ERRO NO HIDRÔMETRO DA COPASA NA LEITURA DE 28/01/26 (E TAMBÉM DE 29/12/25), CUJO CONSUMO APURADO PELA COPASA VEIO MENOR QUE O CONSUMO TOTAL DOS CONDÔMINOS QUE FOI POR MIM APURADO, SENDO POR ISSO ZERADO O CONSUMO REFERENTE AO CONDOMÍNIO.</t>
  </si>
  <si>
    <t>,  01/04/2026 .</t>
  </si>
  <si>
    <t>abril/2026 .</t>
  </si>
  <si>
    <t>VALORES DEVIDOS POR UNIDADE - ABRIL/2026</t>
  </si>
  <si>
    <t>SIM - PARCELA 4ª/6</t>
  </si>
  <si>
    <t>FALTA VERIFICAR SE HOUVE CONSUMO ANORMAL DE ÁGUA: APTºS 401 (IGUAL AO MÊS ANTERIOR), 501 E 602, JÁ AVISADOS +- EM 01/03/26</t>
  </si>
  <si>
    <t>Ofício nº 04/2026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</si>
  <si>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abril/2026</t>
    </r>
  </si>
  <si>
    <t>Belo Horizonte/MG, 01 de abril de 2026.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</si>
  <si>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abril/2026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</si>
  <si>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10/04/2026</t>
    </r>
    <r>
      <rPr>
        <sz val="13"/>
        <color theme="1"/>
        <rFont val="Calibri"/>
        <family val="2"/>
        <scheme val="minor"/>
      </rPr>
      <t>.</t>
    </r>
  </si>
  <si>
    <t>SEGURO DO PRÉDIO - PARCELA 4ª/6</t>
  </si>
  <si>
    <t>AGENDADO EM 02/04/26 P/09/04/26, PIX ITAÚ</t>
  </si>
  <si>
    <t>03/01/26: DEPOSITOU $1 A MAIS. 09/02, 09/03 E 09/04/26: PAGO POR DIÓGENES LUÍS SILVA</t>
  </si>
  <si>
    <t>MILTON PAGOU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</si>
</sst>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R$&quot;\ #,##0.00;\-&quot;R$&quot;\ #,##0.00"/>
    <numFmt numFmtId="8" formatCode="&quot;R$&quot;\ #,##0.00;[Red]\-&quot;R$&quot;\ #,##0.00"/>
    <numFmt numFmtId="164" formatCode="dd/mm/yy"/>
    <numFmt numFmtId="165" formatCode="#,##0.00_ ;[Red]\-#,##0.00\ "/>
    <numFmt numFmtId="166" formatCode="dd/mm/yy;@"/>
    <numFmt numFmtId="167" formatCode="#,##0.000_ ;[Red]\-#,##0.000\ "/>
    <numFmt numFmtId="168" formatCode="#,##0.000"/>
    <numFmt numFmtId="169" formatCode="mm/yyyy"/>
    <numFmt numFmtId="170" formatCode="#,##0.000000"/>
    <numFmt numFmtId="171" formatCode="#,##0.0000"/>
    <numFmt numFmtId="172" formatCode="#,##0.00000"/>
    <numFmt numFmtId="173" formatCode="&quot;R$&quot;#,##0.00"/>
    <numFmt numFmtId="174" formatCode="&quot;R$&quot;#,##0.00;[Red]&quot;-R$&quot;#,##0.00"/>
    <numFmt numFmtId="175" formatCode="_-&quot;R$ &quot;* #,##0.00_-;&quot;-R$ &quot;* #,##0.00_-;_-&quot;R$ &quot;* \-??_-;_-@_-"/>
  </numFmts>
  <fonts count="1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6"/>
      <color indexed="8"/>
      <name val="Calibri"/>
      <family val="2"/>
    </font>
    <font>
      <sz val="12"/>
      <color indexed="8"/>
      <name val="Calibri"/>
      <family val="2"/>
    </font>
    <font>
      <sz val="11"/>
      <color indexed="10"/>
      <name val="Calibri"/>
      <family val="2"/>
    </font>
    <font>
      <b/>
      <sz val="16"/>
      <color indexed="8"/>
      <name val="Calibri"/>
      <family val="2"/>
    </font>
    <font>
      <b/>
      <sz val="9"/>
      <color indexed="81"/>
      <name val="Segoe UI"/>
      <family val="2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b/>
      <sz val="12"/>
      <name val="Calibri"/>
      <family val="2"/>
    </font>
    <font>
      <b/>
      <sz val="14"/>
      <color rgb="FFFF0000"/>
      <name val="Calibri"/>
      <family val="2"/>
    </font>
    <font>
      <sz val="8"/>
      <color indexed="81"/>
      <name val="Segoe UI"/>
      <family val="2"/>
    </font>
    <font>
      <b/>
      <u/>
      <sz val="8"/>
      <color indexed="81"/>
      <name val="Segoe UI"/>
      <family val="2"/>
    </font>
    <font>
      <sz val="13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indexed="81"/>
      <name val="Segoe UI"/>
      <family val="2"/>
    </font>
    <font>
      <strike/>
      <sz val="12"/>
      <color indexed="8"/>
      <name val="Calibri"/>
      <family val="2"/>
    </font>
    <font>
      <b/>
      <i/>
      <u/>
      <sz val="8"/>
      <color indexed="81"/>
      <name val="Segoe U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trike/>
      <sz val="8"/>
      <color indexed="8"/>
      <name val="Calibri"/>
      <family val="2"/>
    </font>
    <font>
      <strike/>
      <sz val="11"/>
      <color theme="1"/>
      <name val="Calibri"/>
      <family val="2"/>
      <scheme val="minor"/>
    </font>
    <font>
      <strike/>
      <sz val="8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</font>
    <font>
      <b/>
      <sz val="6"/>
      <color indexed="81"/>
      <name val="Segoe UI"/>
      <family val="2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i/>
      <sz val="12"/>
      <color indexed="8"/>
      <name val="Calibri"/>
      <family val="2"/>
    </font>
    <font>
      <b/>
      <u/>
      <sz val="11"/>
      <color rgb="FFFF0000"/>
      <name val="Calibri"/>
      <family val="2"/>
      <scheme val="minor"/>
    </font>
    <font>
      <b/>
      <u/>
      <sz val="11"/>
      <color theme="3" tint="-0.249977111117893"/>
      <name val="Calibri"/>
      <family val="2"/>
      <scheme val="minor"/>
    </font>
    <font>
      <sz val="10"/>
      <name val="Arial"/>
      <family val="2"/>
    </font>
    <font>
      <sz val="8"/>
      <color indexed="10"/>
      <name val="Calibri"/>
      <family val="2"/>
    </font>
    <font>
      <b/>
      <sz val="8"/>
      <color rgb="FFFF0000"/>
      <name val="Calibri"/>
      <family val="2"/>
      <scheme val="minor"/>
    </font>
    <font>
      <b/>
      <sz val="8"/>
      <color indexed="10"/>
      <name val="Calibri"/>
      <family val="2"/>
    </font>
    <font>
      <b/>
      <u/>
      <sz val="8"/>
      <color rgb="FFFF0000"/>
      <name val="Calibri"/>
      <family val="2"/>
      <scheme val="minor"/>
    </font>
    <font>
      <b/>
      <sz val="11"/>
      <color indexed="10"/>
      <name val="Calibri"/>
      <family val="2"/>
    </font>
    <font>
      <sz val="11"/>
      <color indexed="17"/>
      <name val="Calibri"/>
      <family val="2"/>
    </font>
    <font>
      <b/>
      <strike/>
      <sz val="8"/>
      <color rgb="FFFF0000"/>
      <name val="Calibri"/>
      <family val="2"/>
      <scheme val="minor"/>
    </font>
    <font>
      <b/>
      <strike/>
      <sz val="14"/>
      <color indexed="8"/>
      <name val="Calibri"/>
      <family val="2"/>
    </font>
    <font>
      <strike/>
      <sz val="11"/>
      <color indexed="8"/>
      <name val="Calibri"/>
      <family val="2"/>
    </font>
    <font>
      <strike/>
      <sz val="6"/>
      <color indexed="8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sz val="11"/>
      <color rgb="FFFF0000"/>
      <name val="Calibri"/>
      <family val="2"/>
    </font>
    <font>
      <b/>
      <u/>
      <sz val="10"/>
      <color rgb="FFFF0000"/>
      <name val="Calibri"/>
      <family val="2"/>
    </font>
    <font>
      <b/>
      <strike/>
      <u/>
      <sz val="10"/>
      <color rgb="FFFF0000"/>
      <name val="Calibri"/>
      <family val="2"/>
    </font>
    <font>
      <b/>
      <strike/>
      <sz val="11"/>
      <color indexed="8"/>
      <name val="Calibri"/>
      <family val="2"/>
    </font>
    <font>
      <b/>
      <strike/>
      <sz val="10"/>
      <color indexed="8"/>
      <name val="Calibri"/>
      <family val="2"/>
    </font>
    <font>
      <b/>
      <strike/>
      <u/>
      <sz val="11"/>
      <color rgb="FFFF0000"/>
      <name val="Calibri"/>
      <family val="2"/>
    </font>
    <font>
      <b/>
      <strike/>
      <sz val="12"/>
      <color indexed="8"/>
      <name val="Calibri"/>
      <family val="2"/>
    </font>
    <font>
      <b/>
      <strike/>
      <sz val="11"/>
      <name val="Calibri"/>
      <family val="2"/>
    </font>
    <font>
      <b/>
      <strike/>
      <sz val="12"/>
      <name val="Calibri"/>
      <family val="2"/>
    </font>
    <font>
      <sz val="14"/>
      <name val="Calibri"/>
      <family val="2"/>
    </font>
    <font>
      <sz val="14"/>
      <color indexed="17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trike/>
      <sz val="8"/>
      <color theme="1"/>
      <name val="Calibri"/>
      <family val="2"/>
      <scheme val="minor"/>
    </font>
    <font>
      <b/>
      <u/>
      <sz val="8"/>
      <color rgb="FFFF0000"/>
      <name val="Calibri"/>
      <family val="2"/>
    </font>
    <font>
      <b/>
      <sz val="12"/>
      <color theme="1"/>
      <name val="Calibri"/>
      <family val="2"/>
      <scheme val="minor"/>
    </font>
    <font>
      <strike/>
      <sz val="10"/>
      <color indexed="8"/>
      <name val="Calibri"/>
      <family val="2"/>
    </font>
    <font>
      <strike/>
      <sz val="10"/>
      <name val="Calibri"/>
      <family val="2"/>
    </font>
    <font>
      <b/>
      <strike/>
      <sz val="10"/>
      <color rgb="FFFF0000"/>
      <name val="Calibri"/>
      <family val="2"/>
    </font>
    <font>
      <b/>
      <sz val="6"/>
      <color theme="1"/>
      <name val="Calibri"/>
      <family val="2"/>
      <scheme val="minor"/>
    </font>
    <font>
      <b/>
      <i/>
      <strike/>
      <sz val="12"/>
      <color indexed="8"/>
      <name val="Calibri"/>
      <family val="2"/>
    </font>
    <font>
      <b/>
      <sz val="10"/>
      <color rgb="FFFF0000"/>
      <name val="Calibri"/>
      <family val="2"/>
      <scheme val="minor"/>
    </font>
    <font>
      <b/>
      <strike/>
      <sz val="11"/>
      <color indexed="17"/>
      <name val="Calibri"/>
      <family val="2"/>
    </font>
    <font>
      <b/>
      <strike/>
      <sz val="14"/>
      <color rgb="FFFF0000"/>
      <name val="Calibri"/>
      <family val="2"/>
      <scheme val="minor"/>
    </font>
    <font>
      <b/>
      <strike/>
      <sz val="16"/>
      <color indexed="8"/>
      <name val="Calibri"/>
      <family val="2"/>
    </font>
    <font>
      <b/>
      <strike/>
      <sz val="14"/>
      <name val="Calibri"/>
      <family val="2"/>
    </font>
    <font>
      <strike/>
      <sz val="14"/>
      <name val="Calibri"/>
      <family val="2"/>
    </font>
    <font>
      <strike/>
      <sz val="14"/>
      <color indexed="17"/>
      <name val="Calibri"/>
      <family val="2"/>
    </font>
    <font>
      <b/>
      <strike/>
      <sz val="13"/>
      <name val="Calibri"/>
      <family val="2"/>
    </font>
    <font>
      <b/>
      <strike/>
      <sz val="11"/>
      <color rgb="FFFF000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6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trike/>
      <sz val="6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u/>
      <sz val="10"/>
      <color theme="4"/>
      <name val="Calibri"/>
      <family val="2"/>
      <scheme val="minor"/>
    </font>
    <font>
      <b/>
      <sz val="10"/>
      <color indexed="81"/>
      <name val="Segoe UI"/>
      <family val="2"/>
    </font>
    <font>
      <strike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trike/>
      <u/>
      <sz val="8"/>
      <color rgb="FFFF0000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38" fillId="0" borderId="0"/>
    <xf numFmtId="175" fontId="44" fillId="0" borderId="0" applyFill="0" applyBorder="0" applyAlignment="0" applyProtection="0"/>
    <xf numFmtId="0" fontId="1" fillId="0" borderId="0"/>
    <xf numFmtId="0" fontId="38" fillId="0" borderId="0"/>
    <xf numFmtId="0" fontId="1" fillId="0" borderId="0"/>
    <xf numFmtId="0" fontId="1" fillId="0" borderId="0"/>
  </cellStyleXfs>
  <cellXfs count="1057">
    <xf numFmtId="0" fontId="0" fillId="0" borderId="0" xfId="0"/>
    <xf numFmtId="0" fontId="2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164" fontId="0" fillId="0" borderId="5" xfId="0" quotePrefix="1" applyNumberFormat="1" applyBorder="1" applyAlignment="1">
      <alignment horizontal="center" vertical="center"/>
    </xf>
    <xf numFmtId="0" fontId="0" fillId="0" borderId="2" xfId="0" applyBorder="1"/>
    <xf numFmtId="164" fontId="0" fillId="0" borderId="5" xfId="0" applyNumberForma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165" fontId="3" fillId="0" borderId="5" xfId="0" applyNumberFormat="1" applyFont="1" applyBorder="1" applyAlignment="1">
      <alignment horizontal="right"/>
    </xf>
    <xf numFmtId="0" fontId="7" fillId="0" borderId="10" xfId="0" applyFont="1" applyBorder="1"/>
    <xf numFmtId="165" fontId="3" fillId="0" borderId="5" xfId="0" applyNumberFormat="1" applyFont="1" applyBorder="1"/>
    <xf numFmtId="0" fontId="9" fillId="0" borderId="2" xfId="1" applyFont="1" applyBorder="1" applyAlignment="1">
      <alignment horizontal="centerContinuous" vertical="center"/>
    </xf>
    <xf numFmtId="0" fontId="9" fillId="0" borderId="4" xfId="1" applyFont="1" applyBorder="1" applyAlignment="1">
      <alignment horizontal="centerContinuous" vertical="center"/>
    </xf>
    <xf numFmtId="166" fontId="10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166" fontId="12" fillId="0" borderId="1" xfId="1" applyNumberFormat="1" applyFont="1" applyBorder="1" applyAlignment="1">
      <alignment horizontal="centerContinuous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centerContinuous" vertical="center"/>
    </xf>
    <xf numFmtId="0" fontId="3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7" fontId="5" fillId="0" borderId="5" xfId="0" applyNumberFormat="1" applyFont="1" applyBorder="1" applyAlignment="1">
      <alignment vertical="center"/>
    </xf>
    <xf numFmtId="165" fontId="5" fillId="0" borderId="5" xfId="0" applyNumberFormat="1" applyFont="1" applyBorder="1" applyAlignment="1">
      <alignment vertical="center"/>
    </xf>
    <xf numFmtId="168" fontId="10" fillId="0" borderId="5" xfId="1" applyNumberFormat="1" applyFont="1" applyBorder="1" applyAlignment="1">
      <alignment vertical="center"/>
    </xf>
    <xf numFmtId="165" fontId="5" fillId="0" borderId="14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8" fontId="5" fillId="0" borderId="5" xfId="0" applyNumberFormat="1" applyFont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16" fillId="0" borderId="1" xfId="0" applyFont="1" applyBorder="1"/>
    <xf numFmtId="0" fontId="16" fillId="0" borderId="2" xfId="0" applyFont="1" applyBorder="1"/>
    <xf numFmtId="0" fontId="16" fillId="0" borderId="4" xfId="0" applyFon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2" fontId="3" fillId="0" borderId="4" xfId="0" applyNumberFormat="1" applyFont="1" applyBorder="1"/>
    <xf numFmtId="14" fontId="17" fillId="0" borderId="0" xfId="0" applyNumberFormat="1" applyFont="1" applyAlignment="1">
      <alignment horizontal="left"/>
    </xf>
    <xf numFmtId="2" fontId="3" fillId="0" borderId="15" xfId="0" applyNumberFormat="1" applyFont="1" applyBorder="1"/>
    <xf numFmtId="2" fontId="3" fillId="0" borderId="3" xfId="0" applyNumberFormat="1" applyFont="1" applyBorder="1"/>
    <xf numFmtId="2" fontId="3" fillId="0" borderId="6" xfId="0" applyNumberFormat="1" applyFont="1" applyBorder="1"/>
    <xf numFmtId="2" fontId="3" fillId="0" borderId="16" xfId="0" applyNumberFormat="1" applyFont="1" applyBorder="1"/>
    <xf numFmtId="2" fontId="3" fillId="0" borderId="17" xfId="0" applyNumberFormat="1" applyFont="1" applyBorder="1"/>
    <xf numFmtId="2" fontId="3" fillId="0" borderId="18" xfId="0" applyNumberFormat="1" applyFont="1" applyBorder="1"/>
    <xf numFmtId="2" fontId="5" fillId="0" borderId="0" xfId="0" applyNumberFormat="1" applyFont="1"/>
    <xf numFmtId="2" fontId="16" fillId="0" borderId="1" xfId="0" applyNumberFormat="1" applyFont="1" applyBorder="1" applyAlignment="1">
      <alignment horizontal="centerContinuous"/>
    </xf>
    <xf numFmtId="2" fontId="16" fillId="0" borderId="2" xfId="0" applyNumberFormat="1" applyFont="1" applyBorder="1" applyAlignment="1">
      <alignment horizontal="centerContinuous"/>
    </xf>
    <xf numFmtId="2" fontId="16" fillId="0" borderId="4" xfId="0" applyNumberFormat="1" applyFont="1" applyBorder="1" applyAlignment="1">
      <alignment horizontal="centerContinuous"/>
    </xf>
    <xf numFmtId="0" fontId="20" fillId="0" borderId="0" xfId="0" applyFont="1"/>
    <xf numFmtId="165" fontId="5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Continuous"/>
    </xf>
    <xf numFmtId="0" fontId="3" fillId="0" borderId="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165" fontId="24" fillId="0" borderId="5" xfId="0" applyNumberFormat="1" applyFont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vertical="center"/>
    </xf>
    <xf numFmtId="165" fontId="16" fillId="0" borderId="5" xfId="0" applyNumberFormat="1" applyFont="1" applyBorder="1"/>
    <xf numFmtId="169" fontId="0" fillId="0" borderId="0" xfId="0" applyNumberFormat="1" applyAlignment="1">
      <alignment horizontal="center"/>
    </xf>
    <xf numFmtId="169" fontId="0" fillId="0" borderId="5" xfId="0" applyNumberFormat="1" applyBorder="1" applyAlignment="1">
      <alignment horizontal="center"/>
    </xf>
    <xf numFmtId="0" fontId="13" fillId="0" borderId="5" xfId="0" applyFont="1" applyBorder="1" applyAlignment="1">
      <alignment vertical="center"/>
    </xf>
    <xf numFmtId="166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5" xfId="0" applyNumberFormat="1" applyBorder="1"/>
    <xf numFmtId="0" fontId="0" fillId="3" borderId="2" xfId="0" applyFill="1" applyBorder="1"/>
    <xf numFmtId="0" fontId="27" fillId="4" borderId="0" xfId="0" applyFont="1" applyFill="1"/>
    <xf numFmtId="0" fontId="0" fillId="4" borderId="0" xfId="0" applyFill="1"/>
    <xf numFmtId="169" fontId="9" fillId="4" borderId="0" xfId="0" applyNumberFormat="1" applyFont="1" applyFill="1"/>
    <xf numFmtId="165" fontId="0" fillId="0" borderId="0" xfId="0" applyNumberFormat="1"/>
    <xf numFmtId="0" fontId="32" fillId="3" borderId="1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32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0" fontId="5" fillId="3" borderId="5" xfId="0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vertical="center"/>
    </xf>
    <xf numFmtId="0" fontId="0" fillId="0" borderId="3" xfId="0" applyBorder="1"/>
    <xf numFmtId="169" fontId="0" fillId="3" borderId="5" xfId="0" applyNumberFormat="1" applyFill="1" applyBorder="1" applyAlignment="1">
      <alignment horizontal="center"/>
    </xf>
    <xf numFmtId="0" fontId="13" fillId="3" borderId="5" xfId="0" applyFont="1" applyFill="1" applyBorder="1" applyAlignment="1">
      <alignment vertical="center"/>
    </xf>
    <xf numFmtId="165" fontId="24" fillId="3" borderId="5" xfId="0" applyNumberFormat="1" applyFont="1" applyFill="1" applyBorder="1" applyAlignment="1">
      <alignment vertical="center"/>
    </xf>
    <xf numFmtId="0" fontId="28" fillId="0" borderId="5" xfId="0" applyFont="1" applyBorder="1" applyAlignment="1">
      <alignment horizontal="center"/>
    </xf>
    <xf numFmtId="0" fontId="12" fillId="0" borderId="0" xfId="2" applyFont="1"/>
    <xf numFmtId="0" fontId="11" fillId="0" borderId="0" xfId="2" applyFont="1"/>
    <xf numFmtId="166" fontId="11" fillId="0" borderId="0" xfId="2" applyNumberFormat="1" applyFont="1" applyAlignment="1">
      <alignment horizontal="center"/>
    </xf>
    <xf numFmtId="0" fontId="1" fillId="0" borderId="0" xfId="2"/>
    <xf numFmtId="4" fontId="11" fillId="0" borderId="5" xfId="2" applyNumberFormat="1" applyFont="1" applyBorder="1" applyAlignment="1">
      <alignment vertical="center"/>
    </xf>
    <xf numFmtId="0" fontId="1" fillId="0" borderId="0" xfId="2" applyAlignment="1">
      <alignment wrapText="1"/>
    </xf>
    <xf numFmtId="166" fontId="11" fillId="0" borderId="0" xfId="2" applyNumberFormat="1" applyFont="1" applyAlignment="1">
      <alignment horizontal="center" vertical="center"/>
    </xf>
    <xf numFmtId="0" fontId="11" fillId="0" borderId="0" xfId="2" applyFont="1" applyAlignment="1">
      <alignment vertical="center"/>
    </xf>
    <xf numFmtId="168" fontId="11" fillId="0" borderId="0" xfId="2" applyNumberFormat="1" applyFont="1" applyAlignment="1">
      <alignment vertical="center"/>
    </xf>
    <xf numFmtId="0" fontId="1" fillId="0" borderId="0" xfId="2" applyAlignment="1">
      <alignment vertical="center"/>
    </xf>
    <xf numFmtId="0" fontId="11" fillId="0" borderId="16" xfId="2" applyFont="1" applyBorder="1" applyAlignment="1">
      <alignment horizontal="centerContinuous" vertical="center"/>
    </xf>
    <xf numFmtId="0" fontId="11" fillId="0" borderId="17" xfId="2" applyFont="1" applyBorder="1" applyAlignment="1">
      <alignment horizontal="centerContinuous" vertical="center"/>
    </xf>
    <xf numFmtId="0" fontId="11" fillId="0" borderId="18" xfId="2" applyFont="1" applyBorder="1" applyAlignment="1">
      <alignment horizontal="centerContinuous" vertical="center"/>
    </xf>
    <xf numFmtId="0" fontId="28" fillId="0" borderId="0" xfId="2" applyFont="1" applyAlignment="1">
      <alignment vertical="center"/>
    </xf>
    <xf numFmtId="4" fontId="11" fillId="0" borderId="0" xfId="2" applyNumberFormat="1" applyFont="1" applyAlignment="1">
      <alignment vertical="center"/>
    </xf>
    <xf numFmtId="16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2" fillId="3" borderId="1" xfId="0" applyFont="1" applyFill="1" applyBorder="1"/>
    <xf numFmtId="0" fontId="0" fillId="3" borderId="4" xfId="0" applyFill="1" applyBorder="1"/>
    <xf numFmtId="7" fontId="32" fillId="3" borderId="17" xfId="0" applyNumberFormat="1" applyFont="1" applyFill="1" applyBorder="1"/>
    <xf numFmtId="0" fontId="9" fillId="0" borderId="0" xfId="0" applyFont="1"/>
    <xf numFmtId="166" fontId="0" fillId="0" borderId="0" xfId="0" applyNumberFormat="1" applyAlignment="1">
      <alignment horizontal="center"/>
    </xf>
    <xf numFmtId="0" fontId="28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5" fontId="11" fillId="0" borderId="5" xfId="0" applyNumberFormat="1" applyFont="1" applyBorder="1"/>
    <xf numFmtId="0" fontId="15" fillId="0" borderId="5" xfId="0" applyFont="1" applyBorder="1"/>
    <xf numFmtId="0" fontId="15" fillId="3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/>
    </xf>
    <xf numFmtId="169" fontId="0" fillId="4" borderId="0" xfId="0" applyNumberFormat="1" applyFill="1" applyAlignment="1">
      <alignment horizontal="center"/>
    </xf>
    <xf numFmtId="0" fontId="0" fillId="14" borderId="0" xfId="0" applyFill="1"/>
    <xf numFmtId="169" fontId="0" fillId="14" borderId="0" xfId="0" applyNumberFormat="1" applyFill="1" applyAlignment="1">
      <alignment horizontal="center"/>
    </xf>
    <xf numFmtId="0" fontId="27" fillId="14" borderId="0" xfId="0" applyFont="1" applyFill="1"/>
    <xf numFmtId="0" fontId="38" fillId="0" borderId="5" xfId="0" applyFont="1" applyBorder="1" applyAlignment="1">
      <alignment horizontal="center" vertical="center" wrapText="1"/>
    </xf>
    <xf numFmtId="165" fontId="11" fillId="3" borderId="5" xfId="0" applyNumberFormat="1" applyFont="1" applyFill="1" applyBorder="1"/>
    <xf numFmtId="169" fontId="27" fillId="4" borderId="0" xfId="0" applyNumberFormat="1" applyFont="1" applyFill="1"/>
    <xf numFmtId="166" fontId="11" fillId="0" borderId="5" xfId="0" applyNumberFormat="1" applyFont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" fillId="0" borderId="0" xfId="6"/>
    <xf numFmtId="166" fontId="11" fillId="0" borderId="0" xfId="6" applyNumberFormat="1" applyFont="1" applyAlignment="1">
      <alignment horizontal="center"/>
    </xf>
    <xf numFmtId="0" fontId="11" fillId="0" borderId="0" xfId="6" applyFont="1" applyAlignment="1">
      <alignment vertical="center"/>
    </xf>
    <xf numFmtId="166" fontId="11" fillId="0" borderId="0" xfId="6" applyNumberFormat="1" applyFont="1" applyAlignment="1">
      <alignment horizontal="center" vertical="center"/>
    </xf>
    <xf numFmtId="166" fontId="11" fillId="0" borderId="5" xfId="6" applyNumberFormat="1" applyFont="1" applyBorder="1" applyAlignment="1">
      <alignment horizontal="center" vertical="center"/>
    </xf>
    <xf numFmtId="0" fontId="1" fillId="0" borderId="0" xfId="6" applyAlignment="1">
      <alignment vertical="center"/>
    </xf>
    <xf numFmtId="165" fontId="5" fillId="0" borderId="5" xfId="7" applyNumberFormat="1" applyFont="1" applyBorder="1" applyAlignment="1">
      <alignment vertical="center"/>
    </xf>
    <xf numFmtId="168" fontId="10" fillId="0" borderId="5" xfId="6" applyNumberFormat="1" applyFont="1" applyBorder="1" applyAlignment="1">
      <alignment vertical="center"/>
    </xf>
    <xf numFmtId="0" fontId="15" fillId="0" borderId="0" xfId="7" applyFont="1" applyAlignment="1">
      <alignment vertical="center"/>
    </xf>
    <xf numFmtId="0" fontId="27" fillId="0" borderId="0" xfId="6" applyFont="1" applyAlignment="1">
      <alignment vertical="center"/>
    </xf>
    <xf numFmtId="168" fontId="11" fillId="0" borderId="0" xfId="6" applyNumberFormat="1" applyFont="1" applyAlignment="1">
      <alignment vertical="center"/>
    </xf>
    <xf numFmtId="0" fontId="28" fillId="0" borderId="0" xfId="6" applyFont="1" applyAlignment="1">
      <alignment vertical="center"/>
    </xf>
    <xf numFmtId="168" fontId="31" fillId="0" borderId="0" xfId="6" applyNumberFormat="1" applyFont="1" applyAlignment="1">
      <alignment vertical="center"/>
    </xf>
    <xf numFmtId="166" fontId="11" fillId="0" borderId="0" xfId="6" applyNumberFormat="1" applyFont="1" applyAlignment="1">
      <alignment vertical="center"/>
    </xf>
    <xf numFmtId="4" fontId="11" fillId="0" borderId="5" xfId="6" applyNumberFormat="1" applyFont="1" applyBorder="1" applyAlignment="1">
      <alignment vertical="center"/>
    </xf>
    <xf numFmtId="168" fontId="11" fillId="0" borderId="5" xfId="6" applyNumberFormat="1" applyFont="1" applyBorder="1" applyAlignment="1">
      <alignment vertical="center"/>
    </xf>
    <xf numFmtId="170" fontId="11" fillId="0" borderId="5" xfId="6" applyNumberFormat="1" applyFont="1" applyBorder="1" applyAlignment="1">
      <alignment horizontal="right" vertical="center"/>
    </xf>
    <xf numFmtId="0" fontId="11" fillId="0" borderId="0" xfId="2" applyFont="1" applyAlignment="1">
      <alignment horizontal="center" vertical="center"/>
    </xf>
    <xf numFmtId="0" fontId="3" fillId="0" borderId="5" xfId="0" applyFont="1" applyBorder="1" applyAlignment="1">
      <alignment horizontal="centerContinuous"/>
    </xf>
    <xf numFmtId="167" fontId="5" fillId="5" borderId="5" xfId="0" applyNumberFormat="1" applyFont="1" applyFill="1" applyBorder="1" applyAlignment="1">
      <alignment vertical="center"/>
    </xf>
    <xf numFmtId="166" fontId="11" fillId="0" borderId="5" xfId="0" applyNumberFormat="1" applyFont="1" applyBorder="1"/>
    <xf numFmtId="165" fontId="5" fillId="16" borderId="5" xfId="0" applyNumberFormat="1" applyFont="1" applyFill="1" applyBorder="1" applyAlignment="1">
      <alignment vertical="center"/>
    </xf>
    <xf numFmtId="168" fontId="1" fillId="0" borderId="5" xfId="2" applyNumberFormat="1" applyBorder="1" applyAlignment="1">
      <alignment vertical="center"/>
    </xf>
    <xf numFmtId="169" fontId="0" fillId="0" borderId="3" xfId="0" applyNumberFormat="1" applyBorder="1" applyAlignment="1">
      <alignment horizontal="center"/>
    </xf>
    <xf numFmtId="0" fontId="0" fillId="0" borderId="17" xfId="0" applyBorder="1"/>
    <xf numFmtId="169" fontId="0" fillId="0" borderId="17" xfId="0" applyNumberFormat="1" applyBorder="1" applyAlignment="1">
      <alignment horizontal="center"/>
    </xf>
    <xf numFmtId="168" fontId="27" fillId="17" borderId="5" xfId="2" applyNumberFormat="1" applyFont="1" applyFill="1" applyBorder="1" applyAlignment="1">
      <alignment vertical="center"/>
    </xf>
    <xf numFmtId="0" fontId="11" fillId="0" borderId="5" xfId="0" applyFont="1" applyBorder="1" applyAlignment="1">
      <alignment horizontal="center"/>
    </xf>
    <xf numFmtId="169" fontId="3" fillId="0" borderId="2" xfId="0" applyNumberFormat="1" applyFont="1" applyBorder="1" applyAlignment="1">
      <alignment horizontal="left"/>
    </xf>
    <xf numFmtId="169" fontId="39" fillId="0" borderId="5" xfId="0" applyNumberFormat="1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0" fillId="16" borderId="1" xfId="0" applyFill="1" applyBorder="1"/>
    <xf numFmtId="0" fontId="0" fillId="16" borderId="2" xfId="0" applyFill="1" applyBorder="1"/>
    <xf numFmtId="0" fontId="11" fillId="16" borderId="4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center" vertical="center"/>
    </xf>
    <xf numFmtId="0" fontId="11" fillId="16" borderId="2" xfId="2" applyFont="1" applyFill="1" applyBorder="1" applyAlignment="1">
      <alignment horizontal="right"/>
    </xf>
    <xf numFmtId="0" fontId="11" fillId="16" borderId="4" xfId="2" applyFont="1" applyFill="1" applyBorder="1" applyAlignment="1">
      <alignment horizontal="right"/>
    </xf>
    <xf numFmtId="165" fontId="3" fillId="17" borderId="5" xfId="0" applyNumberFormat="1" applyFont="1" applyFill="1" applyBorder="1" applyAlignment="1">
      <alignment vertical="center"/>
    </xf>
    <xf numFmtId="0" fontId="11" fillId="16" borderId="1" xfId="2" applyFont="1" applyFill="1" applyBorder="1"/>
    <xf numFmtId="165" fontId="72" fillId="17" borderId="5" xfId="0" applyNumberFormat="1" applyFont="1" applyFill="1" applyBorder="1"/>
    <xf numFmtId="168" fontId="1" fillId="4" borderId="5" xfId="6" applyNumberFormat="1" applyFill="1" applyBorder="1" applyAlignment="1">
      <alignment vertical="center"/>
    </xf>
    <xf numFmtId="168" fontId="1" fillId="0" borderId="5" xfId="6" applyNumberFormat="1" applyBorder="1" applyAlignment="1">
      <alignment vertical="center"/>
    </xf>
    <xf numFmtId="168" fontId="30" fillId="0" borderId="5" xfId="6" applyNumberFormat="1" applyFont="1" applyBorder="1" applyAlignment="1">
      <alignment vertical="center"/>
    </xf>
    <xf numFmtId="167" fontId="1" fillId="0" borderId="5" xfId="2" applyNumberFormat="1" applyBorder="1" applyAlignment="1">
      <alignment vertical="center"/>
    </xf>
    <xf numFmtId="0" fontId="11" fillId="0" borderId="32" xfId="8" applyFont="1" applyBorder="1" applyAlignment="1">
      <alignment horizontal="center" vertical="center" wrapText="1"/>
    </xf>
    <xf numFmtId="4" fontId="11" fillId="0" borderId="32" xfId="8" applyNumberFormat="1" applyFont="1" applyBorder="1" applyAlignment="1">
      <alignment vertical="center"/>
    </xf>
    <xf numFmtId="4" fontId="11" fillId="0" borderId="0" xfId="8" applyNumberFormat="1" applyFont="1" applyAlignment="1">
      <alignment vertical="center"/>
    </xf>
    <xf numFmtId="0" fontId="0" fillId="0" borderId="0" xfId="6" applyFont="1"/>
    <xf numFmtId="0" fontId="1" fillId="4" borderId="0" xfId="2" applyFill="1" applyAlignment="1">
      <alignment vertical="center"/>
    </xf>
    <xf numFmtId="0" fontId="0" fillId="4" borderId="0" xfId="2" applyFont="1" applyFill="1" applyAlignment="1">
      <alignment vertical="center"/>
    </xf>
    <xf numFmtId="0" fontId="88" fillId="0" borderId="1" xfId="0" applyFont="1" applyBorder="1"/>
    <xf numFmtId="165" fontId="24" fillId="0" borderId="5" xfId="7" applyNumberFormat="1" applyFont="1" applyBorder="1" applyAlignment="1">
      <alignment vertical="center"/>
    </xf>
    <xf numFmtId="0" fontId="0" fillId="7" borderId="1" xfId="0" applyFill="1" applyBorder="1"/>
    <xf numFmtId="169" fontId="0" fillId="7" borderId="2" xfId="0" applyNumberFormat="1" applyFill="1" applyBorder="1" applyAlignment="1">
      <alignment horizontal="center"/>
    </xf>
    <xf numFmtId="0" fontId="0" fillId="7" borderId="2" xfId="0" applyFill="1" applyBorder="1"/>
    <xf numFmtId="0" fontId="11" fillId="7" borderId="4" xfId="0" applyFont="1" applyFill="1" applyBorder="1" applyAlignment="1">
      <alignment horizontal="right"/>
    </xf>
    <xf numFmtId="169" fontId="0" fillId="0" borderId="2" xfId="0" applyNumberFormat="1" applyBorder="1" applyAlignment="1">
      <alignment horizontal="center"/>
    </xf>
    <xf numFmtId="7" fontId="32" fillId="3" borderId="2" xfId="0" applyNumberFormat="1" applyFont="1" applyFill="1" applyBorder="1" applyAlignment="1">
      <alignment horizontal="left"/>
    </xf>
    <xf numFmtId="7" fontId="32" fillId="3" borderId="3" xfId="0" applyNumberFormat="1" applyFont="1" applyFill="1" applyBorder="1" applyAlignment="1">
      <alignment horizontal="left"/>
    </xf>
    <xf numFmtId="7" fontId="32" fillId="3" borderId="1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20" xfId="0" applyBorder="1"/>
    <xf numFmtId="0" fontId="27" fillId="0" borderId="1" xfId="0" applyFont="1" applyBorder="1" applyAlignment="1">
      <alignment horizontal="centerContinuous"/>
    </xf>
    <xf numFmtId="0" fontId="9" fillId="0" borderId="20" xfId="0" applyFont="1" applyBorder="1"/>
    <xf numFmtId="0" fontId="11" fillId="17" borderId="32" xfId="6" applyFont="1" applyFill="1" applyBorder="1" applyAlignment="1">
      <alignment vertical="top" wrapText="1"/>
    </xf>
    <xf numFmtId="0" fontId="11" fillId="17" borderId="14" xfId="6" applyFont="1" applyFill="1" applyBorder="1" applyAlignment="1">
      <alignment vertical="top" wrapText="1"/>
    </xf>
    <xf numFmtId="166" fontId="11" fillId="20" borderId="0" xfId="2" applyNumberFormat="1" applyFont="1" applyFill="1" applyAlignment="1">
      <alignment vertical="center"/>
    </xf>
    <xf numFmtId="166" fontId="11" fillId="20" borderId="0" xfId="2" applyNumberFormat="1" applyFont="1" applyFill="1" applyAlignment="1">
      <alignment horizontal="center" vertical="center"/>
    </xf>
    <xf numFmtId="0" fontId="11" fillId="20" borderId="0" xfId="2" applyFont="1" applyFill="1" applyAlignment="1">
      <alignment vertical="center"/>
    </xf>
    <xf numFmtId="0" fontId="1" fillId="20" borderId="0" xfId="2" applyFill="1" applyAlignment="1">
      <alignment vertical="center"/>
    </xf>
    <xf numFmtId="168" fontId="76" fillId="17" borderId="5" xfId="2" applyNumberFormat="1" applyFont="1" applyFill="1" applyBorder="1" applyAlignment="1">
      <alignment vertical="center"/>
    </xf>
    <xf numFmtId="166" fontId="11" fillId="20" borderId="66" xfId="2" applyNumberFormat="1" applyFont="1" applyFill="1" applyBorder="1" applyAlignment="1">
      <alignment vertical="center"/>
    </xf>
    <xf numFmtId="0" fontId="89" fillId="2" borderId="0" xfId="0" applyFont="1" applyFill="1"/>
    <xf numFmtId="0" fontId="30" fillId="0" borderId="0" xfId="0" applyFont="1"/>
    <xf numFmtId="4" fontId="31" fillId="0" borderId="5" xfId="2" applyNumberFormat="1" applyFont="1" applyBorder="1" applyAlignment="1">
      <alignment vertical="center"/>
    </xf>
    <xf numFmtId="169" fontId="11" fillId="4" borderId="5" xfId="2" applyNumberFormat="1" applyFont="1" applyFill="1" applyBorder="1" applyAlignment="1">
      <alignment horizontal="center" vertical="center"/>
    </xf>
    <xf numFmtId="0" fontId="39" fillId="0" borderId="5" xfId="0" applyFont="1" applyBorder="1"/>
    <xf numFmtId="0" fontId="39" fillId="0" borderId="0" xfId="0" applyFont="1"/>
    <xf numFmtId="165" fontId="5" fillId="0" borderId="67" xfId="0" applyNumberFormat="1" applyFont="1" applyBorder="1" applyAlignment="1">
      <alignment horizontal="right"/>
    </xf>
    <xf numFmtId="164" fontId="0" fillId="0" borderId="67" xfId="0" quotePrefix="1" applyNumberFormat="1" applyBorder="1" applyAlignment="1">
      <alignment horizontal="center" vertical="center"/>
    </xf>
    <xf numFmtId="0" fontId="0" fillId="0" borderId="70" xfId="0" applyBorder="1"/>
    <xf numFmtId="0" fontId="0" fillId="0" borderId="69" xfId="0" applyBorder="1"/>
    <xf numFmtId="0" fontId="0" fillId="0" borderId="68" xfId="0" applyBorder="1"/>
    <xf numFmtId="165" fontId="11" fillId="0" borderId="0" xfId="0" applyNumberFormat="1" applyFont="1"/>
    <xf numFmtId="0" fontId="27" fillId="6" borderId="0" xfId="0" applyFont="1" applyFill="1"/>
    <xf numFmtId="0" fontId="11" fillId="0" borderId="14" xfId="2" applyFont="1" applyBorder="1" applyAlignment="1">
      <alignment horizontal="center" vertical="center" wrapText="1"/>
    </xf>
    <xf numFmtId="0" fontId="28" fillId="4" borderId="14" xfId="2" applyFont="1" applyFill="1" applyBorder="1" applyAlignment="1">
      <alignment horizontal="center" vertical="center" wrapText="1"/>
    </xf>
    <xf numFmtId="0" fontId="11" fillId="4" borderId="14" xfId="2" applyFont="1" applyFill="1" applyBorder="1" applyAlignment="1">
      <alignment horizontal="center" vertical="center" wrapText="1"/>
    </xf>
    <xf numFmtId="0" fontId="11" fillId="0" borderId="62" xfId="2" applyFont="1" applyBorder="1" applyAlignment="1">
      <alignment horizontal="center" vertical="center" wrapText="1"/>
    </xf>
    <xf numFmtId="0" fontId="12" fillId="0" borderId="0" xfId="2" applyFont="1" applyAlignment="1">
      <alignment vertical="center"/>
    </xf>
    <xf numFmtId="168" fontId="1" fillId="0" borderId="0" xfId="6" applyNumberFormat="1" applyAlignment="1">
      <alignment vertical="center"/>
    </xf>
    <xf numFmtId="168" fontId="30" fillId="0" borderId="0" xfId="6" applyNumberFormat="1" applyFont="1" applyAlignment="1">
      <alignment vertical="center"/>
    </xf>
    <xf numFmtId="168" fontId="1" fillId="0" borderId="0" xfId="2" applyNumberFormat="1" applyAlignment="1">
      <alignment vertical="center"/>
    </xf>
    <xf numFmtId="167" fontId="1" fillId="0" borderId="0" xfId="2" applyNumberFormat="1" applyAlignment="1">
      <alignment vertical="center"/>
    </xf>
    <xf numFmtId="167" fontId="5" fillId="0" borderId="0" xfId="7" applyNumberFormat="1" applyFont="1" applyAlignment="1">
      <alignment vertical="center"/>
    </xf>
    <xf numFmtId="0" fontId="37" fillId="17" borderId="32" xfId="6" applyFont="1" applyFill="1" applyBorder="1" applyAlignment="1">
      <alignment vertical="top" wrapText="1"/>
    </xf>
    <xf numFmtId="0" fontId="96" fillId="0" borderId="5" xfId="0" applyFont="1" applyBorder="1" applyAlignment="1">
      <alignment vertical="center" wrapText="1"/>
    </xf>
    <xf numFmtId="0" fontId="39" fillId="4" borderId="5" xfId="0" applyFont="1" applyFill="1" applyBorder="1" applyAlignment="1">
      <alignment horizontal="center"/>
    </xf>
    <xf numFmtId="169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165" fontId="39" fillId="0" borderId="5" xfId="0" applyNumberFormat="1" applyFont="1" applyBorder="1"/>
    <xf numFmtId="165" fontId="39" fillId="4" borderId="5" xfId="0" applyNumberFormat="1" applyFont="1" applyFill="1" applyBorder="1"/>
    <xf numFmtId="166" fontId="39" fillId="0" borderId="5" xfId="0" applyNumberFormat="1" applyFont="1" applyBorder="1" applyAlignment="1">
      <alignment horizontal="center"/>
    </xf>
    <xf numFmtId="166" fontId="39" fillId="4" borderId="5" xfId="0" applyNumberFormat="1" applyFont="1" applyFill="1" applyBorder="1" applyAlignment="1">
      <alignment horizontal="center"/>
    </xf>
    <xf numFmtId="166" fontId="39" fillId="3" borderId="5" xfId="0" applyNumberFormat="1" applyFont="1" applyFill="1" applyBorder="1" applyAlignment="1">
      <alignment horizontal="center"/>
    </xf>
    <xf numFmtId="166" fontId="39" fillId="0" borderId="5" xfId="0" applyNumberFormat="1" applyFont="1" applyBorder="1"/>
    <xf numFmtId="0" fontId="39" fillId="4" borderId="4" xfId="0" applyFont="1" applyFill="1" applyBorder="1" applyAlignment="1">
      <alignment horizontal="center"/>
    </xf>
    <xf numFmtId="169" fontId="39" fillId="0" borderId="4" xfId="0" applyNumberFormat="1" applyFont="1" applyBorder="1" applyAlignment="1">
      <alignment horizontal="center"/>
    </xf>
    <xf numFmtId="165" fontId="39" fillId="3" borderId="5" xfId="0" applyNumberFormat="1" applyFont="1" applyFill="1" applyBorder="1"/>
    <xf numFmtId="165" fontId="39" fillId="15" borderId="5" xfId="0" applyNumberFormat="1" applyFont="1" applyFill="1" applyBorder="1"/>
    <xf numFmtId="165" fontId="39" fillId="6" borderId="5" xfId="0" applyNumberFormat="1" applyFont="1" applyFill="1" applyBorder="1"/>
    <xf numFmtId="169" fontId="39" fillId="5" borderId="0" xfId="0" applyNumberFormat="1" applyFont="1" applyFill="1"/>
    <xf numFmtId="0" fontId="39" fillId="5" borderId="0" xfId="0" applyFont="1" applyFill="1"/>
    <xf numFmtId="0" fontId="39" fillId="6" borderId="0" xfId="0" applyFont="1" applyFill="1"/>
    <xf numFmtId="0" fontId="39" fillId="0" borderId="1" xfId="0" applyFont="1" applyBorder="1"/>
    <xf numFmtId="0" fontId="39" fillId="19" borderId="5" xfId="0" applyFont="1" applyFill="1" applyBorder="1"/>
    <xf numFmtId="0" fontId="39" fillId="3" borderId="5" xfId="0" applyFont="1" applyFill="1" applyBorder="1"/>
    <xf numFmtId="169" fontId="39" fillId="0" borderId="0" xfId="0" applyNumberFormat="1" applyFont="1" applyAlignment="1">
      <alignment horizontal="center"/>
    </xf>
    <xf numFmtId="165" fontId="39" fillId="0" borderId="0" xfId="0" applyNumberFormat="1" applyFont="1"/>
    <xf numFmtId="166" fontId="39" fillId="0" borderId="0" xfId="0" applyNumberFormat="1" applyFont="1" applyAlignment="1">
      <alignment horizontal="center"/>
    </xf>
    <xf numFmtId="165" fontId="39" fillId="4" borderId="0" xfId="0" applyNumberFormat="1" applyFont="1" applyFill="1"/>
    <xf numFmtId="166" fontId="39" fillId="20" borderId="65" xfId="2" applyNumberFormat="1" applyFont="1" applyFill="1" applyBorder="1" applyAlignment="1">
      <alignment horizontal="center" vertical="center"/>
    </xf>
    <xf numFmtId="0" fontId="39" fillId="20" borderId="65" xfId="2" applyFont="1" applyFill="1" applyBorder="1" applyAlignment="1">
      <alignment vertical="center"/>
    </xf>
    <xf numFmtId="0" fontId="39" fillId="20" borderId="64" xfId="2" applyFont="1" applyFill="1" applyBorder="1" applyAlignment="1">
      <alignment vertical="center"/>
    </xf>
    <xf numFmtId="0" fontId="39" fillId="10" borderId="0" xfId="0" applyFont="1" applyFill="1" applyAlignment="1">
      <alignment vertical="center"/>
    </xf>
    <xf numFmtId="169" fontId="35" fillId="0" borderId="0" xfId="0" applyNumberFormat="1" applyFont="1"/>
    <xf numFmtId="169" fontId="11" fillId="4" borderId="63" xfId="0" applyNumberFormat="1" applyFont="1" applyFill="1" applyBorder="1" applyAlignment="1">
      <alignment vertical="center"/>
    </xf>
    <xf numFmtId="0" fontId="39" fillId="21" borderId="1" xfId="2" applyFont="1" applyFill="1" applyBorder="1" applyAlignment="1">
      <alignment vertical="center"/>
    </xf>
    <xf numFmtId="168" fontId="11" fillId="21" borderId="2" xfId="2" applyNumberFormat="1" applyFont="1" applyFill="1" applyBorder="1" applyAlignment="1">
      <alignment vertical="center"/>
    </xf>
    <xf numFmtId="168" fontId="11" fillId="21" borderId="4" xfId="2" applyNumberFormat="1" applyFont="1" applyFill="1" applyBorder="1" applyAlignment="1">
      <alignment vertical="center"/>
    </xf>
    <xf numFmtId="0" fontId="11" fillId="21" borderId="2" xfId="2" applyFont="1" applyFill="1" applyBorder="1"/>
    <xf numFmtId="0" fontId="27" fillId="21" borderId="1" xfId="0" applyFont="1" applyFill="1" applyBorder="1" applyAlignment="1">
      <alignment horizontal="centerContinuous"/>
    </xf>
    <xf numFmtId="0" fontId="0" fillId="21" borderId="4" xfId="0" applyFill="1" applyBorder="1" applyAlignment="1">
      <alignment horizontal="centerContinuous"/>
    </xf>
    <xf numFmtId="0" fontId="11" fillId="21" borderId="4" xfId="2" applyFont="1" applyFill="1" applyBorder="1"/>
    <xf numFmtId="0" fontId="76" fillId="21" borderId="5" xfId="0" applyFont="1" applyFill="1" applyBorder="1" applyAlignment="1">
      <alignment horizontal="center" vertical="center"/>
    </xf>
    <xf numFmtId="0" fontId="97" fillId="22" borderId="0" xfId="2" applyFont="1" applyFill="1"/>
    <xf numFmtId="0" fontId="11" fillId="22" borderId="0" xfId="2" applyFont="1" applyFill="1"/>
    <xf numFmtId="0" fontId="10" fillId="0" borderId="62" xfId="2" applyFont="1" applyBorder="1" applyAlignment="1">
      <alignment horizontal="center" vertical="center" wrapText="1"/>
    </xf>
    <xf numFmtId="0" fontId="1" fillId="0" borderId="62" xfId="2" applyBorder="1" applyAlignment="1">
      <alignment vertical="center"/>
    </xf>
    <xf numFmtId="0" fontId="1" fillId="0" borderId="62" xfId="6" applyBorder="1" applyAlignment="1">
      <alignment vertical="center"/>
    </xf>
    <xf numFmtId="0" fontId="28" fillId="3" borderId="62" xfId="6" applyFont="1" applyFill="1" applyBorder="1" applyAlignment="1">
      <alignment vertical="center"/>
    </xf>
    <xf numFmtId="0" fontId="11" fillId="0" borderId="62" xfId="2" applyFont="1" applyBorder="1" applyAlignment="1">
      <alignment horizontal="centerContinuous" vertical="center"/>
    </xf>
    <xf numFmtId="0" fontId="28" fillId="4" borderId="62" xfId="6" applyFont="1" applyFill="1" applyBorder="1" applyAlignment="1">
      <alignment vertical="center"/>
    </xf>
    <xf numFmtId="0" fontId="28" fillId="0" borderId="62" xfId="6" applyFont="1" applyBorder="1" applyAlignment="1">
      <alignment vertical="center"/>
    </xf>
    <xf numFmtId="0" fontId="28" fillId="0" borderId="62" xfId="2" applyFont="1" applyBorder="1" applyAlignment="1">
      <alignment vertical="center"/>
    </xf>
    <xf numFmtId="0" fontId="9" fillId="4" borderId="0" xfId="2" applyFont="1" applyFill="1" applyAlignment="1">
      <alignment horizontal="center" vertical="center" wrapText="1"/>
    </xf>
    <xf numFmtId="4" fontId="11" fillId="4" borderId="5" xfId="6" applyNumberFormat="1" applyFont="1" applyFill="1" applyBorder="1" applyAlignment="1">
      <alignment vertical="center"/>
    </xf>
    <xf numFmtId="0" fontId="11" fillId="0" borderId="81" xfId="0" applyFont="1" applyBorder="1" applyAlignment="1">
      <alignment vertical="top" wrapText="1"/>
    </xf>
    <xf numFmtId="0" fontId="35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9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6" fontId="11" fillId="0" borderId="83" xfId="6" applyNumberFormat="1" applyFont="1" applyBorder="1" applyAlignment="1">
      <alignment horizontal="center" vertical="center"/>
    </xf>
    <xf numFmtId="0" fontId="9" fillId="17" borderId="32" xfId="6" applyFont="1" applyFill="1" applyBorder="1" applyAlignment="1">
      <alignment vertical="top" wrapText="1"/>
    </xf>
    <xf numFmtId="169" fontId="0" fillId="0" borderId="84" xfId="0" applyNumberFormat="1" applyBorder="1" applyAlignment="1">
      <alignment horizontal="center"/>
    </xf>
    <xf numFmtId="0" fontId="11" fillId="0" borderId="0" xfId="0" applyFont="1" applyAlignment="1">
      <alignment vertical="top" wrapText="1"/>
    </xf>
    <xf numFmtId="0" fontId="11" fillId="10" borderId="0" xfId="0" applyFont="1" applyFill="1" applyAlignment="1">
      <alignment horizontal="left" vertical="top" wrapText="1"/>
    </xf>
    <xf numFmtId="0" fontId="35" fillId="4" borderId="87" xfId="2" applyFont="1" applyFill="1" applyBorder="1" applyAlignment="1">
      <alignment horizontal="centerContinuous" vertical="center"/>
    </xf>
    <xf numFmtId="0" fontId="11" fillId="4" borderId="88" xfId="2" applyFont="1" applyFill="1" applyBorder="1" applyAlignment="1">
      <alignment horizontal="centerContinuous" vertical="center"/>
    </xf>
    <xf numFmtId="0" fontId="11" fillId="4" borderId="89" xfId="2" applyFont="1" applyFill="1" applyBorder="1" applyAlignment="1">
      <alignment horizontal="centerContinuous" vertical="center"/>
    </xf>
    <xf numFmtId="0" fontId="27" fillId="0" borderId="87" xfId="6" applyFont="1" applyBorder="1" applyAlignment="1">
      <alignment vertical="center"/>
    </xf>
    <xf numFmtId="0" fontId="1" fillId="0" borderId="88" xfId="6" applyBorder="1" applyAlignment="1">
      <alignment horizontal="centerContinuous" vertical="center"/>
    </xf>
    <xf numFmtId="0" fontId="1" fillId="0" borderId="89" xfId="6" applyBorder="1" applyAlignment="1">
      <alignment horizontal="center" vertical="center"/>
    </xf>
    <xf numFmtId="0" fontId="1" fillId="0" borderId="88" xfId="6" applyBorder="1" applyAlignment="1">
      <alignment horizontal="center" vertical="center"/>
    </xf>
    <xf numFmtId="0" fontId="35" fillId="4" borderId="88" xfId="2" applyFont="1" applyFill="1" applyBorder="1" applyAlignment="1">
      <alignment horizontal="centerContinuous" vertical="center"/>
    </xf>
    <xf numFmtId="0" fontId="35" fillId="4" borderId="89" xfId="2" applyFont="1" applyFill="1" applyBorder="1" applyAlignment="1">
      <alignment horizontal="centerContinuous" vertical="center"/>
    </xf>
    <xf numFmtId="0" fontId="11" fillId="4" borderId="90" xfId="2" applyFont="1" applyFill="1" applyBorder="1" applyAlignment="1">
      <alignment horizontal="center" vertical="center" wrapText="1"/>
    </xf>
    <xf numFmtId="0" fontId="11" fillId="0" borderId="90" xfId="2" applyFont="1" applyBorder="1" applyAlignment="1">
      <alignment horizontal="center" vertical="center" wrapText="1"/>
    </xf>
    <xf numFmtId="0" fontId="28" fillId="4" borderId="90" xfId="2" applyFont="1" applyFill="1" applyBorder="1" applyAlignment="1">
      <alignment horizontal="center" vertical="center" wrapText="1"/>
    </xf>
    <xf numFmtId="0" fontId="11" fillId="0" borderId="87" xfId="2" applyFont="1" applyBorder="1" applyAlignment="1">
      <alignment horizontal="centerContinuous" vertical="center"/>
    </xf>
    <xf numFmtId="0" fontId="11" fillId="0" borderId="89" xfId="2" applyFont="1" applyBorder="1" applyAlignment="1">
      <alignment horizontal="centerContinuous" vertical="center"/>
    </xf>
    <xf numFmtId="0" fontId="11" fillId="0" borderId="89" xfId="8" applyFont="1" applyBorder="1" applyAlignment="1">
      <alignment horizontal="center" vertical="center" wrapText="1"/>
    </xf>
    <xf numFmtId="0" fontId="11" fillId="0" borderId="86" xfId="8" applyFont="1" applyBorder="1" applyAlignment="1">
      <alignment horizontal="center" vertical="center" wrapText="1"/>
    </xf>
    <xf numFmtId="0" fontId="11" fillId="0" borderId="87" xfId="8" applyFont="1" applyBorder="1" applyAlignment="1">
      <alignment horizontal="center" vertical="center" wrapText="1"/>
    </xf>
    <xf numFmtId="166" fontId="11" fillId="0" borderId="86" xfId="2" applyNumberFormat="1" applyFont="1" applyBorder="1" applyAlignment="1">
      <alignment horizontal="center" vertical="center" wrapText="1"/>
    </xf>
    <xf numFmtId="0" fontId="11" fillId="0" borderId="86" xfId="2" applyFont="1" applyBorder="1" applyAlignment="1">
      <alignment horizontal="center" vertical="center" wrapText="1"/>
    </xf>
    <xf numFmtId="0" fontId="9" fillId="0" borderId="86" xfId="2" applyFont="1" applyBorder="1" applyAlignment="1">
      <alignment horizontal="center" vertical="center" wrapText="1"/>
    </xf>
    <xf numFmtId="0" fontId="11" fillId="17" borderId="90" xfId="6" applyFont="1" applyFill="1" applyBorder="1" applyAlignment="1">
      <alignment vertical="top" wrapText="1"/>
    </xf>
    <xf numFmtId="0" fontId="28" fillId="0" borderId="86" xfId="2" applyFont="1" applyBorder="1" applyAlignment="1">
      <alignment horizontal="center" vertical="center" wrapText="1"/>
    </xf>
    <xf numFmtId="166" fontId="11" fillId="0" borderId="86" xfId="6" applyNumberFormat="1" applyFont="1" applyBorder="1" applyAlignment="1">
      <alignment horizontal="center" vertical="center"/>
    </xf>
    <xf numFmtId="166" fontId="11" fillId="4" borderId="86" xfId="2" applyNumberFormat="1" applyFont="1" applyFill="1" applyBorder="1" applyAlignment="1">
      <alignment horizontal="center" vertical="center" wrapText="1"/>
    </xf>
    <xf numFmtId="0" fontId="11" fillId="0" borderId="87" xfId="2" applyFont="1" applyBorder="1" applyAlignment="1">
      <alignment horizontal="center" vertical="center" wrapText="1"/>
    </xf>
    <xf numFmtId="168" fontId="11" fillId="0" borderId="86" xfId="8" applyNumberFormat="1" applyFont="1" applyBorder="1" applyAlignment="1">
      <alignment vertical="center"/>
    </xf>
    <xf numFmtId="4" fontId="11" fillId="0" borderId="86" xfId="8" applyNumberFormat="1" applyFont="1" applyBorder="1" applyAlignment="1">
      <alignment vertical="center"/>
    </xf>
    <xf numFmtId="0" fontId="1" fillId="0" borderId="86" xfId="8" applyBorder="1" applyAlignment="1">
      <alignment vertical="center"/>
    </xf>
    <xf numFmtId="1" fontId="11" fillId="0" borderId="86" xfId="2" applyNumberFormat="1" applyFont="1" applyBorder="1" applyAlignment="1">
      <alignment horizontal="center" vertical="center"/>
    </xf>
    <xf numFmtId="168" fontId="11" fillId="0" borderId="86" xfId="2" applyNumberFormat="1" applyFont="1" applyBorder="1" applyAlignment="1">
      <alignment vertical="center"/>
    </xf>
    <xf numFmtId="170" fontId="11" fillId="0" borderId="86" xfId="2" applyNumberFormat="1" applyFont="1" applyBorder="1" applyAlignment="1">
      <alignment vertical="center"/>
    </xf>
    <xf numFmtId="4" fontId="11" fillId="0" borderId="86" xfId="2" applyNumberFormat="1" applyFont="1" applyBorder="1" applyAlignment="1">
      <alignment vertical="center"/>
    </xf>
    <xf numFmtId="0" fontId="1" fillId="4" borderId="86" xfId="6" applyFill="1" applyBorder="1" applyAlignment="1">
      <alignment horizontal="center" vertical="center"/>
    </xf>
    <xf numFmtId="168" fontId="1" fillId="4" borderId="86" xfId="6" applyNumberFormat="1" applyFill="1" applyBorder="1" applyAlignment="1">
      <alignment vertical="center"/>
    </xf>
    <xf numFmtId="169" fontId="39" fillId="5" borderId="86" xfId="2" applyNumberFormat="1" applyFont="1" applyFill="1" applyBorder="1" applyAlignment="1">
      <alignment horizontal="center" vertical="center"/>
    </xf>
    <xf numFmtId="4" fontId="39" fillId="5" borderId="86" xfId="2" applyNumberFormat="1" applyFont="1" applyFill="1" applyBorder="1" applyAlignment="1">
      <alignment horizontal="center" vertical="center"/>
    </xf>
    <xf numFmtId="166" fontId="11" fillId="0" borderId="86" xfId="2" applyNumberFormat="1" applyFont="1" applyBorder="1" applyAlignment="1">
      <alignment horizontal="center" vertical="center"/>
    </xf>
    <xf numFmtId="171" fontId="11" fillId="0" borderId="86" xfId="8" applyNumberFormat="1" applyFont="1" applyBorder="1" applyAlignment="1">
      <alignment vertical="center"/>
    </xf>
    <xf numFmtId="0" fontId="1" fillId="0" borderId="86" xfId="6" applyBorder="1" applyAlignment="1">
      <alignment horizontal="center" vertical="center"/>
    </xf>
    <xf numFmtId="168" fontId="1" fillId="0" borderId="86" xfId="6" applyNumberFormat="1" applyBorder="1" applyAlignment="1">
      <alignment vertical="center"/>
    </xf>
    <xf numFmtId="0" fontId="76" fillId="0" borderId="86" xfId="6" applyFont="1" applyBorder="1" applyAlignment="1">
      <alignment vertical="center" wrapText="1"/>
    </xf>
    <xf numFmtId="168" fontId="30" fillId="0" borderId="86" xfId="6" applyNumberFormat="1" applyFont="1" applyBorder="1" applyAlignment="1">
      <alignment vertical="center"/>
    </xf>
    <xf numFmtId="170" fontId="11" fillId="0" borderId="86" xfId="2" applyNumberFormat="1" applyFont="1" applyBorder="1" applyAlignment="1">
      <alignment horizontal="right" vertical="center"/>
    </xf>
    <xf numFmtId="172" fontId="11" fillId="0" borderId="86" xfId="8" applyNumberFormat="1" applyFont="1" applyBorder="1" applyAlignment="1">
      <alignment vertical="center"/>
    </xf>
    <xf numFmtId="168" fontId="11" fillId="0" borderId="86" xfId="6" applyNumberFormat="1" applyFont="1" applyBorder="1" applyAlignment="1">
      <alignment vertical="center"/>
    </xf>
    <xf numFmtId="170" fontId="11" fillId="0" borderId="86" xfId="6" applyNumberFormat="1" applyFont="1" applyBorder="1" applyAlignment="1">
      <alignment horizontal="right" vertical="center"/>
    </xf>
    <xf numFmtId="4" fontId="11" fillId="0" borderId="86" xfId="6" applyNumberFormat="1" applyFont="1" applyBorder="1" applyAlignment="1">
      <alignment vertical="center"/>
    </xf>
    <xf numFmtId="4" fontId="27" fillId="14" borderId="86" xfId="8" applyNumberFormat="1" applyFont="1" applyFill="1" applyBorder="1" applyAlignment="1">
      <alignment vertical="center"/>
    </xf>
    <xf numFmtId="0" fontId="28" fillId="0" borderId="86" xfId="8" applyFont="1" applyBorder="1" applyAlignment="1">
      <alignment horizontal="center" vertical="center" wrapText="1"/>
    </xf>
    <xf numFmtId="4" fontId="9" fillId="5" borderId="86" xfId="8" applyNumberFormat="1" applyFont="1" applyFill="1" applyBorder="1" applyAlignment="1">
      <alignment vertical="center"/>
    </xf>
    <xf numFmtId="166" fontId="11" fillId="4" borderId="86" xfId="2" applyNumberFormat="1" applyFont="1" applyFill="1" applyBorder="1" applyAlignment="1">
      <alignment horizontal="center" vertical="center"/>
    </xf>
    <xf numFmtId="171" fontId="11" fillId="0" borderId="88" xfId="8" applyNumberFormat="1" applyFont="1" applyBorder="1" applyAlignment="1">
      <alignment vertical="center"/>
    </xf>
    <xf numFmtId="4" fontId="11" fillId="0" borderId="88" xfId="8" applyNumberFormat="1" applyFont="1" applyBorder="1" applyAlignment="1">
      <alignment vertical="center"/>
    </xf>
    <xf numFmtId="168" fontId="11" fillId="0" borderId="88" xfId="8" applyNumberFormat="1" applyFont="1" applyBorder="1" applyAlignment="1">
      <alignment vertical="center"/>
    </xf>
    <xf numFmtId="168" fontId="11" fillId="0" borderId="89" xfId="8" applyNumberFormat="1" applyFont="1" applyBorder="1" applyAlignment="1">
      <alignment vertical="center"/>
    </xf>
    <xf numFmtId="0" fontId="27" fillId="0" borderId="89" xfId="6" applyFont="1" applyBorder="1" applyAlignment="1">
      <alignment vertical="center"/>
    </xf>
    <xf numFmtId="0" fontId="27" fillId="18" borderId="87" xfId="6" applyFont="1" applyFill="1" applyBorder="1" applyAlignment="1">
      <alignment vertical="center"/>
    </xf>
    <xf numFmtId="0" fontId="27" fillId="18" borderId="89" xfId="6" applyFont="1" applyFill="1" applyBorder="1" applyAlignment="1">
      <alignment vertical="center"/>
    </xf>
    <xf numFmtId="0" fontId="27" fillId="0" borderId="87" xfId="6" applyFont="1" applyBorder="1"/>
    <xf numFmtId="0" fontId="1" fillId="0" borderId="88" xfId="6" applyBorder="1"/>
    <xf numFmtId="166" fontId="11" fillId="0" borderId="89" xfId="6" applyNumberFormat="1" applyFont="1" applyBorder="1" applyAlignment="1">
      <alignment horizontal="center"/>
    </xf>
    <xf numFmtId="0" fontId="35" fillId="0" borderId="87" xfId="6" applyFont="1" applyBorder="1" applyAlignment="1">
      <alignment vertical="center"/>
    </xf>
    <xf numFmtId="0" fontId="87" fillId="0" borderId="87" xfId="6" applyFont="1" applyBorder="1" applyAlignment="1">
      <alignment vertical="center"/>
    </xf>
    <xf numFmtId="4" fontId="11" fillId="0" borderId="88" xfId="8" applyNumberFormat="1" applyFont="1" applyBorder="1" applyAlignment="1">
      <alignment horizontal="center" vertical="center"/>
    </xf>
    <xf numFmtId="4" fontId="11" fillId="0" borderId="89" xfId="8" applyNumberFormat="1" applyFont="1" applyBorder="1" applyAlignment="1">
      <alignment horizontal="center" vertical="center"/>
    </xf>
    <xf numFmtId="0" fontId="15" fillId="0" borderId="86" xfId="4" applyFont="1" applyBorder="1" applyAlignment="1">
      <alignment vertical="center"/>
    </xf>
    <xf numFmtId="168" fontId="1" fillId="0" borderId="86" xfId="2" applyNumberFormat="1" applyBorder="1" applyAlignment="1">
      <alignment vertical="center"/>
    </xf>
    <xf numFmtId="0" fontId="4" fillId="0" borderId="86" xfId="4" applyFont="1" applyBorder="1" applyAlignment="1">
      <alignment vertical="center"/>
    </xf>
    <xf numFmtId="167" fontId="1" fillId="0" borderId="86" xfId="2" applyNumberFormat="1" applyBorder="1" applyAlignment="1">
      <alignment vertical="center"/>
    </xf>
    <xf numFmtId="166" fontId="11" fillId="3" borderId="86" xfId="6" applyNumberFormat="1" applyFont="1" applyFill="1" applyBorder="1" applyAlignment="1">
      <alignment horizontal="center" vertical="center"/>
    </xf>
    <xf numFmtId="168" fontId="11" fillId="3" borderId="86" xfId="6" applyNumberFormat="1" applyFont="1" applyFill="1" applyBorder="1" applyAlignment="1">
      <alignment vertical="center"/>
    </xf>
    <xf numFmtId="4" fontId="11" fillId="3" borderId="86" xfId="6" applyNumberFormat="1" applyFont="1" applyFill="1" applyBorder="1" applyAlignment="1">
      <alignment vertical="center"/>
    </xf>
    <xf numFmtId="166" fontId="11" fillId="4" borderId="86" xfId="6" applyNumberFormat="1" applyFont="1" applyFill="1" applyBorder="1" applyAlignment="1">
      <alignment horizontal="center" vertical="center"/>
    </xf>
    <xf numFmtId="166" fontId="28" fillId="4" borderId="86" xfId="6" applyNumberFormat="1" applyFont="1" applyFill="1" applyBorder="1" applyAlignment="1">
      <alignment horizontal="center" vertical="center" wrapText="1"/>
    </xf>
    <xf numFmtId="169" fontId="11" fillId="4" borderId="86" xfId="2" applyNumberFormat="1" applyFont="1" applyFill="1" applyBorder="1" applyAlignment="1">
      <alignment horizontal="center" vertical="center"/>
    </xf>
    <xf numFmtId="4" fontId="31" fillId="0" borderId="86" xfId="2" applyNumberFormat="1" applyFont="1" applyBorder="1" applyAlignment="1">
      <alignment vertical="center"/>
    </xf>
    <xf numFmtId="166" fontId="11" fillId="3" borderId="0" xfId="6" applyNumberFormat="1" applyFont="1" applyFill="1" applyAlignment="1">
      <alignment horizontal="center" vertical="center"/>
    </xf>
    <xf numFmtId="0" fontId="11" fillId="3" borderId="0" xfId="6" applyFont="1" applyFill="1" applyAlignment="1">
      <alignment vertical="center"/>
    </xf>
    <xf numFmtId="168" fontId="11" fillId="3" borderId="0" xfId="6" applyNumberFormat="1" applyFont="1" applyFill="1" applyAlignment="1">
      <alignment vertical="center"/>
    </xf>
    <xf numFmtId="0" fontId="78" fillId="0" borderId="0" xfId="2" applyFont="1" applyAlignment="1">
      <alignment vertical="center"/>
    </xf>
    <xf numFmtId="0" fontId="78" fillId="3" borderId="0" xfId="2" applyFont="1" applyFill="1" applyAlignment="1">
      <alignment vertical="center"/>
    </xf>
    <xf numFmtId="0" fontId="1" fillId="3" borderId="0" xfId="2" applyFill="1" applyAlignment="1">
      <alignment vertical="center"/>
    </xf>
    <xf numFmtId="0" fontId="35" fillId="3" borderId="0" xfId="0" applyFont="1" applyFill="1" applyAlignment="1">
      <alignment vertical="center" wrapText="1"/>
    </xf>
    <xf numFmtId="0" fontId="39" fillId="0" borderId="0" xfId="0" applyFont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39" fillId="23" borderId="0" xfId="0" applyFont="1" applyFill="1"/>
    <xf numFmtId="0" fontId="35" fillId="0" borderId="0" xfId="0" applyFont="1" applyAlignment="1">
      <alignment vertical="center"/>
    </xf>
    <xf numFmtId="0" fontId="39" fillId="0" borderId="0" xfId="0" applyFont="1" applyAlignment="1">
      <alignment wrapText="1"/>
    </xf>
    <xf numFmtId="169" fontId="12" fillId="4" borderId="0" xfId="0" applyNumberFormat="1" applyFont="1" applyFill="1" applyAlignment="1">
      <alignment horizontal="center" vertical="center"/>
    </xf>
    <xf numFmtId="0" fontId="35" fillId="0" borderId="92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27" fillId="3" borderId="0" xfId="0" applyFont="1" applyFill="1" applyAlignment="1">
      <alignment horizontal="right" vertical="center"/>
    </xf>
    <xf numFmtId="0" fontId="107" fillId="3" borderId="0" xfId="0" applyFont="1" applyFill="1" applyAlignment="1">
      <alignment horizontal="right" vertical="center"/>
    </xf>
    <xf numFmtId="0" fontId="96" fillId="0" borderId="5" xfId="0" applyFont="1" applyBorder="1"/>
    <xf numFmtId="164" fontId="0" fillId="0" borderId="93" xfId="0" quotePrefix="1" applyNumberFormat="1" applyBorder="1" applyAlignment="1">
      <alignment horizontal="center" vertical="center"/>
    </xf>
    <xf numFmtId="0" fontId="0" fillId="0" borderId="95" xfId="0" applyBorder="1"/>
    <xf numFmtId="0" fontId="0" fillId="0" borderId="96" xfId="0" applyBorder="1"/>
    <xf numFmtId="0" fontId="0" fillId="0" borderId="94" xfId="0" applyBorder="1"/>
    <xf numFmtId="165" fontId="5" fillId="0" borderId="93" xfId="0" applyNumberFormat="1" applyFont="1" applyBorder="1" applyAlignment="1">
      <alignment horizontal="right"/>
    </xf>
    <xf numFmtId="0" fontId="100" fillId="25" borderId="32" xfId="0" applyFont="1" applyFill="1" applyBorder="1" applyAlignment="1">
      <alignment horizontal="center" vertical="center"/>
    </xf>
    <xf numFmtId="0" fontId="100" fillId="22" borderId="32" xfId="0" applyFont="1" applyFill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01" fillId="22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27" fillId="0" borderId="98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0" fillId="10" borderId="0" xfId="0" applyFont="1" applyFill="1"/>
    <xf numFmtId="0" fontId="16" fillId="0" borderId="100" xfId="0" applyFont="1" applyBorder="1"/>
    <xf numFmtId="0" fontId="16" fillId="0" borderId="101" xfId="0" applyFont="1" applyBorder="1"/>
    <xf numFmtId="0" fontId="16" fillId="0" borderId="102" xfId="0" applyFont="1" applyBorder="1"/>
    <xf numFmtId="165" fontId="16" fillId="0" borderId="99" xfId="0" applyNumberFormat="1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16" fontId="11" fillId="0" borderId="0" xfId="0" applyNumberFormat="1" applyFont="1" applyAlignment="1">
      <alignment vertical="center"/>
    </xf>
    <xf numFmtId="16" fontId="11" fillId="0" borderId="0" xfId="0" applyNumberFormat="1" applyFont="1" applyAlignment="1">
      <alignment vertical="center" wrapText="1"/>
    </xf>
    <xf numFmtId="169" fontId="11" fillId="4" borderId="103" xfId="2" applyNumberFormat="1" applyFont="1" applyFill="1" applyBorder="1" applyAlignment="1">
      <alignment horizontal="center" vertical="center"/>
    </xf>
    <xf numFmtId="4" fontId="11" fillId="0" borderId="103" xfId="2" applyNumberFormat="1" applyFont="1" applyBorder="1" applyAlignment="1">
      <alignment vertical="center"/>
    </xf>
    <xf numFmtId="4" fontId="31" fillId="0" borderId="103" xfId="2" applyNumberFormat="1" applyFont="1" applyBorder="1" applyAlignment="1">
      <alignment vertical="center"/>
    </xf>
    <xf numFmtId="166" fontId="11" fillId="0" borderId="103" xfId="6" applyNumberFormat="1" applyFont="1" applyBorder="1" applyAlignment="1">
      <alignment horizontal="center" vertical="center"/>
    </xf>
    <xf numFmtId="168" fontId="11" fillId="0" borderId="103" xfId="6" applyNumberFormat="1" applyFont="1" applyBorder="1" applyAlignment="1">
      <alignment vertical="center"/>
    </xf>
    <xf numFmtId="4" fontId="11" fillId="0" borderId="103" xfId="6" applyNumberFormat="1" applyFont="1" applyBorder="1" applyAlignment="1">
      <alignment vertical="center"/>
    </xf>
    <xf numFmtId="166" fontId="11" fillId="0" borderId="104" xfId="6" applyNumberFormat="1" applyFont="1" applyBorder="1" applyAlignment="1">
      <alignment horizontal="center" vertical="center"/>
    </xf>
    <xf numFmtId="168" fontId="11" fillId="0" borderId="104" xfId="6" applyNumberFormat="1" applyFont="1" applyBorder="1" applyAlignment="1">
      <alignment vertical="center"/>
    </xf>
    <xf numFmtId="4" fontId="11" fillId="0" borderId="104" xfId="6" applyNumberFormat="1" applyFont="1" applyBorder="1" applyAlignment="1">
      <alignment vertical="center"/>
    </xf>
    <xf numFmtId="0" fontId="11" fillId="22" borderId="0" xfId="2" applyFont="1" applyFill="1" applyProtection="1">
      <protection locked="0"/>
    </xf>
    <xf numFmtId="0" fontId="12" fillId="0" borderId="0" xfId="2" applyFont="1" applyProtection="1">
      <protection locked="0"/>
    </xf>
    <xf numFmtId="166" fontId="11" fillId="0" borderId="0" xfId="2" applyNumberFormat="1" applyFont="1" applyAlignment="1" applyProtection="1">
      <alignment horizontal="center"/>
      <protection locked="0"/>
    </xf>
    <xf numFmtId="0" fontId="11" fillId="0" borderId="0" xfId="2" applyFont="1" applyProtection="1">
      <protection locked="0"/>
    </xf>
    <xf numFmtId="0" fontId="27" fillId="17" borderId="0" xfId="2" applyFont="1" applyFill="1" applyAlignment="1" applyProtection="1">
      <alignment vertical="center"/>
      <protection locked="0"/>
    </xf>
    <xf numFmtId="0" fontId="1" fillId="17" borderId="0" xfId="2" applyFill="1" applyAlignment="1" applyProtection="1">
      <alignment vertical="center"/>
      <protection locked="0"/>
    </xf>
    <xf numFmtId="0" fontId="35" fillId="0" borderId="0" xfId="2" applyFont="1" applyAlignment="1" applyProtection="1">
      <alignment vertical="center"/>
      <protection locked="0"/>
    </xf>
    <xf numFmtId="0" fontId="1" fillId="0" borderId="0" xfId="2" applyAlignment="1" applyProtection="1">
      <alignment vertical="center"/>
      <protection locked="0"/>
    </xf>
    <xf numFmtId="0" fontId="1" fillId="0" borderId="0" xfId="2" applyProtection="1">
      <protection locked="0"/>
    </xf>
    <xf numFmtId="0" fontId="1" fillId="4" borderId="0" xfId="2" applyFill="1" applyAlignment="1" applyProtection="1">
      <alignment vertical="center"/>
      <protection locked="0"/>
    </xf>
    <xf numFmtId="0" fontId="35" fillId="4" borderId="72" xfId="2" applyFont="1" applyFill="1" applyBorder="1" applyAlignment="1" applyProtection="1">
      <alignment horizontal="centerContinuous" vertical="center"/>
      <protection locked="0"/>
    </xf>
    <xf numFmtId="0" fontId="11" fillId="4" borderId="73" xfId="2" applyFont="1" applyFill="1" applyBorder="1" applyAlignment="1" applyProtection="1">
      <alignment horizontal="centerContinuous" vertical="center"/>
      <protection locked="0"/>
    </xf>
    <xf numFmtId="0" fontId="11" fillId="4" borderId="74" xfId="2" applyFont="1" applyFill="1" applyBorder="1" applyAlignment="1" applyProtection="1">
      <alignment horizontal="centerContinuous" vertical="center"/>
      <protection locked="0"/>
    </xf>
    <xf numFmtId="0" fontId="11" fillId="0" borderId="62" xfId="2" applyFont="1" applyBorder="1" applyAlignment="1" applyProtection="1">
      <alignment horizontal="centerContinuous" vertical="center"/>
      <protection locked="0"/>
    </xf>
    <xf numFmtId="0" fontId="27" fillId="0" borderId="1" xfId="6" applyFont="1" applyBorder="1" applyAlignment="1" applyProtection="1">
      <alignment vertical="center"/>
      <protection locked="0"/>
    </xf>
    <xf numFmtId="0" fontId="1" fillId="0" borderId="2" xfId="6" applyBorder="1" applyAlignment="1" applyProtection="1">
      <alignment horizontal="centerContinuous" vertical="center"/>
      <protection locked="0"/>
    </xf>
    <xf numFmtId="0" fontId="1" fillId="0" borderId="4" xfId="6" applyBorder="1" applyAlignment="1" applyProtection="1">
      <alignment horizontal="center" vertical="center"/>
      <protection locked="0"/>
    </xf>
    <xf numFmtId="0" fontId="1" fillId="0" borderId="0" xfId="6" applyAlignment="1" applyProtection="1">
      <alignment vertical="center"/>
      <protection locked="0"/>
    </xf>
    <xf numFmtId="0" fontId="1" fillId="0" borderId="2" xfId="6" applyBorder="1" applyAlignment="1" applyProtection="1">
      <alignment horizontal="center" vertical="center"/>
      <protection locked="0"/>
    </xf>
    <xf numFmtId="0" fontId="35" fillId="4" borderId="2" xfId="2" applyFont="1" applyFill="1" applyBorder="1" applyAlignment="1" applyProtection="1">
      <alignment horizontal="centerContinuous" vertical="center"/>
      <protection locked="0"/>
    </xf>
    <xf numFmtId="0" fontId="35" fillId="4" borderId="4" xfId="2" applyFont="1" applyFill="1" applyBorder="1" applyAlignment="1" applyProtection="1">
      <alignment horizontal="centerContinuous" vertical="center"/>
      <protection locked="0"/>
    </xf>
    <xf numFmtId="0" fontId="27" fillId="21" borderId="58" xfId="2" applyFont="1" applyFill="1" applyBorder="1" applyAlignment="1" applyProtection="1">
      <alignment horizontal="centerContinuous" vertical="center"/>
      <protection locked="0"/>
    </xf>
    <xf numFmtId="0" fontId="27" fillId="21" borderId="59" xfId="2" applyFont="1" applyFill="1" applyBorder="1" applyAlignment="1" applyProtection="1">
      <alignment horizontal="centerContinuous" vertical="center"/>
      <protection locked="0"/>
    </xf>
    <xf numFmtId="0" fontId="27" fillId="0" borderId="58" xfId="2" applyFont="1" applyBorder="1" applyAlignment="1" applyProtection="1">
      <alignment horizontal="centerContinuous" vertical="center"/>
      <protection locked="0"/>
    </xf>
    <xf numFmtId="0" fontId="27" fillId="0" borderId="59" xfId="2" applyFont="1" applyBorder="1" applyAlignment="1" applyProtection="1">
      <alignment horizontal="centerContinuous" vertical="center"/>
      <protection locked="0"/>
    </xf>
    <xf numFmtId="0" fontId="11" fillId="0" borderId="16" xfId="2" applyFont="1" applyBorder="1" applyAlignment="1" applyProtection="1">
      <alignment horizontal="centerContinuous" vertical="center"/>
      <protection locked="0"/>
    </xf>
    <xf numFmtId="0" fontId="11" fillId="0" borderId="17" xfId="2" applyFont="1" applyBorder="1" applyAlignment="1" applyProtection="1">
      <alignment horizontal="centerContinuous" vertical="center"/>
      <protection locked="0"/>
    </xf>
    <xf numFmtId="0" fontId="11" fillId="0" borderId="18" xfId="2" applyFont="1" applyBorder="1" applyAlignment="1" applyProtection="1">
      <alignment horizontal="centerContinuous" vertical="center"/>
      <protection locked="0"/>
    </xf>
    <xf numFmtId="0" fontId="11" fillId="0" borderId="4" xfId="2" applyFont="1" applyBorder="1" applyAlignment="1" applyProtection="1">
      <alignment horizontal="centerContinuous" vertical="center"/>
      <protection locked="0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76" xfId="8" applyFont="1" applyBorder="1" applyAlignment="1" applyProtection="1">
      <alignment horizontal="center" vertical="center" wrapText="1"/>
      <protection locked="0"/>
    </xf>
    <xf numFmtId="0" fontId="11" fillId="0" borderId="5" xfId="8" applyFont="1" applyBorder="1" applyAlignment="1" applyProtection="1">
      <alignment horizontal="center" vertical="center" wrapText="1"/>
      <protection locked="0"/>
    </xf>
    <xf numFmtId="0" fontId="11" fillId="0" borderId="32" xfId="8" applyFont="1" applyBorder="1" applyAlignment="1" applyProtection="1">
      <alignment horizontal="center" vertical="center" wrapText="1"/>
      <protection locked="0"/>
    </xf>
    <xf numFmtId="0" fontId="11" fillId="0" borderId="75" xfId="8" applyFont="1" applyBorder="1" applyAlignment="1" applyProtection="1">
      <alignment horizontal="center" vertical="center" wrapText="1"/>
      <protection locked="0"/>
    </xf>
    <xf numFmtId="0" fontId="11" fillId="0" borderId="62" xfId="2" applyFont="1" applyBorder="1" applyAlignment="1" applyProtection="1">
      <alignment horizontal="center" vertical="center" wrapText="1"/>
      <protection locked="0"/>
    </xf>
    <xf numFmtId="166" fontId="11" fillId="0" borderId="83" xfId="6" applyNumberFormat="1" applyFont="1" applyBorder="1" applyAlignment="1" applyProtection="1">
      <alignment horizontal="center" vertical="center"/>
      <protection locked="0"/>
    </xf>
    <xf numFmtId="167" fontId="5" fillId="0" borderId="0" xfId="7" applyNumberFormat="1" applyFont="1" applyAlignment="1" applyProtection="1">
      <alignment vertical="center"/>
      <protection locked="0"/>
    </xf>
    <xf numFmtId="0" fontId="1" fillId="0" borderId="0" xfId="2" applyAlignment="1" applyProtection="1">
      <alignment wrapText="1"/>
      <protection locked="0"/>
    </xf>
    <xf numFmtId="0" fontId="11" fillId="4" borderId="14" xfId="2" applyFont="1" applyFill="1" applyBorder="1" applyAlignment="1" applyProtection="1">
      <alignment horizontal="center" vertical="center" wrapText="1"/>
      <protection locked="0"/>
    </xf>
    <xf numFmtId="0" fontId="11" fillId="0" borderId="14" xfId="2" applyFont="1" applyBorder="1" applyAlignment="1" applyProtection="1">
      <alignment horizontal="center" vertical="center" wrapText="1"/>
      <protection locked="0"/>
    </xf>
    <xf numFmtId="0" fontId="28" fillId="4" borderId="14" xfId="2" applyFont="1" applyFill="1" applyBorder="1" applyAlignment="1" applyProtection="1">
      <alignment horizontal="center" vertical="center" wrapText="1"/>
      <protection locked="0"/>
    </xf>
    <xf numFmtId="0" fontId="10" fillId="0" borderId="62" xfId="2" applyFont="1" applyBorder="1" applyAlignment="1" applyProtection="1">
      <alignment horizontal="center" vertical="center" wrapText="1"/>
      <protection locked="0"/>
    </xf>
    <xf numFmtId="168" fontId="11" fillId="0" borderId="5" xfId="8" applyNumberFormat="1" applyFont="1" applyBorder="1" applyAlignment="1" applyProtection="1">
      <alignment vertical="center"/>
      <protection locked="0"/>
    </xf>
    <xf numFmtId="4" fontId="11" fillId="0" borderId="5" xfId="8" applyNumberFormat="1" applyFont="1" applyBorder="1" applyAlignment="1" applyProtection="1">
      <alignment vertical="center"/>
      <protection locked="0"/>
    </xf>
    <xf numFmtId="0" fontId="1" fillId="0" borderId="5" xfId="8" applyBorder="1" applyAlignment="1" applyProtection="1">
      <alignment vertical="center"/>
      <protection locked="0"/>
    </xf>
    <xf numFmtId="4" fontId="11" fillId="0" borderId="32" xfId="8" applyNumberFormat="1" applyFont="1" applyBorder="1" applyAlignment="1" applyProtection="1">
      <alignment vertical="center"/>
      <protection locked="0"/>
    </xf>
    <xf numFmtId="1" fontId="11" fillId="0" borderId="5" xfId="2" applyNumberFormat="1" applyFont="1" applyBorder="1" applyAlignment="1" applyProtection="1">
      <alignment horizontal="center" vertical="center"/>
      <protection locked="0"/>
    </xf>
    <xf numFmtId="168" fontId="11" fillId="0" borderId="5" xfId="2" applyNumberFormat="1" applyFont="1" applyBorder="1" applyAlignment="1" applyProtection="1">
      <alignment vertical="center"/>
      <protection locked="0"/>
    </xf>
    <xf numFmtId="170" fontId="11" fillId="0" borderId="5" xfId="2" applyNumberFormat="1" applyFont="1" applyBorder="1" applyAlignment="1" applyProtection="1">
      <alignment vertical="center"/>
      <protection locked="0"/>
    </xf>
    <xf numFmtId="4" fontId="11" fillId="0" borderId="5" xfId="2" applyNumberFormat="1" applyFont="1" applyBorder="1" applyAlignment="1" applyProtection="1">
      <alignment vertical="center"/>
      <protection locked="0"/>
    </xf>
    <xf numFmtId="166" fontId="11" fillId="0" borderId="0" xfId="2" applyNumberFormat="1" applyFont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/>
      <protection locked="0"/>
    </xf>
    <xf numFmtId="168" fontId="11" fillId="0" borderId="0" xfId="2" applyNumberFormat="1" applyFont="1" applyAlignment="1" applyProtection="1">
      <alignment vertical="center"/>
      <protection locked="0"/>
    </xf>
    <xf numFmtId="167" fontId="5" fillId="8" borderId="14" xfId="7" applyNumberFormat="1" applyFont="1" applyFill="1" applyBorder="1" applyAlignment="1" applyProtection="1">
      <alignment vertical="center"/>
      <protection locked="0"/>
    </xf>
    <xf numFmtId="167" fontId="5" fillId="0" borderId="5" xfId="7" applyNumberFormat="1" applyFont="1" applyBorder="1" applyAlignment="1" applyProtection="1">
      <alignment vertical="center"/>
      <protection locked="0"/>
    </xf>
    <xf numFmtId="167" fontId="5" fillId="3" borderId="5" xfId="7" applyNumberFormat="1" applyFont="1" applyFill="1" applyBorder="1" applyAlignment="1" applyProtection="1">
      <alignment vertical="center"/>
      <protection locked="0"/>
    </xf>
    <xf numFmtId="165" fontId="5" fillId="8" borderId="45" xfId="7" applyNumberFormat="1" applyFont="1" applyFill="1" applyBorder="1" applyAlignment="1" applyProtection="1">
      <alignment vertical="center"/>
      <protection locked="0"/>
    </xf>
    <xf numFmtId="168" fontId="1" fillId="4" borderId="5" xfId="6" applyNumberFormat="1" applyFill="1" applyBorder="1" applyAlignment="1" applyProtection="1">
      <alignment vertical="center"/>
      <protection locked="0"/>
    </xf>
    <xf numFmtId="169" fontId="39" fillId="5" borderId="5" xfId="2" applyNumberFormat="1" applyFont="1" applyFill="1" applyBorder="1" applyAlignment="1" applyProtection="1">
      <alignment horizontal="center" vertical="center"/>
      <protection locked="0"/>
    </xf>
    <xf numFmtId="4" fontId="39" fillId="5" borderId="5" xfId="2" applyNumberFormat="1" applyFont="1" applyFill="1" applyBorder="1" applyAlignment="1" applyProtection="1">
      <alignment horizontal="center" vertical="center"/>
      <protection locked="0"/>
    </xf>
    <xf numFmtId="166" fontId="11" fillId="0" borderId="5" xfId="2" applyNumberFormat="1" applyFont="1" applyBorder="1" applyAlignment="1" applyProtection="1">
      <alignment horizontal="center" vertical="center"/>
      <protection locked="0"/>
    </xf>
    <xf numFmtId="0" fontId="1" fillId="0" borderId="62" xfId="2" applyBorder="1" applyAlignment="1" applyProtection="1">
      <alignment vertical="center"/>
      <protection locked="0"/>
    </xf>
    <xf numFmtId="171" fontId="11" fillId="0" borderId="5" xfId="8" applyNumberFormat="1" applyFont="1" applyBorder="1" applyAlignment="1" applyProtection="1">
      <alignment vertical="center"/>
      <protection locked="0"/>
    </xf>
    <xf numFmtId="168" fontId="1" fillId="0" borderId="5" xfId="6" applyNumberFormat="1" applyBorder="1" applyAlignment="1" applyProtection="1">
      <alignment vertical="center"/>
      <protection locked="0"/>
    </xf>
    <xf numFmtId="165" fontId="24" fillId="8" borderId="45" xfId="7" applyNumberFormat="1" applyFont="1" applyFill="1" applyBorder="1" applyAlignment="1" applyProtection="1">
      <alignment vertical="center"/>
      <protection locked="0"/>
    </xf>
    <xf numFmtId="168" fontId="30" fillId="0" borderId="5" xfId="6" applyNumberFormat="1" applyFont="1" applyBorder="1" applyAlignment="1" applyProtection="1">
      <alignment vertical="center"/>
      <protection locked="0"/>
    </xf>
    <xf numFmtId="166" fontId="11" fillId="0" borderId="0" xfId="6" applyNumberFormat="1" applyFont="1" applyAlignment="1" applyProtection="1">
      <alignment horizontal="center" vertical="center"/>
      <protection locked="0"/>
    </xf>
    <xf numFmtId="170" fontId="11" fillId="0" borderId="5" xfId="2" applyNumberFormat="1" applyFont="1" applyBorder="1" applyAlignment="1" applyProtection="1">
      <alignment horizontal="right" vertical="center"/>
      <protection locked="0"/>
    </xf>
    <xf numFmtId="168" fontId="1" fillId="0" borderId="0" xfId="6" applyNumberFormat="1" applyAlignment="1" applyProtection="1">
      <alignment vertical="center"/>
      <protection locked="0"/>
    </xf>
    <xf numFmtId="172" fontId="11" fillId="0" borderId="5" xfId="8" applyNumberFormat="1" applyFont="1" applyBorder="1" applyAlignment="1" applyProtection="1">
      <alignment vertical="center"/>
      <protection locked="0"/>
    </xf>
    <xf numFmtId="168" fontId="30" fillId="0" borderId="0" xfId="6" applyNumberFormat="1" applyFont="1" applyAlignment="1" applyProtection="1">
      <alignment vertical="center"/>
      <protection locked="0"/>
    </xf>
    <xf numFmtId="166" fontId="11" fillId="0" borderId="5" xfId="6" applyNumberFormat="1" applyFont="1" applyBorder="1" applyAlignment="1" applyProtection="1">
      <alignment horizontal="center" vertical="center"/>
      <protection locked="0"/>
    </xf>
    <xf numFmtId="168" fontId="11" fillId="0" borderId="5" xfId="6" applyNumberFormat="1" applyFont="1" applyBorder="1" applyAlignment="1" applyProtection="1">
      <alignment vertical="center"/>
      <protection locked="0"/>
    </xf>
    <xf numFmtId="170" fontId="11" fillId="0" borderId="5" xfId="6" applyNumberFormat="1" applyFont="1" applyBorder="1" applyAlignment="1" applyProtection="1">
      <alignment horizontal="right" vertical="center"/>
      <protection locked="0"/>
    </xf>
    <xf numFmtId="4" fontId="11" fillId="0" borderId="5" xfId="6" applyNumberFormat="1" applyFont="1" applyBorder="1" applyAlignment="1" applyProtection="1">
      <alignment vertical="center"/>
      <protection locked="0"/>
    </xf>
    <xf numFmtId="4" fontId="27" fillId="14" borderId="5" xfId="8" applyNumberFormat="1" applyFont="1" applyFill="1" applyBorder="1" applyAlignment="1" applyProtection="1">
      <alignment vertical="center"/>
      <protection locked="0"/>
    </xf>
    <xf numFmtId="166" fontId="11" fillId="4" borderId="5" xfId="2" applyNumberFormat="1" applyFont="1" applyFill="1" applyBorder="1" applyAlignment="1" applyProtection="1">
      <alignment horizontal="center" vertical="center"/>
      <protection locked="0"/>
    </xf>
    <xf numFmtId="0" fontId="28" fillId="0" borderId="5" xfId="8" applyFont="1" applyBorder="1" applyAlignment="1" applyProtection="1">
      <alignment horizontal="center" vertical="center" wrapText="1"/>
      <protection locked="0"/>
    </xf>
    <xf numFmtId="166" fontId="11" fillId="0" borderId="0" xfId="6" applyNumberFormat="1" applyFont="1" applyAlignment="1" applyProtection="1">
      <alignment vertical="center"/>
      <protection locked="0"/>
    </xf>
    <xf numFmtId="4" fontId="9" fillId="5" borderId="5" xfId="8" applyNumberFormat="1" applyFont="1" applyFill="1" applyBorder="1" applyAlignment="1" applyProtection="1">
      <alignment vertical="center"/>
      <protection locked="0"/>
    </xf>
    <xf numFmtId="0" fontId="1" fillId="0" borderId="62" xfId="6" applyBorder="1" applyAlignment="1" applyProtection="1">
      <alignment vertical="center"/>
      <protection locked="0"/>
    </xf>
    <xf numFmtId="171" fontId="11" fillId="0" borderId="2" xfId="8" applyNumberFormat="1" applyFont="1" applyBorder="1" applyAlignment="1" applyProtection="1">
      <alignment vertical="center"/>
      <protection locked="0"/>
    </xf>
    <xf numFmtId="4" fontId="11" fillId="0" borderId="2" xfId="8" applyNumberFormat="1" applyFont="1" applyBorder="1" applyAlignment="1" applyProtection="1">
      <alignment vertical="center"/>
      <protection locked="0"/>
    </xf>
    <xf numFmtId="168" fontId="11" fillId="0" borderId="2" xfId="8" applyNumberFormat="1" applyFont="1" applyBorder="1" applyAlignment="1" applyProtection="1">
      <alignment vertical="center"/>
      <protection locked="0"/>
    </xf>
    <xf numFmtId="168" fontId="11" fillId="0" borderId="4" xfId="8" applyNumberFormat="1" applyFont="1" applyBorder="1" applyAlignment="1" applyProtection="1">
      <alignment vertical="center"/>
      <protection locked="0"/>
    </xf>
    <xf numFmtId="0" fontId="27" fillId="0" borderId="4" xfId="6" applyFont="1" applyBorder="1" applyAlignment="1" applyProtection="1">
      <alignment vertical="center"/>
      <protection locked="0"/>
    </xf>
    <xf numFmtId="4" fontId="11" fillId="0" borderId="0" xfId="8" applyNumberFormat="1" applyFont="1" applyAlignment="1" applyProtection="1">
      <alignment vertical="center"/>
      <protection locked="0"/>
    </xf>
    <xf numFmtId="0" fontId="27" fillId="18" borderId="1" xfId="6" applyFont="1" applyFill="1" applyBorder="1" applyAlignment="1" applyProtection="1">
      <alignment vertical="center"/>
      <protection locked="0"/>
    </xf>
    <xf numFmtId="0" fontId="27" fillId="18" borderId="4" xfId="6" applyFont="1" applyFill="1" applyBorder="1" applyAlignment="1" applyProtection="1">
      <alignment vertical="center"/>
      <protection locked="0"/>
    </xf>
    <xf numFmtId="0" fontId="11" fillId="0" borderId="0" xfId="6" applyFont="1" applyAlignment="1" applyProtection="1">
      <alignment vertical="center"/>
      <protection locked="0"/>
    </xf>
    <xf numFmtId="0" fontId="27" fillId="0" borderId="1" xfId="6" applyFont="1" applyBorder="1" applyProtection="1">
      <protection locked="0"/>
    </xf>
    <xf numFmtId="0" fontId="1" fillId="0" borderId="2" xfId="6" applyBorder="1" applyProtection="1">
      <protection locked="0"/>
    </xf>
    <xf numFmtId="166" fontId="11" fillId="0" borderId="4" xfId="6" applyNumberFormat="1" applyFont="1" applyBorder="1" applyAlignment="1" applyProtection="1">
      <alignment horizontal="center"/>
      <protection locked="0"/>
    </xf>
    <xf numFmtId="166" fontId="11" fillId="0" borderId="0" xfId="6" applyNumberFormat="1" applyFont="1" applyAlignment="1" applyProtection="1">
      <alignment horizontal="center"/>
      <protection locked="0"/>
    </xf>
    <xf numFmtId="0" fontId="1" fillId="0" borderId="0" xfId="6" applyProtection="1">
      <protection locked="0"/>
    </xf>
    <xf numFmtId="0" fontId="15" fillId="0" borderId="0" xfId="7" applyFont="1" applyAlignment="1" applyProtection="1">
      <alignment vertical="center"/>
      <protection locked="0"/>
    </xf>
    <xf numFmtId="0" fontId="0" fillId="0" borderId="0" xfId="6" applyFont="1" applyProtection="1">
      <protection locked="0"/>
    </xf>
    <xf numFmtId="0" fontId="27" fillId="0" borderId="0" xfId="6" applyFont="1" applyAlignment="1" applyProtection="1">
      <alignment vertical="center"/>
      <protection locked="0"/>
    </xf>
    <xf numFmtId="0" fontId="35" fillId="0" borderId="1" xfId="6" applyFont="1" applyBorder="1" applyAlignment="1" applyProtection="1">
      <alignment vertical="center"/>
      <protection locked="0"/>
    </xf>
    <xf numFmtId="0" fontId="87" fillId="0" borderId="1" xfId="6" applyFont="1" applyBorder="1" applyAlignment="1" applyProtection="1">
      <alignment vertical="center"/>
      <protection locked="0"/>
    </xf>
    <xf numFmtId="4" fontId="11" fillId="0" borderId="2" xfId="8" applyNumberFormat="1" applyFont="1" applyBorder="1" applyAlignment="1" applyProtection="1">
      <alignment horizontal="center" vertical="center"/>
      <protection locked="0"/>
    </xf>
    <xf numFmtId="4" fontId="11" fillId="0" borderId="4" xfId="8" applyNumberFormat="1" applyFont="1" applyBorder="1" applyAlignment="1" applyProtection="1">
      <alignment horizontal="center" vertical="center"/>
      <protection locked="0"/>
    </xf>
    <xf numFmtId="168" fontId="1" fillId="0" borderId="4" xfId="2" applyNumberFormat="1" applyBorder="1" applyAlignment="1" applyProtection="1">
      <alignment vertical="center"/>
      <protection locked="0"/>
    </xf>
    <xf numFmtId="168" fontId="1" fillId="0" borderId="5" xfId="2" applyNumberFormat="1" applyBorder="1" applyAlignment="1" applyProtection="1">
      <alignment vertical="center"/>
      <protection locked="0"/>
    </xf>
    <xf numFmtId="165" fontId="14" fillId="0" borderId="45" xfId="7" applyNumberFormat="1" applyFont="1" applyBorder="1" applyAlignment="1" applyProtection="1">
      <alignment vertical="center"/>
      <protection locked="0"/>
    </xf>
    <xf numFmtId="168" fontId="1" fillId="0" borderId="46" xfId="2" applyNumberFormat="1" applyBorder="1" applyAlignment="1" applyProtection="1">
      <alignment vertical="center"/>
      <protection locked="0"/>
    </xf>
    <xf numFmtId="165" fontId="14" fillId="8" borderId="45" xfId="7" applyNumberFormat="1" applyFont="1" applyFill="1" applyBorder="1" applyAlignment="1" applyProtection="1">
      <alignment vertical="center"/>
      <protection locked="0"/>
    </xf>
    <xf numFmtId="166" fontId="11" fillId="3" borderId="5" xfId="6" applyNumberFormat="1" applyFont="1" applyFill="1" applyBorder="1" applyAlignment="1" applyProtection="1">
      <alignment horizontal="center" vertical="center"/>
      <protection locked="0"/>
    </xf>
    <xf numFmtId="168" fontId="11" fillId="3" borderId="5" xfId="6" applyNumberFormat="1" applyFont="1" applyFill="1" applyBorder="1" applyAlignment="1" applyProtection="1">
      <alignment vertical="center"/>
      <protection locked="0"/>
    </xf>
    <xf numFmtId="4" fontId="11" fillId="3" borderId="5" xfId="6" applyNumberFormat="1" applyFont="1" applyFill="1" applyBorder="1" applyAlignment="1" applyProtection="1">
      <alignment vertical="center"/>
      <protection locked="0"/>
    </xf>
    <xf numFmtId="165" fontId="40" fillId="0" borderId="45" xfId="7" applyNumberFormat="1" applyFont="1" applyBorder="1" applyAlignment="1" applyProtection="1">
      <alignment vertical="center"/>
      <protection locked="0"/>
    </xf>
    <xf numFmtId="166" fontId="11" fillId="16" borderId="51" xfId="2" applyNumberFormat="1" applyFont="1" applyFill="1" applyBorder="1" applyAlignment="1" applyProtection="1">
      <alignment horizontal="center"/>
      <protection locked="0"/>
    </xf>
    <xf numFmtId="166" fontId="11" fillId="16" borderId="52" xfId="2" applyNumberFormat="1" applyFont="1" applyFill="1" applyBorder="1" applyAlignment="1" applyProtection="1">
      <alignment horizontal="center"/>
      <protection locked="0"/>
    </xf>
    <xf numFmtId="167" fontId="1" fillId="0" borderId="5" xfId="2" applyNumberFormat="1" applyBorder="1" applyAlignment="1" applyProtection="1">
      <alignment vertical="center"/>
      <protection locked="0"/>
    </xf>
    <xf numFmtId="0" fontId="28" fillId="3" borderId="62" xfId="6" applyFont="1" applyFill="1" applyBorder="1" applyAlignment="1" applyProtection="1">
      <alignment vertical="center"/>
      <protection locked="0"/>
    </xf>
    <xf numFmtId="168" fontId="1" fillId="0" borderId="0" xfId="2" applyNumberFormat="1" applyAlignment="1" applyProtection="1">
      <alignment vertical="center"/>
      <protection locked="0"/>
    </xf>
    <xf numFmtId="0" fontId="90" fillId="21" borderId="83" xfId="6" applyFont="1" applyFill="1" applyBorder="1" applyAlignment="1" applyProtection="1">
      <alignment vertical="center"/>
      <protection locked="0"/>
    </xf>
    <xf numFmtId="167" fontId="24" fillId="8" borderId="83" xfId="7" applyNumberFormat="1" applyFont="1" applyFill="1" applyBorder="1" applyAlignment="1" applyProtection="1">
      <alignment vertical="center"/>
      <protection locked="0"/>
    </xf>
    <xf numFmtId="167" fontId="24" fillId="3" borderId="83" xfId="7" applyNumberFormat="1" applyFont="1" applyFill="1" applyBorder="1" applyAlignment="1" applyProtection="1">
      <alignment vertical="center"/>
      <protection locked="0"/>
    </xf>
    <xf numFmtId="0" fontId="90" fillId="17" borderId="83" xfId="6" applyFont="1" applyFill="1" applyBorder="1" applyAlignment="1" applyProtection="1">
      <alignment vertical="center"/>
      <protection locked="0"/>
    </xf>
    <xf numFmtId="167" fontId="24" fillId="0" borderId="83" xfId="7" applyNumberFormat="1" applyFont="1" applyBorder="1" applyAlignment="1" applyProtection="1">
      <alignment vertical="center"/>
      <protection locked="0"/>
    </xf>
    <xf numFmtId="167" fontId="1" fillId="0" borderId="0" xfId="2" applyNumberFormat="1" applyAlignment="1" applyProtection="1">
      <alignment vertical="center"/>
      <protection locked="0"/>
    </xf>
    <xf numFmtId="0" fontId="90" fillId="3" borderId="83" xfId="6" applyFont="1" applyFill="1" applyBorder="1" applyAlignment="1" applyProtection="1">
      <alignment vertical="center"/>
      <protection locked="0"/>
    </xf>
    <xf numFmtId="0" fontId="99" fillId="22" borderId="0" xfId="2" applyFont="1" applyFill="1" applyAlignment="1" applyProtection="1">
      <alignment vertical="center"/>
      <protection locked="0"/>
    </xf>
    <xf numFmtId="0" fontId="9" fillId="4" borderId="0" xfId="2" applyFont="1" applyFill="1" applyAlignment="1" applyProtection="1">
      <alignment vertical="center"/>
      <protection locked="0"/>
    </xf>
    <xf numFmtId="168" fontId="11" fillId="0" borderId="0" xfId="6" applyNumberFormat="1" applyFont="1" applyAlignment="1" applyProtection="1">
      <alignment vertical="center"/>
      <protection locked="0"/>
    </xf>
    <xf numFmtId="4" fontId="11" fillId="0" borderId="0" xfId="2" applyNumberFormat="1" applyFont="1" applyAlignment="1" applyProtection="1">
      <alignment vertical="center"/>
      <protection locked="0"/>
    </xf>
    <xf numFmtId="166" fontId="11" fillId="4" borderId="5" xfId="6" applyNumberFormat="1" applyFont="1" applyFill="1" applyBorder="1" applyAlignment="1" applyProtection="1">
      <alignment horizontal="center" vertical="center"/>
      <protection locked="0"/>
    </xf>
    <xf numFmtId="166" fontId="28" fillId="4" borderId="5" xfId="6" applyNumberFormat="1" applyFont="1" applyFill="1" applyBorder="1" applyAlignment="1" applyProtection="1">
      <alignment horizontal="center" vertical="center" wrapText="1"/>
      <protection locked="0"/>
    </xf>
    <xf numFmtId="169" fontId="11" fillId="4" borderId="5" xfId="2" applyNumberFormat="1" applyFont="1" applyFill="1" applyBorder="1" applyAlignment="1" applyProtection="1">
      <alignment horizontal="center" vertical="center"/>
      <protection locked="0"/>
    </xf>
    <xf numFmtId="4" fontId="31" fillId="0" borderId="5" xfId="2" applyNumberFormat="1" applyFont="1" applyBorder="1" applyAlignment="1" applyProtection="1">
      <alignment vertical="center"/>
      <protection locked="0"/>
    </xf>
    <xf numFmtId="0" fontId="28" fillId="4" borderId="62" xfId="6" applyFont="1" applyFill="1" applyBorder="1" applyAlignment="1" applyProtection="1">
      <alignment vertical="center"/>
      <protection locked="0"/>
    </xf>
    <xf numFmtId="4" fontId="11" fillId="4" borderId="5" xfId="6" applyNumberFormat="1" applyFont="1" applyFill="1" applyBorder="1" applyAlignment="1" applyProtection="1">
      <alignment vertical="center"/>
      <protection locked="0"/>
    </xf>
    <xf numFmtId="0" fontId="28" fillId="0" borderId="62" xfId="6" applyFont="1" applyBorder="1" applyAlignment="1" applyProtection="1">
      <alignment vertical="center"/>
      <protection locked="0"/>
    </xf>
    <xf numFmtId="0" fontId="78" fillId="3" borderId="0" xfId="2" applyFont="1" applyFill="1" applyAlignment="1" applyProtection="1">
      <alignment vertical="center"/>
      <protection locked="0"/>
    </xf>
    <xf numFmtId="0" fontId="1" fillId="3" borderId="0" xfId="2" applyFill="1" applyAlignment="1" applyProtection="1">
      <alignment vertical="center"/>
      <protection locked="0"/>
    </xf>
    <xf numFmtId="0" fontId="28" fillId="0" borderId="62" xfId="2" applyFont="1" applyBorder="1" applyAlignment="1" applyProtection="1">
      <alignment vertical="center"/>
      <protection locked="0"/>
    </xf>
    <xf numFmtId="0" fontId="78" fillId="0" borderId="0" xfId="2" applyFont="1" applyAlignment="1" applyProtection="1">
      <alignment vertical="center"/>
      <protection locked="0"/>
    </xf>
    <xf numFmtId="166" fontId="11" fillId="0" borderId="104" xfId="6" applyNumberFormat="1" applyFont="1" applyBorder="1" applyAlignment="1" applyProtection="1">
      <alignment horizontal="center" vertical="center"/>
      <protection locked="0"/>
    </xf>
    <xf numFmtId="0" fontId="28" fillId="7" borderId="0" xfId="6" applyFont="1" applyFill="1" applyAlignment="1" applyProtection="1">
      <alignment vertical="center"/>
      <protection locked="0"/>
    </xf>
    <xf numFmtId="168" fontId="11" fillId="0" borderId="104" xfId="6" applyNumberFormat="1" applyFont="1" applyBorder="1" applyAlignment="1" applyProtection="1">
      <alignment vertical="center"/>
      <protection locked="0"/>
    </xf>
    <xf numFmtId="4" fontId="11" fillId="0" borderId="104" xfId="6" applyNumberFormat="1" applyFont="1" applyBorder="1" applyAlignment="1" applyProtection="1">
      <alignment vertical="center"/>
      <protection locked="0"/>
    </xf>
    <xf numFmtId="0" fontId="28" fillId="0" borderId="0" xfId="6" applyFont="1" applyAlignment="1" applyProtection="1">
      <alignment vertical="center"/>
      <protection locked="0"/>
    </xf>
    <xf numFmtId="168" fontId="31" fillId="0" borderId="0" xfId="2" applyNumberFormat="1" applyFont="1" applyAlignment="1" applyProtection="1">
      <alignment vertical="center"/>
      <protection locked="0"/>
    </xf>
    <xf numFmtId="168" fontId="31" fillId="0" borderId="0" xfId="6" applyNumberFormat="1" applyFont="1" applyAlignment="1" applyProtection="1">
      <alignment vertical="center"/>
      <protection locked="0"/>
    </xf>
    <xf numFmtId="0" fontId="28" fillId="0" borderId="0" xfId="2" applyFont="1" applyAlignment="1" applyProtection="1">
      <alignment vertical="center"/>
      <protection locked="0"/>
    </xf>
    <xf numFmtId="166" fontId="38" fillId="4" borderId="0" xfId="2" applyNumberFormat="1" applyFont="1" applyFill="1" applyAlignment="1" applyProtection="1">
      <alignment horizontal="center"/>
      <protection locked="0"/>
    </xf>
    <xf numFmtId="166" fontId="9" fillId="4" borderId="0" xfId="2" applyNumberFormat="1" applyFont="1" applyFill="1" applyProtection="1">
      <protection locked="0"/>
    </xf>
    <xf numFmtId="0" fontId="9" fillId="4" borderId="0" xfId="4" applyFont="1" applyFill="1" applyProtection="1">
      <protection locked="0"/>
    </xf>
    <xf numFmtId="0" fontId="38" fillId="4" borderId="0" xfId="4" applyFill="1" applyProtection="1">
      <protection locked="0"/>
    </xf>
    <xf numFmtId="0" fontId="5" fillId="4" borderId="0" xfId="4" applyFont="1" applyFill="1" applyProtection="1">
      <protection locked="0"/>
    </xf>
    <xf numFmtId="166" fontId="9" fillId="4" borderId="0" xfId="2" applyNumberFormat="1" applyFont="1" applyFill="1" applyAlignment="1" applyProtection="1">
      <alignment horizontal="center"/>
      <protection locked="0"/>
    </xf>
    <xf numFmtId="166" fontId="11" fillId="4" borderId="0" xfId="2" applyNumberFormat="1" applyFont="1" applyFill="1" applyAlignment="1" applyProtection="1">
      <alignment horizontal="center"/>
      <protection locked="0"/>
    </xf>
    <xf numFmtId="0" fontId="52" fillId="0" borderId="1" xfId="7" applyFont="1" applyBorder="1" applyAlignment="1" applyProtection="1">
      <alignment horizontal="centerContinuous" vertical="center"/>
      <protection locked="0"/>
    </xf>
    <xf numFmtId="0" fontId="2" fillId="0" borderId="2" xfId="7" applyFont="1" applyBorder="1" applyAlignment="1" applyProtection="1">
      <alignment horizontal="centerContinuous"/>
      <protection locked="0"/>
    </xf>
    <xf numFmtId="0" fontId="2" fillId="0" borderId="3" xfId="7" applyFont="1" applyBorder="1" applyAlignment="1" applyProtection="1">
      <alignment horizontal="centerContinuous"/>
      <protection locked="0"/>
    </xf>
    <xf numFmtId="0" fontId="38" fillId="0" borderId="21" xfId="4" applyBorder="1" applyProtection="1">
      <protection locked="0"/>
    </xf>
    <xf numFmtId="166" fontId="31" fillId="9" borderId="0" xfId="2" applyNumberFormat="1" applyFont="1" applyFill="1" applyProtection="1">
      <protection locked="0"/>
    </xf>
    <xf numFmtId="0" fontId="11" fillId="9" borderId="0" xfId="2" applyFont="1" applyFill="1" applyAlignment="1" applyProtection="1">
      <alignment vertical="center"/>
      <protection locked="0"/>
    </xf>
    <xf numFmtId="0" fontId="38" fillId="0" borderId="0" xfId="4" applyProtection="1">
      <protection locked="0"/>
    </xf>
    <xf numFmtId="0" fontId="3" fillId="0" borderId="5" xfId="4" applyFont="1" applyBorder="1" applyAlignment="1" applyProtection="1">
      <alignment horizontal="center"/>
      <protection locked="0"/>
    </xf>
    <xf numFmtId="0" fontId="3" fillId="0" borderId="1" xfId="4" applyFont="1" applyBorder="1" applyAlignment="1" applyProtection="1">
      <alignment horizontal="centerContinuous" vertical="center"/>
      <protection locked="0"/>
    </xf>
    <xf numFmtId="0" fontId="3" fillId="0" borderId="2" xfId="4" applyFont="1" applyBorder="1" applyAlignment="1" applyProtection="1">
      <alignment horizontal="centerContinuous" vertical="center"/>
      <protection locked="0"/>
    </xf>
    <xf numFmtId="0" fontId="3" fillId="0" borderId="4" xfId="4" applyFont="1" applyBorder="1" applyAlignment="1" applyProtection="1">
      <alignment horizontal="centerContinuous" vertical="center"/>
      <protection locked="0"/>
    </xf>
    <xf numFmtId="0" fontId="3" fillId="0" borderId="2" xfId="4" applyFont="1" applyBorder="1" applyAlignment="1" applyProtection="1">
      <alignment horizontal="center"/>
      <protection locked="0"/>
    </xf>
    <xf numFmtId="0" fontId="38" fillId="0" borderId="0" xfId="4" applyAlignment="1" applyProtection="1">
      <alignment horizontal="center"/>
      <protection locked="0"/>
    </xf>
    <xf numFmtId="164" fontId="38" fillId="0" borderId="5" xfId="7" quotePrefix="1" applyNumberFormat="1" applyBorder="1" applyAlignment="1" applyProtection="1">
      <alignment horizontal="center" vertical="center"/>
      <protection locked="0"/>
    </xf>
    <xf numFmtId="0" fontId="38" fillId="0" borderId="1" xfId="7" applyBorder="1" applyProtection="1">
      <protection locked="0"/>
    </xf>
    <xf numFmtId="0" fontId="38" fillId="0" borderId="2" xfId="4" applyBorder="1" applyProtection="1">
      <protection locked="0"/>
    </xf>
    <xf numFmtId="0" fontId="38" fillId="0" borderId="4" xfId="4" applyBorder="1" applyProtection="1">
      <protection locked="0"/>
    </xf>
    <xf numFmtId="165" fontId="5" fillId="0" borderId="7" xfId="7" applyNumberFormat="1" applyFont="1" applyBorder="1" applyAlignment="1" applyProtection="1">
      <alignment horizontal="right"/>
      <protection locked="0"/>
    </xf>
    <xf numFmtId="164" fontId="38" fillId="3" borderId="5" xfId="7" applyNumberFormat="1" applyFill="1" applyBorder="1" applyAlignment="1" applyProtection="1">
      <alignment horizontal="center" vertical="center"/>
      <protection locked="0"/>
    </xf>
    <xf numFmtId="0" fontId="38" fillId="3" borderId="1" xfId="7" applyFill="1" applyBorder="1" applyProtection="1">
      <protection locked="0"/>
    </xf>
    <xf numFmtId="0" fontId="38" fillId="3" borderId="2" xfId="4" applyFill="1" applyBorder="1" applyProtection="1">
      <protection locked="0"/>
    </xf>
    <xf numFmtId="0" fontId="38" fillId="3" borderId="4" xfId="4" applyFill="1" applyBorder="1" applyProtection="1">
      <protection locked="0"/>
    </xf>
    <xf numFmtId="165" fontId="5" fillId="3" borderId="7" xfId="7" applyNumberFormat="1" applyFont="1" applyFill="1" applyBorder="1" applyAlignment="1" applyProtection="1">
      <alignment horizontal="right"/>
      <protection locked="0"/>
    </xf>
    <xf numFmtId="0" fontId="15" fillId="0" borderId="0" xfId="4" applyFont="1" applyAlignment="1" applyProtection="1">
      <alignment vertical="center"/>
      <protection locked="0"/>
    </xf>
    <xf numFmtId="165" fontId="1" fillId="0" borderId="0" xfId="2" applyNumberFormat="1" applyAlignment="1" applyProtection="1">
      <alignment vertical="center"/>
      <protection locked="0"/>
    </xf>
    <xf numFmtId="169" fontId="1" fillId="0" borderId="0" xfId="2" applyNumberFormat="1" applyAlignment="1" applyProtection="1">
      <alignment horizontal="center" vertical="center"/>
      <protection locked="0"/>
    </xf>
    <xf numFmtId="164" fontId="38" fillId="0" borderId="5" xfId="7" applyNumberFormat="1" applyBorder="1" applyAlignment="1" applyProtection="1">
      <alignment horizontal="center" vertical="center"/>
      <protection locked="0"/>
    </xf>
    <xf numFmtId="165" fontId="5" fillId="0" borderId="10" xfId="7" applyNumberFormat="1" applyFont="1" applyBorder="1" applyAlignment="1" applyProtection="1">
      <alignment horizontal="right"/>
      <protection locked="0"/>
    </xf>
    <xf numFmtId="0" fontId="38" fillId="0" borderId="2" xfId="7" applyBorder="1" applyProtection="1">
      <protection locked="0"/>
    </xf>
    <xf numFmtId="0" fontId="15" fillId="0" borderId="2" xfId="4" applyFont="1" applyBorder="1" applyProtection="1">
      <protection locked="0"/>
    </xf>
    <xf numFmtId="164" fontId="38" fillId="8" borderId="5" xfId="4" applyNumberFormat="1" applyFill="1" applyBorder="1" applyAlignment="1" applyProtection="1">
      <alignment horizontal="center" vertical="center"/>
      <protection locked="0"/>
    </xf>
    <xf numFmtId="0" fontId="4" fillId="8" borderId="1" xfId="4" applyFont="1" applyFill="1" applyBorder="1" applyProtection="1">
      <protection locked="0"/>
    </xf>
    <xf numFmtId="0" fontId="38" fillId="8" borderId="2" xfId="4" applyFill="1" applyBorder="1" applyProtection="1">
      <protection locked="0"/>
    </xf>
    <xf numFmtId="0" fontId="38" fillId="8" borderId="4" xfId="4" applyFill="1" applyBorder="1" applyProtection="1">
      <protection locked="0"/>
    </xf>
    <xf numFmtId="0" fontId="7" fillId="0" borderId="7" xfId="7" applyFont="1" applyBorder="1" applyProtection="1">
      <protection locked="0"/>
    </xf>
    <xf numFmtId="0" fontId="7" fillId="0" borderId="8" xfId="7" applyFont="1" applyBorder="1" applyProtection="1">
      <protection locked="0"/>
    </xf>
    <xf numFmtId="0" fontId="7" fillId="0" borderId="9" xfId="7" applyFont="1" applyBorder="1" applyProtection="1">
      <protection locked="0"/>
    </xf>
    <xf numFmtId="165" fontId="3" fillId="0" borderId="1" xfId="7" applyNumberFormat="1" applyFont="1" applyBorder="1" applyAlignment="1" applyProtection="1">
      <alignment horizontal="right"/>
      <protection locked="0"/>
    </xf>
    <xf numFmtId="0" fontId="7" fillId="0" borderId="10" xfId="7" applyFont="1" applyBorder="1" applyProtection="1">
      <protection locked="0"/>
    </xf>
    <xf numFmtId="165" fontId="3" fillId="0" borderId="1" xfId="7" applyNumberFormat="1" applyFont="1" applyBorder="1" applyProtection="1">
      <protection locked="0"/>
    </xf>
    <xf numFmtId="166" fontId="11" fillId="9" borderId="0" xfId="2" applyNumberFormat="1" applyFont="1" applyFill="1" applyProtection="1">
      <protection locked="0"/>
    </xf>
    <xf numFmtId="0" fontId="38" fillId="0" borderId="0" xfId="4" applyAlignment="1" applyProtection="1">
      <alignment horizontal="left"/>
      <protection locked="0"/>
    </xf>
    <xf numFmtId="0" fontId="5" fillId="0" borderId="0" xfId="4" applyFont="1" applyProtection="1">
      <protection locked="0"/>
    </xf>
    <xf numFmtId="0" fontId="24" fillId="10" borderId="0" xfId="4" applyFont="1" applyFill="1" applyProtection="1">
      <protection locked="0"/>
    </xf>
    <xf numFmtId="0" fontId="24" fillId="10" borderId="0" xfId="4" applyFont="1" applyFill="1" applyAlignment="1" applyProtection="1">
      <alignment horizontal="center"/>
      <protection locked="0"/>
    </xf>
    <xf numFmtId="0" fontId="73" fillId="10" borderId="0" xfId="4" applyFont="1" applyFill="1" applyAlignment="1" applyProtection="1">
      <alignment horizontal="right"/>
      <protection locked="0"/>
    </xf>
    <xf numFmtId="165" fontId="24" fillId="10" borderId="0" xfId="4" applyNumberFormat="1" applyFont="1" applyFill="1" applyProtection="1">
      <protection locked="0"/>
    </xf>
    <xf numFmtId="0" fontId="41" fillId="0" borderId="0" xfId="4" applyFont="1" applyAlignment="1" applyProtection="1">
      <alignment horizontal="centerContinuous"/>
      <protection locked="0"/>
    </xf>
    <xf numFmtId="0" fontId="77" fillId="10" borderId="0" xfId="4" applyFont="1" applyFill="1" applyAlignment="1" applyProtection="1">
      <alignment horizontal="centerContinuous"/>
      <protection locked="0"/>
    </xf>
    <xf numFmtId="0" fontId="38" fillId="0" borderId="0" xfId="4" applyAlignment="1" applyProtection="1">
      <alignment horizontal="right"/>
      <protection locked="0"/>
    </xf>
    <xf numFmtId="168" fontId="11" fillId="16" borderId="2" xfId="2" applyNumberFormat="1" applyFont="1" applyFill="1" applyBorder="1" applyAlignment="1" applyProtection="1">
      <alignment vertical="center"/>
      <protection locked="0"/>
    </xf>
    <xf numFmtId="168" fontId="11" fillId="16" borderId="4" xfId="2" applyNumberFormat="1" applyFont="1" applyFill="1" applyBorder="1" applyAlignment="1" applyProtection="1">
      <alignment vertical="center"/>
      <protection locked="0"/>
    </xf>
    <xf numFmtId="168" fontId="27" fillId="17" borderId="5" xfId="2" applyNumberFormat="1" applyFont="1" applyFill="1" applyBorder="1" applyAlignment="1" applyProtection="1">
      <alignment vertical="center"/>
      <protection locked="0"/>
    </xf>
    <xf numFmtId="166" fontId="11" fillId="20" borderId="0" xfId="2" applyNumberFormat="1" applyFont="1" applyFill="1" applyAlignment="1" applyProtection="1">
      <alignment vertical="center"/>
      <protection locked="0"/>
    </xf>
    <xf numFmtId="166" fontId="11" fillId="20" borderId="0" xfId="2" applyNumberFormat="1" applyFont="1" applyFill="1" applyAlignment="1" applyProtection="1">
      <alignment horizontal="center" vertical="center"/>
      <protection locked="0"/>
    </xf>
    <xf numFmtId="0" fontId="11" fillId="20" borderId="0" xfId="2" applyFont="1" applyFill="1" applyAlignment="1" applyProtection="1">
      <alignment vertical="center"/>
      <protection locked="0"/>
    </xf>
    <xf numFmtId="0" fontId="1" fillId="20" borderId="0" xfId="2" applyFill="1" applyAlignment="1" applyProtection="1">
      <alignment vertical="center"/>
      <protection locked="0"/>
    </xf>
    <xf numFmtId="166" fontId="22" fillId="8" borderId="1" xfId="6" applyNumberFormat="1" applyFont="1" applyFill="1" applyBorder="1" applyAlignment="1" applyProtection="1">
      <alignment horizontal="centerContinuous" vertical="center"/>
      <protection locked="0"/>
    </xf>
    <xf numFmtId="0" fontId="9" fillId="8" borderId="2" xfId="6" applyFont="1" applyFill="1" applyBorder="1" applyAlignment="1" applyProtection="1">
      <alignment horizontal="centerContinuous" vertical="center"/>
      <protection locked="0"/>
    </xf>
    <xf numFmtId="0" fontId="9" fillId="8" borderId="4" xfId="6" applyFont="1" applyFill="1" applyBorder="1" applyAlignment="1" applyProtection="1">
      <alignment horizontal="centerContinuous" vertical="center"/>
      <protection locked="0"/>
    </xf>
    <xf numFmtId="166" fontId="9" fillId="9" borderId="0" xfId="2" applyNumberFormat="1" applyFont="1" applyFill="1" applyProtection="1">
      <protection locked="0"/>
    </xf>
    <xf numFmtId="166" fontId="10" fillId="8" borderId="0" xfId="6" applyNumberFormat="1" applyFont="1" applyFill="1" applyAlignment="1" applyProtection="1">
      <alignment vertical="center"/>
      <protection locked="0"/>
    </xf>
    <xf numFmtId="0" fontId="11" fillId="8" borderId="0" xfId="6" applyFont="1" applyFill="1" applyAlignment="1" applyProtection="1">
      <alignment vertical="center"/>
      <protection locked="0"/>
    </xf>
    <xf numFmtId="14" fontId="9" fillId="3" borderId="79" xfId="0" applyNumberFormat="1" applyFont="1" applyFill="1" applyBorder="1" applyAlignment="1" applyProtection="1">
      <alignment horizontal="right" vertical="center"/>
      <protection locked="0"/>
    </xf>
    <xf numFmtId="0" fontId="9" fillId="3" borderId="78" xfId="6" applyFont="1" applyFill="1" applyBorder="1" applyAlignment="1" applyProtection="1">
      <alignment vertical="center"/>
      <protection locked="0"/>
    </xf>
    <xf numFmtId="0" fontId="78" fillId="8" borderId="0" xfId="2" applyFont="1" applyFill="1" applyAlignment="1" applyProtection="1">
      <alignment vertical="center"/>
      <protection locked="0"/>
    </xf>
    <xf numFmtId="0" fontId="11" fillId="8" borderId="0" xfId="2" applyFont="1" applyFill="1" applyAlignment="1" applyProtection="1">
      <alignment vertical="center"/>
      <protection locked="0"/>
    </xf>
    <xf numFmtId="0" fontId="13" fillId="0" borderId="11" xfId="7" applyFont="1" applyBorder="1" applyAlignment="1" applyProtection="1">
      <alignment horizontal="center" vertical="center"/>
      <protection locked="0"/>
    </xf>
    <xf numFmtId="0" fontId="13" fillId="0" borderId="20" xfId="7" applyFont="1" applyBorder="1" applyAlignment="1" applyProtection="1">
      <alignment horizontal="center" vertical="center"/>
      <protection locked="0"/>
    </xf>
    <xf numFmtId="0" fontId="13" fillId="0" borderId="13" xfId="7" applyFont="1" applyBorder="1" applyAlignment="1" applyProtection="1">
      <alignment horizontal="center" vertical="center"/>
      <protection locked="0"/>
    </xf>
    <xf numFmtId="0" fontId="13" fillId="0" borderId="14" xfId="7" applyFont="1" applyBorder="1" applyAlignment="1" applyProtection="1">
      <alignment horizontal="center" vertical="center"/>
      <protection locked="0"/>
    </xf>
    <xf numFmtId="165" fontId="5" fillId="8" borderId="5" xfId="7" applyNumberFormat="1" applyFont="1" applyFill="1" applyBorder="1" applyAlignment="1" applyProtection="1">
      <alignment vertical="center"/>
      <protection locked="0"/>
    </xf>
    <xf numFmtId="1" fontId="15" fillId="0" borderId="14" xfId="7" applyNumberFormat="1" applyFont="1" applyBorder="1" applyAlignment="1" applyProtection="1">
      <alignment horizontal="center"/>
      <protection locked="0"/>
    </xf>
    <xf numFmtId="0" fontId="15" fillId="0" borderId="5" xfId="7" applyFont="1" applyBorder="1" applyAlignment="1" applyProtection="1">
      <alignment horizontal="center"/>
      <protection locked="0"/>
    </xf>
    <xf numFmtId="1" fontId="15" fillId="0" borderId="5" xfId="7" applyNumberFormat="1" applyFont="1" applyBorder="1" applyAlignment="1" applyProtection="1">
      <alignment horizontal="center" vertical="center"/>
      <protection locked="0"/>
    </xf>
    <xf numFmtId="2" fontId="15" fillId="0" borderId="5" xfId="7" applyNumberFormat="1" applyFont="1" applyBorder="1" applyAlignment="1" applyProtection="1">
      <alignment horizontal="center" vertical="center"/>
      <protection locked="0"/>
    </xf>
    <xf numFmtId="2" fontId="33" fillId="0" borderId="5" xfId="7" applyNumberFormat="1" applyFont="1" applyBorder="1" applyAlignment="1" applyProtection="1">
      <alignment horizontal="center" vertical="center"/>
      <protection locked="0"/>
    </xf>
    <xf numFmtId="0" fontId="1" fillId="0" borderId="1" xfId="6" applyBorder="1" applyAlignment="1" applyProtection="1">
      <alignment vertical="center"/>
      <protection locked="0"/>
    </xf>
    <xf numFmtId="173" fontId="15" fillId="4" borderId="4" xfId="7" applyNumberFormat="1" applyFont="1" applyFill="1" applyBorder="1" applyAlignment="1" applyProtection="1">
      <alignment vertical="center"/>
      <protection locked="0"/>
    </xf>
    <xf numFmtId="173" fontId="38" fillId="0" borderId="1" xfId="7" applyNumberFormat="1" applyBorder="1" applyAlignment="1" applyProtection="1">
      <alignment vertical="center"/>
      <protection locked="0"/>
    </xf>
    <xf numFmtId="173" fontId="15" fillId="0" borderId="4" xfId="7" applyNumberFormat="1" applyFont="1" applyBorder="1" applyAlignment="1" applyProtection="1">
      <alignment vertical="center"/>
      <protection locked="0"/>
    </xf>
    <xf numFmtId="173" fontId="15" fillId="0" borderId="0" xfId="7" applyNumberFormat="1" applyFont="1" applyAlignment="1" applyProtection="1">
      <alignment vertical="center"/>
      <protection locked="0"/>
    </xf>
    <xf numFmtId="0" fontId="32" fillId="3" borderId="1" xfId="7" applyFont="1" applyFill="1" applyBorder="1" applyAlignment="1" applyProtection="1">
      <alignment horizontal="centerContinuous"/>
      <protection locked="0"/>
    </xf>
    <xf numFmtId="0" fontId="38" fillId="3" borderId="2" xfId="7" applyFill="1" applyBorder="1" applyAlignment="1" applyProtection="1">
      <alignment horizontal="centerContinuous"/>
      <protection locked="0"/>
    </xf>
    <xf numFmtId="0" fontId="38" fillId="3" borderId="4" xfId="7" applyFill="1" applyBorder="1" applyAlignment="1" applyProtection="1">
      <alignment horizontal="centerContinuous"/>
      <protection locked="0"/>
    </xf>
    <xf numFmtId="0" fontId="30" fillId="0" borderId="0" xfId="6" applyFont="1" applyAlignment="1" applyProtection="1">
      <alignment vertical="center"/>
      <protection locked="0"/>
    </xf>
    <xf numFmtId="167" fontId="11" fillId="0" borderId="0" xfId="6" applyNumberFormat="1" applyFont="1" applyAlignment="1" applyProtection="1">
      <alignment horizontal="center" vertical="center"/>
      <protection locked="0"/>
    </xf>
    <xf numFmtId="0" fontId="32" fillId="3" borderId="15" xfId="7" applyFont="1" applyFill="1" applyBorder="1" applyProtection="1">
      <protection locked="0"/>
    </xf>
    <xf numFmtId="0" fontId="38" fillId="3" borderId="3" xfId="7" applyFill="1" applyBorder="1" applyProtection="1">
      <protection locked="0"/>
    </xf>
    <xf numFmtId="0" fontId="38" fillId="3" borderId="6" xfId="7" applyFill="1" applyBorder="1" applyProtection="1">
      <protection locked="0"/>
    </xf>
    <xf numFmtId="0" fontId="32" fillId="3" borderId="16" xfId="7" applyFont="1" applyFill="1" applyBorder="1" applyProtection="1">
      <protection locked="0"/>
    </xf>
    <xf numFmtId="0" fontId="38" fillId="3" borderId="17" xfId="7" applyFill="1" applyBorder="1" applyProtection="1">
      <protection locked="0"/>
    </xf>
    <xf numFmtId="0" fontId="38" fillId="3" borderId="18" xfId="7" applyFill="1" applyBorder="1" applyProtection="1">
      <protection locked="0"/>
    </xf>
    <xf numFmtId="0" fontId="15" fillId="10" borderId="0" xfId="7" applyFont="1" applyFill="1" applyAlignment="1" applyProtection="1">
      <alignment vertical="center"/>
      <protection locked="0"/>
    </xf>
    <xf numFmtId="0" fontId="1" fillId="10" borderId="0" xfId="6" applyFill="1" applyAlignment="1" applyProtection="1">
      <alignment vertical="center"/>
      <protection locked="0"/>
    </xf>
    <xf numFmtId="0" fontId="32" fillId="3" borderId="21" xfId="7" applyFont="1" applyFill="1" applyBorder="1" applyProtection="1">
      <protection locked="0"/>
    </xf>
    <xf numFmtId="0" fontId="38" fillId="3" borderId="0" xfId="7" applyFill="1" applyProtection="1">
      <protection locked="0"/>
    </xf>
    <xf numFmtId="0" fontId="38" fillId="3" borderId="22" xfId="7" applyFill="1" applyBorder="1" applyProtection="1">
      <protection locked="0"/>
    </xf>
    <xf numFmtId="174" fontId="15" fillId="0" borderId="2" xfId="7" applyNumberFormat="1" applyFont="1" applyBorder="1" applyAlignment="1" applyProtection="1">
      <alignment vertical="center"/>
      <protection locked="0"/>
    </xf>
    <xf numFmtId="174" fontId="15" fillId="0" borderId="4" xfId="7" applyNumberFormat="1" applyFont="1" applyBorder="1" applyAlignment="1" applyProtection="1">
      <alignment vertical="center"/>
      <protection locked="0"/>
    </xf>
    <xf numFmtId="173" fontId="15" fillId="0" borderId="5" xfId="7" applyNumberFormat="1" applyFont="1" applyBorder="1" applyAlignment="1" applyProtection="1">
      <alignment vertical="center"/>
      <protection locked="0"/>
    </xf>
    <xf numFmtId="14" fontId="33" fillId="0" borderId="5" xfId="5" applyNumberFormat="1" applyFont="1" applyFill="1" applyBorder="1" applyAlignment="1" applyProtection="1">
      <alignment horizontal="center" vertical="center"/>
      <protection locked="0"/>
    </xf>
    <xf numFmtId="167" fontId="28" fillId="0" borderId="1" xfId="6" applyNumberFormat="1" applyFont="1" applyBorder="1" applyAlignment="1" applyProtection="1">
      <alignment vertical="center"/>
      <protection locked="0"/>
    </xf>
    <xf numFmtId="0" fontId="1" fillId="0" borderId="4" xfId="6" applyBorder="1" applyAlignment="1" applyProtection="1">
      <alignment vertical="center"/>
      <protection locked="0"/>
    </xf>
    <xf numFmtId="174" fontId="15" fillId="0" borderId="0" xfId="7" applyNumberFormat="1" applyFont="1" applyAlignment="1" applyProtection="1">
      <alignment vertical="center"/>
      <protection locked="0"/>
    </xf>
    <xf numFmtId="165" fontId="32" fillId="3" borderId="3" xfId="7" applyNumberFormat="1" applyFont="1" applyFill="1" applyBorder="1" applyAlignment="1" applyProtection="1">
      <alignment horizontal="left"/>
      <protection locked="0"/>
    </xf>
    <xf numFmtId="0" fontId="45" fillId="0" borderId="0" xfId="7" applyFont="1" applyAlignment="1" applyProtection="1">
      <alignment vertical="center"/>
      <protection locked="0"/>
    </xf>
    <xf numFmtId="165" fontId="32" fillId="3" borderId="17" xfId="7" applyNumberFormat="1" applyFont="1" applyFill="1" applyBorder="1" applyAlignment="1" applyProtection="1">
      <alignment horizontal="left"/>
      <protection locked="0"/>
    </xf>
    <xf numFmtId="0" fontId="0" fillId="0" borderId="0" xfId="6" applyFont="1" applyAlignment="1" applyProtection="1">
      <alignment vertical="center"/>
      <protection locked="0"/>
    </xf>
    <xf numFmtId="0" fontId="11" fillId="0" borderId="1" xfId="6" applyFont="1" applyBorder="1" applyAlignment="1" applyProtection="1">
      <alignment vertical="center"/>
      <protection locked="0"/>
    </xf>
    <xf numFmtId="165" fontId="13" fillId="4" borderId="4" xfId="7" applyNumberFormat="1" applyFont="1" applyFill="1" applyBorder="1" applyAlignment="1" applyProtection="1">
      <alignment vertical="center"/>
      <protection locked="0"/>
    </xf>
    <xf numFmtId="165" fontId="11" fillId="0" borderId="4" xfId="6" applyNumberFormat="1" applyFont="1" applyBorder="1" applyAlignment="1" applyProtection="1">
      <alignment vertical="center"/>
      <protection locked="0"/>
    </xf>
    <xf numFmtId="0" fontId="15" fillId="0" borderId="1" xfId="7" applyFont="1" applyBorder="1" applyAlignment="1" applyProtection="1">
      <alignment vertical="center"/>
      <protection locked="0"/>
    </xf>
    <xf numFmtId="0" fontId="1" fillId="0" borderId="2" xfId="6" applyBorder="1" applyAlignment="1" applyProtection="1">
      <alignment vertical="center"/>
      <protection locked="0"/>
    </xf>
    <xf numFmtId="165" fontId="13" fillId="0" borderId="4" xfId="7" applyNumberFormat="1" applyFont="1" applyBorder="1" applyAlignment="1" applyProtection="1">
      <alignment vertical="center"/>
      <protection locked="0"/>
    </xf>
    <xf numFmtId="0" fontId="4" fillId="0" borderId="1" xfId="7" applyFont="1" applyBorder="1" applyAlignment="1" applyProtection="1">
      <alignment vertical="center"/>
      <protection locked="0"/>
    </xf>
    <xf numFmtId="0" fontId="47" fillId="0" borderId="0" xfId="7" applyFont="1" applyAlignment="1" applyProtection="1">
      <alignment horizontal="left" vertical="center"/>
      <protection locked="0"/>
    </xf>
    <xf numFmtId="165" fontId="5" fillId="0" borderId="5" xfId="7" applyNumberFormat="1" applyFont="1" applyBorder="1" applyAlignment="1" applyProtection="1">
      <alignment vertical="center"/>
      <protection locked="0"/>
    </xf>
    <xf numFmtId="168" fontId="10" fillId="0" borderId="5" xfId="6" applyNumberFormat="1" applyFont="1" applyBorder="1" applyAlignment="1" applyProtection="1">
      <alignment vertical="center"/>
      <protection locked="0"/>
    </xf>
    <xf numFmtId="0" fontId="1" fillId="0" borderId="21" xfId="6" applyBorder="1" applyAlignment="1" applyProtection="1">
      <alignment vertical="center"/>
      <protection locked="0"/>
    </xf>
    <xf numFmtId="173" fontId="38" fillId="0" borderId="0" xfId="7" applyNumberFormat="1" applyAlignment="1" applyProtection="1">
      <alignment vertical="center"/>
      <protection locked="0"/>
    </xf>
    <xf numFmtId="14" fontId="33" fillId="0" borderId="0" xfId="5" applyNumberFormat="1" applyFont="1" applyFill="1" applyBorder="1" applyAlignment="1" applyProtection="1">
      <alignment horizontal="center" vertical="center"/>
      <protection locked="0"/>
    </xf>
    <xf numFmtId="2" fontId="15" fillId="0" borderId="0" xfId="7" applyNumberFormat="1" applyFont="1" applyAlignment="1" applyProtection="1">
      <alignment horizontal="center" vertical="center"/>
      <protection locked="0"/>
    </xf>
    <xf numFmtId="167" fontId="28" fillId="0" borderId="0" xfId="6" applyNumberFormat="1" applyFont="1" applyAlignment="1" applyProtection="1">
      <alignment vertical="center"/>
      <protection locked="0"/>
    </xf>
    <xf numFmtId="14" fontId="15" fillId="0" borderId="5" xfId="5" applyNumberFormat="1" applyFont="1" applyFill="1" applyBorder="1" applyAlignment="1" applyProtection="1">
      <alignment horizontal="center" vertical="center"/>
      <protection locked="0"/>
    </xf>
    <xf numFmtId="2" fontId="15" fillId="0" borderId="5" xfId="5" applyNumberFormat="1" applyFont="1" applyFill="1" applyBorder="1" applyAlignment="1" applyProtection="1">
      <alignment horizontal="center" vertical="center"/>
      <protection locked="0"/>
    </xf>
    <xf numFmtId="2" fontId="15" fillId="0" borderId="5" xfId="7" applyNumberFormat="1" applyFont="1" applyBorder="1" applyAlignment="1" applyProtection="1">
      <alignment vertical="center"/>
      <protection locked="0"/>
    </xf>
    <xf numFmtId="2" fontId="47" fillId="0" borderId="0" xfId="7" applyNumberFormat="1" applyFont="1" applyAlignment="1" applyProtection="1">
      <alignment horizontal="left" vertical="center"/>
      <protection locked="0"/>
    </xf>
    <xf numFmtId="167" fontId="11" fillId="0" borderId="0" xfId="6" applyNumberFormat="1" applyFont="1" applyProtection="1">
      <protection locked="0"/>
    </xf>
    <xf numFmtId="165" fontId="11" fillId="0" borderId="0" xfId="6" applyNumberFormat="1" applyFont="1" applyProtection="1">
      <protection locked="0"/>
    </xf>
    <xf numFmtId="168" fontId="11" fillId="0" borderId="0" xfId="6" applyNumberFormat="1" applyFont="1" applyProtection="1">
      <protection locked="0"/>
    </xf>
    <xf numFmtId="165" fontId="11" fillId="0" borderId="0" xfId="6" applyNumberFormat="1" applyFont="1" applyAlignment="1" applyProtection="1">
      <alignment horizontal="center"/>
      <protection locked="0"/>
    </xf>
    <xf numFmtId="0" fontId="11" fillId="0" borderId="0" xfId="6" applyFont="1" applyProtection="1">
      <protection locked="0"/>
    </xf>
    <xf numFmtId="167" fontId="10" fillId="0" borderId="0" xfId="8" applyNumberFormat="1" applyFont="1" applyProtection="1">
      <protection locked="0"/>
    </xf>
    <xf numFmtId="165" fontId="10" fillId="0" borderId="0" xfId="8" applyNumberFormat="1" applyFont="1" applyProtection="1">
      <protection locked="0"/>
    </xf>
    <xf numFmtId="166" fontId="11" fillId="0" borderId="0" xfId="2" applyNumberFormat="1" applyFont="1" applyProtection="1">
      <protection locked="0"/>
    </xf>
    <xf numFmtId="0" fontId="27" fillId="4" borderId="0" xfId="6" applyFont="1" applyFill="1" applyProtection="1">
      <protection locked="0"/>
    </xf>
    <xf numFmtId="167" fontId="10" fillId="4" borderId="0" xfId="8" applyNumberFormat="1" applyFont="1" applyFill="1" applyProtection="1">
      <protection locked="0"/>
    </xf>
    <xf numFmtId="165" fontId="10" fillId="4" borderId="0" xfId="8" applyNumberFormat="1" applyFont="1" applyFill="1" applyProtection="1">
      <protection locked="0"/>
    </xf>
    <xf numFmtId="165" fontId="11" fillId="4" borderId="0" xfId="6" applyNumberFormat="1" applyFont="1" applyFill="1" applyAlignment="1" applyProtection="1">
      <alignment horizontal="center"/>
      <protection locked="0"/>
    </xf>
    <xf numFmtId="0" fontId="49" fillId="0" borderId="0" xfId="7" applyFont="1" applyAlignment="1" applyProtection="1">
      <alignment horizontal="left"/>
      <protection locked="0"/>
    </xf>
    <xf numFmtId="0" fontId="29" fillId="8" borderId="5" xfId="7" applyFont="1" applyFill="1" applyBorder="1" applyAlignment="1" applyProtection="1">
      <alignment horizontal="center" vertical="center"/>
      <protection locked="0"/>
    </xf>
    <xf numFmtId="167" fontId="5" fillId="0" borderId="5" xfId="0" applyNumberFormat="1" applyFont="1" applyBorder="1" applyAlignment="1" applyProtection="1">
      <alignment vertical="center"/>
      <protection locked="0"/>
    </xf>
    <xf numFmtId="0" fontId="24" fillId="8" borderId="5" xfId="7" applyFont="1" applyFill="1" applyBorder="1" applyAlignment="1" applyProtection="1">
      <alignment horizontal="center" vertical="center"/>
      <protection locked="0"/>
    </xf>
    <xf numFmtId="165" fontId="24" fillId="0" borderId="5" xfId="7" applyNumberFormat="1" applyFont="1" applyBorder="1" applyAlignment="1" applyProtection="1">
      <alignment vertical="center"/>
      <protection locked="0"/>
    </xf>
    <xf numFmtId="0" fontId="38" fillId="8" borderId="0" xfId="7" applyFill="1" applyProtection="1">
      <protection locked="0"/>
    </xf>
    <xf numFmtId="0" fontId="38" fillId="0" borderId="0" xfId="7" applyProtection="1">
      <protection locked="0"/>
    </xf>
    <xf numFmtId="0" fontId="38" fillId="8" borderId="1" xfId="7" applyFill="1" applyBorder="1" applyProtection="1">
      <protection locked="0"/>
    </xf>
    <xf numFmtId="0" fontId="38" fillId="8" borderId="2" xfId="7" applyFill="1" applyBorder="1" applyProtection="1">
      <protection locked="0"/>
    </xf>
    <xf numFmtId="0" fontId="38" fillId="8" borderId="4" xfId="7" applyFill="1" applyBorder="1" applyProtection="1">
      <protection locked="0"/>
    </xf>
    <xf numFmtId="0" fontId="65" fillId="8" borderId="1" xfId="7" applyFont="1" applyFill="1" applyBorder="1" applyProtection="1">
      <protection locked="0"/>
    </xf>
    <xf numFmtId="0" fontId="65" fillId="8" borderId="2" xfId="7" applyFont="1" applyFill="1" applyBorder="1" applyProtection="1">
      <protection locked="0"/>
    </xf>
    <xf numFmtId="0" fontId="65" fillId="8" borderId="4" xfId="7" applyFont="1" applyFill="1" applyBorder="1" applyProtection="1">
      <protection locked="0"/>
    </xf>
    <xf numFmtId="8" fontId="79" fillId="8" borderId="12" xfId="7" applyNumberFormat="1" applyFont="1" applyFill="1" applyBorder="1" applyProtection="1">
      <protection locked="0"/>
    </xf>
    <xf numFmtId="2" fontId="38" fillId="0" borderId="0" xfId="7" applyNumberFormat="1" applyProtection="1">
      <protection locked="0"/>
    </xf>
    <xf numFmtId="2" fontId="63" fillId="8" borderId="1" xfId="7" applyNumberFormat="1" applyFont="1" applyFill="1" applyBorder="1" applyProtection="1">
      <protection locked="0"/>
    </xf>
    <xf numFmtId="2" fontId="63" fillId="8" borderId="2" xfId="7" applyNumberFormat="1" applyFont="1" applyFill="1" applyBorder="1" applyProtection="1">
      <protection locked="0"/>
    </xf>
    <xf numFmtId="2" fontId="63" fillId="8" borderId="4" xfId="7" applyNumberFormat="1" applyFont="1" applyFill="1" applyBorder="1" applyProtection="1">
      <protection locked="0"/>
    </xf>
    <xf numFmtId="0" fontId="68" fillId="0" borderId="0" xfId="4" applyFont="1" applyProtection="1">
      <protection locked="0"/>
    </xf>
    <xf numFmtId="0" fontId="50" fillId="0" borderId="0" xfId="7" applyFont="1" applyProtection="1">
      <protection locked="0"/>
    </xf>
    <xf numFmtId="0" fontId="38" fillId="0" borderId="0" xfId="7" applyAlignment="1" applyProtection="1">
      <alignment horizontal="left"/>
      <protection locked="0"/>
    </xf>
    <xf numFmtId="14" fontId="17" fillId="8" borderId="0" xfId="7" applyNumberFormat="1" applyFont="1" applyFill="1" applyAlignment="1" applyProtection="1">
      <alignment horizontal="left"/>
      <protection locked="0"/>
    </xf>
    <xf numFmtId="2" fontId="16" fillId="8" borderId="15" xfId="7" applyNumberFormat="1" applyFont="1" applyFill="1" applyBorder="1" applyProtection="1">
      <protection locked="0"/>
    </xf>
    <xf numFmtId="2" fontId="16" fillId="8" borderId="3" xfId="7" applyNumberFormat="1" applyFont="1" applyFill="1" applyBorder="1" applyProtection="1">
      <protection locked="0"/>
    </xf>
    <xf numFmtId="2" fontId="16" fillId="8" borderId="6" xfId="7" applyNumberFormat="1" applyFont="1" applyFill="1" applyBorder="1" applyProtection="1">
      <protection locked="0"/>
    </xf>
    <xf numFmtId="2" fontId="16" fillId="8" borderId="16" xfId="7" applyNumberFormat="1" applyFont="1" applyFill="1" applyBorder="1" applyProtection="1">
      <protection locked="0"/>
    </xf>
    <xf numFmtId="2" fontId="16" fillId="8" borderId="17" xfId="7" applyNumberFormat="1" applyFont="1" applyFill="1" applyBorder="1" applyProtection="1">
      <protection locked="0"/>
    </xf>
    <xf numFmtId="2" fontId="16" fillId="8" borderId="18" xfId="7" applyNumberFormat="1" applyFont="1" applyFill="1" applyBorder="1" applyProtection="1">
      <protection locked="0"/>
    </xf>
    <xf numFmtId="2" fontId="3" fillId="8" borderId="15" xfId="7" applyNumberFormat="1" applyFont="1" applyFill="1" applyBorder="1" applyProtection="1">
      <protection locked="0"/>
    </xf>
    <xf numFmtId="2" fontId="3" fillId="8" borderId="3" xfId="7" applyNumberFormat="1" applyFont="1" applyFill="1" applyBorder="1" applyProtection="1">
      <protection locked="0"/>
    </xf>
    <xf numFmtId="2" fontId="3" fillId="8" borderId="6" xfId="7" applyNumberFormat="1" applyFont="1" applyFill="1" applyBorder="1" applyProtection="1">
      <protection locked="0"/>
    </xf>
    <xf numFmtId="2" fontId="3" fillId="8" borderId="16" xfId="7" applyNumberFormat="1" applyFont="1" applyFill="1" applyBorder="1" applyProtection="1">
      <protection locked="0"/>
    </xf>
    <xf numFmtId="2" fontId="3" fillId="8" borderId="17" xfId="7" applyNumberFormat="1" applyFont="1" applyFill="1" applyBorder="1" applyProtection="1">
      <protection locked="0"/>
    </xf>
    <xf numFmtId="2" fontId="3" fillId="8" borderId="18" xfId="7" applyNumberFormat="1" applyFont="1" applyFill="1" applyBorder="1" applyProtection="1">
      <protection locked="0"/>
    </xf>
    <xf numFmtId="2" fontId="5" fillId="8" borderId="0" xfId="7" applyNumberFormat="1" applyFont="1" applyFill="1" applyProtection="1">
      <protection locked="0"/>
    </xf>
    <xf numFmtId="2" fontId="16" fillId="8" borderId="1" xfId="7" applyNumberFormat="1" applyFont="1" applyFill="1" applyBorder="1" applyAlignment="1" applyProtection="1">
      <alignment horizontal="centerContinuous"/>
      <protection locked="0"/>
    </xf>
    <xf numFmtId="2" fontId="16" fillId="8" borderId="2" xfId="7" applyNumberFormat="1" applyFont="1" applyFill="1" applyBorder="1" applyAlignment="1" applyProtection="1">
      <alignment horizontal="centerContinuous"/>
      <protection locked="0"/>
    </xf>
    <xf numFmtId="2" fontId="16" fillId="8" borderId="4" xfId="7" applyNumberFormat="1" applyFont="1" applyFill="1" applyBorder="1" applyAlignment="1" applyProtection="1">
      <alignment horizontal="centerContinuous"/>
      <protection locked="0"/>
    </xf>
    <xf numFmtId="166" fontId="80" fillId="0" borderId="0" xfId="6" applyNumberFormat="1" applyFont="1" applyAlignment="1" applyProtection="1">
      <alignment vertical="center"/>
      <protection locked="0"/>
    </xf>
    <xf numFmtId="166" fontId="80" fillId="0" borderId="23" xfId="6" applyNumberFormat="1" applyFont="1" applyBorder="1" applyAlignment="1" applyProtection="1">
      <alignment vertical="center"/>
      <protection locked="0"/>
    </xf>
    <xf numFmtId="0" fontId="5" fillId="0" borderId="24" xfId="7" applyFont="1" applyBorder="1" applyProtection="1">
      <protection locked="0"/>
    </xf>
    <xf numFmtId="0" fontId="38" fillId="0" borderId="24" xfId="7" applyBorder="1" applyProtection="1">
      <protection locked="0"/>
    </xf>
    <xf numFmtId="0" fontId="5" fillId="0" borderId="0" xfId="7" applyFont="1" applyProtection="1">
      <protection locked="0"/>
    </xf>
    <xf numFmtId="0" fontId="6" fillId="0" borderId="0" xfId="7" applyFont="1" applyAlignment="1" applyProtection="1">
      <alignment horizontal="left"/>
      <protection locked="0"/>
    </xf>
    <xf numFmtId="0" fontId="6" fillId="0" borderId="29" xfId="7" applyFont="1" applyBorder="1" applyAlignment="1" applyProtection="1">
      <alignment horizontal="left"/>
      <protection locked="0"/>
    </xf>
    <xf numFmtId="0" fontId="5" fillId="0" borderId="21" xfId="7" applyFont="1" applyBorder="1" applyProtection="1">
      <protection locked="0"/>
    </xf>
    <xf numFmtId="0" fontId="51" fillId="10" borderId="0" xfId="6" applyFont="1" applyFill="1" applyProtection="1">
      <protection locked="0"/>
    </xf>
    <xf numFmtId="0" fontId="5" fillId="10" borderId="0" xfId="7" applyFont="1" applyFill="1" applyProtection="1">
      <protection locked="0"/>
    </xf>
    <xf numFmtId="0" fontId="38" fillId="10" borderId="0" xfId="7" applyFill="1" applyProtection="1">
      <protection locked="0"/>
    </xf>
    <xf numFmtId="0" fontId="2" fillId="11" borderId="1" xfId="7" applyFont="1" applyFill="1" applyBorder="1" applyAlignment="1" applyProtection="1">
      <alignment horizontal="centerContinuous"/>
      <protection locked="0"/>
    </xf>
    <xf numFmtId="0" fontId="2" fillId="11" borderId="2" xfId="7" applyFont="1" applyFill="1" applyBorder="1" applyAlignment="1" applyProtection="1">
      <alignment horizontal="centerContinuous"/>
      <protection locked="0"/>
    </xf>
    <xf numFmtId="0" fontId="3" fillId="11" borderId="2" xfId="7" applyFont="1" applyFill="1" applyBorder="1" applyAlignment="1" applyProtection="1">
      <alignment horizontal="centerContinuous"/>
      <protection locked="0"/>
    </xf>
    <xf numFmtId="0" fontId="38" fillId="4" borderId="4" xfId="7" applyFill="1" applyBorder="1" applyAlignment="1" applyProtection="1">
      <alignment horizontal="centerContinuous"/>
      <protection locked="0"/>
    </xf>
    <xf numFmtId="0" fontId="3" fillId="12" borderId="30" xfId="7" applyFont="1" applyFill="1" applyBorder="1" applyAlignment="1" applyProtection="1">
      <alignment horizontal="center"/>
      <protection locked="0"/>
    </xf>
    <xf numFmtId="0" fontId="3" fillId="12" borderId="31" xfId="7" applyFont="1" applyFill="1" applyBorder="1" applyAlignment="1" applyProtection="1">
      <alignment horizontal="center"/>
      <protection locked="0"/>
    </xf>
    <xf numFmtId="0" fontId="3" fillId="12" borderId="21" xfId="7" applyFont="1" applyFill="1" applyBorder="1" applyAlignment="1" applyProtection="1">
      <alignment horizontal="centerContinuous"/>
      <protection locked="0"/>
    </xf>
    <xf numFmtId="0" fontId="3" fillId="12" borderId="0" xfId="7" applyFont="1" applyFill="1" applyAlignment="1" applyProtection="1">
      <alignment horizontal="centerContinuous"/>
      <protection locked="0"/>
    </xf>
    <xf numFmtId="0" fontId="3" fillId="12" borderId="22" xfId="7" applyFont="1" applyFill="1" applyBorder="1" applyAlignment="1" applyProtection="1">
      <alignment horizontal="centerContinuous"/>
      <protection locked="0"/>
    </xf>
    <xf numFmtId="0" fontId="3" fillId="12" borderId="0" xfId="7" applyFont="1" applyFill="1" applyAlignment="1" applyProtection="1">
      <alignment horizontal="center"/>
      <protection locked="0"/>
    </xf>
    <xf numFmtId="0" fontId="14" fillId="12" borderId="32" xfId="7" applyFont="1" applyFill="1" applyBorder="1" applyProtection="1">
      <protection locked="0"/>
    </xf>
    <xf numFmtId="0" fontId="26" fillId="3" borderId="20" xfId="7" applyFont="1" applyFill="1" applyBorder="1" applyProtection="1">
      <protection locked="0"/>
    </xf>
    <xf numFmtId="0" fontId="4" fillId="0" borderId="5" xfId="7" applyFont="1" applyBorder="1" applyProtection="1">
      <protection locked="0"/>
    </xf>
    <xf numFmtId="0" fontId="38" fillId="0" borderId="4" xfId="7" applyBorder="1" applyProtection="1">
      <protection locked="0"/>
    </xf>
    <xf numFmtId="165" fontId="5" fillId="4" borderId="5" xfId="7" applyNumberFormat="1" applyFont="1" applyFill="1" applyBorder="1" applyAlignment="1" applyProtection="1">
      <alignment horizontal="right"/>
      <protection locked="0"/>
    </xf>
    <xf numFmtId="14" fontId="40" fillId="0" borderId="5" xfId="7" applyNumberFormat="1" applyFont="1" applyBorder="1" applyAlignment="1" applyProtection="1">
      <alignment horizontal="center"/>
      <protection locked="0"/>
    </xf>
    <xf numFmtId="0" fontId="40" fillId="0" borderId="5" xfId="7" applyFont="1" applyBorder="1" applyProtection="1">
      <protection locked="0"/>
    </xf>
    <xf numFmtId="0" fontId="6" fillId="0" borderId="0" xfId="7" applyFont="1" applyProtection="1">
      <protection locked="0"/>
    </xf>
    <xf numFmtId="0" fontId="6" fillId="0" borderId="29" xfId="7" applyFont="1" applyBorder="1" applyProtection="1">
      <protection locked="0"/>
    </xf>
    <xf numFmtId="165" fontId="5" fillId="0" borderId="5" xfId="7" applyNumberFormat="1" applyFont="1" applyBorder="1" applyProtection="1">
      <protection locked="0"/>
    </xf>
    <xf numFmtId="164" fontId="53" fillId="0" borderId="5" xfId="7" applyNumberFormat="1" applyFont="1" applyBorder="1" applyAlignment="1" applyProtection="1">
      <alignment horizontal="center" vertical="center"/>
      <protection locked="0"/>
    </xf>
    <xf numFmtId="166" fontId="54" fillId="0" borderId="5" xfId="7" applyNumberFormat="1" applyFont="1" applyBorder="1" applyProtection="1">
      <protection locked="0"/>
    </xf>
    <xf numFmtId="0" fontId="53" fillId="0" borderId="1" xfId="7" applyFont="1" applyBorder="1" applyProtection="1">
      <protection locked="0"/>
    </xf>
    <xf numFmtId="0" fontId="53" fillId="0" borderId="2" xfId="7" applyFont="1" applyBorder="1" applyProtection="1">
      <protection locked="0"/>
    </xf>
    <xf numFmtId="0" fontId="53" fillId="0" borderId="4" xfId="7" applyFont="1" applyBorder="1" applyProtection="1">
      <protection locked="0"/>
    </xf>
    <xf numFmtId="165" fontId="24" fillId="0" borderId="5" xfId="7" applyNumberFormat="1" applyFont="1" applyBorder="1" applyAlignment="1" applyProtection="1">
      <alignment horizontal="right"/>
      <protection locked="0"/>
    </xf>
    <xf numFmtId="164" fontId="38" fillId="3" borderId="5" xfId="7" quotePrefix="1" applyNumberFormat="1" applyFill="1" applyBorder="1" applyAlignment="1" applyProtection="1">
      <alignment horizontal="center" vertical="center"/>
      <protection locked="0"/>
    </xf>
    <xf numFmtId="0" fontId="4" fillId="3" borderId="5" xfId="7" applyFont="1" applyFill="1" applyBorder="1" applyProtection="1">
      <protection locked="0"/>
    </xf>
    <xf numFmtId="0" fontId="38" fillId="3" borderId="2" xfId="7" applyFill="1" applyBorder="1" applyProtection="1">
      <protection locked="0"/>
    </xf>
    <xf numFmtId="0" fontId="38" fillId="3" borderId="4" xfId="7" applyFill="1" applyBorder="1" applyProtection="1">
      <protection locked="0"/>
    </xf>
    <xf numFmtId="0" fontId="38" fillId="0" borderId="29" xfId="7" applyBorder="1" applyProtection="1">
      <protection locked="0"/>
    </xf>
    <xf numFmtId="164" fontId="38" fillId="4" borderId="5" xfId="7" applyNumberFormat="1" applyFill="1" applyBorder="1" applyAlignment="1" applyProtection="1">
      <alignment horizontal="center" vertical="center"/>
      <protection locked="0"/>
    </xf>
    <xf numFmtId="0" fontId="73" fillId="4" borderId="5" xfId="7" applyFont="1" applyFill="1" applyBorder="1" applyProtection="1">
      <protection locked="0"/>
    </xf>
    <xf numFmtId="165" fontId="5" fillId="4" borderId="5" xfId="7" applyNumberFormat="1" applyFont="1" applyFill="1" applyBorder="1" applyProtection="1">
      <protection locked="0"/>
    </xf>
    <xf numFmtId="0" fontId="54" fillId="0" borderId="5" xfId="7" applyFont="1" applyBorder="1" applyProtection="1">
      <protection locked="0"/>
    </xf>
    <xf numFmtId="0" fontId="55" fillId="0" borderId="5" xfId="7" applyFont="1" applyBorder="1" applyProtection="1">
      <protection locked="0"/>
    </xf>
    <xf numFmtId="0" fontId="57" fillId="0" borderId="0" xfId="7" applyFont="1" applyProtection="1">
      <protection locked="0"/>
    </xf>
    <xf numFmtId="165" fontId="5" fillId="0" borderId="5" xfId="7" applyNumberFormat="1" applyFont="1" applyBorder="1" applyAlignment="1" applyProtection="1">
      <alignment horizontal="right"/>
      <protection locked="0"/>
    </xf>
    <xf numFmtId="0" fontId="58" fillId="0" borderId="5" xfId="7" applyFont="1" applyBorder="1" applyProtection="1">
      <protection locked="0"/>
    </xf>
    <xf numFmtId="0" fontId="4" fillId="0" borderId="33" xfId="7" applyFont="1" applyBorder="1" applyProtection="1">
      <protection locked="0"/>
    </xf>
    <xf numFmtId="0" fontId="38" fillId="0" borderId="15" xfId="7" applyBorder="1" applyProtection="1">
      <protection locked="0"/>
    </xf>
    <xf numFmtId="0" fontId="5" fillId="0" borderId="3" xfId="7" applyFont="1" applyBorder="1" applyProtection="1">
      <protection locked="0"/>
    </xf>
    <xf numFmtId="165" fontId="5" fillId="0" borderId="20" xfId="7" applyNumberFormat="1" applyFont="1" applyBorder="1" applyAlignment="1" applyProtection="1">
      <alignment horizontal="right"/>
      <protection locked="0"/>
    </xf>
    <xf numFmtId="2" fontId="38" fillId="13" borderId="0" xfId="7" applyNumberFormat="1" applyFill="1" applyProtection="1">
      <protection locked="0"/>
    </xf>
    <xf numFmtId="0" fontId="38" fillId="0" borderId="0" xfId="7" quotePrefix="1" applyProtection="1">
      <protection locked="0"/>
    </xf>
    <xf numFmtId="0" fontId="52" fillId="0" borderId="1" xfId="7" applyFont="1" applyBorder="1" applyProtection="1">
      <protection locked="0"/>
    </xf>
    <xf numFmtId="0" fontId="52" fillId="0" borderId="2" xfId="7" applyFont="1" applyBorder="1" applyProtection="1">
      <protection locked="0"/>
    </xf>
    <xf numFmtId="0" fontId="52" fillId="0" borderId="4" xfId="7" applyFont="1" applyBorder="1" applyProtection="1">
      <protection locked="0"/>
    </xf>
    <xf numFmtId="165" fontId="60" fillId="0" borderId="4" xfId="7" applyNumberFormat="1" applyFont="1" applyBorder="1" applyProtection="1">
      <protection locked="0"/>
    </xf>
    <xf numFmtId="14" fontId="61" fillId="0" borderId="5" xfId="7" applyNumberFormat="1" applyFont="1" applyBorder="1" applyAlignment="1" applyProtection="1">
      <alignment horizontal="center"/>
      <protection locked="0"/>
    </xf>
    <xf numFmtId="0" fontId="71" fillId="0" borderId="5" xfId="7" applyFont="1" applyBorder="1" applyProtection="1">
      <protection locked="0"/>
    </xf>
    <xf numFmtId="0" fontId="60" fillId="0" borderId="1" xfId="7" applyFont="1" applyBorder="1" applyProtection="1">
      <protection locked="0"/>
    </xf>
    <xf numFmtId="0" fontId="38" fillId="0" borderId="5" xfId="7" applyBorder="1" applyProtection="1">
      <protection locked="0"/>
    </xf>
    <xf numFmtId="0" fontId="63" fillId="0" borderId="1" xfId="7" applyFont="1" applyBorder="1" applyProtection="1">
      <protection locked="0"/>
    </xf>
    <xf numFmtId="0" fontId="60" fillId="0" borderId="2" xfId="7" applyFont="1" applyBorder="1" applyProtection="1">
      <protection locked="0"/>
    </xf>
    <xf numFmtId="0" fontId="60" fillId="0" borderId="4" xfId="7" applyFont="1" applyBorder="1" applyProtection="1">
      <protection locked="0"/>
    </xf>
    <xf numFmtId="0" fontId="29" fillId="0" borderId="5" xfId="7" applyFont="1" applyBorder="1" applyProtection="1">
      <protection locked="0"/>
    </xf>
    <xf numFmtId="165" fontId="64" fillId="13" borderId="4" xfId="7" applyNumberFormat="1" applyFont="1" applyFill="1" applyBorder="1" applyProtection="1">
      <protection locked="0"/>
    </xf>
    <xf numFmtId="0" fontId="53" fillId="0" borderId="5" xfId="7" applyFont="1" applyBorder="1" applyAlignment="1" applyProtection="1">
      <alignment vertical="center"/>
      <protection locked="0"/>
    </xf>
    <xf numFmtId="14" fontId="38" fillId="0" borderId="0" xfId="7" applyNumberFormat="1" applyProtection="1">
      <protection locked="0"/>
    </xf>
    <xf numFmtId="0" fontId="26" fillId="9" borderId="0" xfId="4" applyFont="1" applyFill="1" applyProtection="1">
      <protection locked="0"/>
    </xf>
    <xf numFmtId="166" fontId="61" fillId="0" borderId="5" xfId="7" applyNumberFormat="1" applyFont="1" applyBorder="1" applyAlignment="1" applyProtection="1">
      <alignment horizontal="center"/>
      <protection locked="0"/>
    </xf>
    <xf numFmtId="0" fontId="86" fillId="0" borderId="5" xfId="7" applyFont="1" applyBorder="1" applyProtection="1">
      <protection locked="0"/>
    </xf>
    <xf numFmtId="0" fontId="38" fillId="4" borderId="0" xfId="7" applyFill="1" applyProtection="1">
      <protection locked="0"/>
    </xf>
    <xf numFmtId="0" fontId="38" fillId="4" borderId="29" xfId="7" applyFill="1" applyBorder="1" applyProtection="1">
      <protection locked="0"/>
    </xf>
    <xf numFmtId="0" fontId="11" fillId="4" borderId="0" xfId="6" applyFont="1" applyFill="1" applyProtection="1">
      <protection locked="0"/>
    </xf>
    <xf numFmtId="0" fontId="1" fillId="4" borderId="0" xfId="6" applyFill="1" applyProtection="1">
      <protection locked="0"/>
    </xf>
    <xf numFmtId="165" fontId="64" fillId="0" borderId="4" xfId="7" applyNumberFormat="1" applyFont="1" applyBorder="1" applyProtection="1">
      <protection locked="0"/>
    </xf>
    <xf numFmtId="0" fontId="61" fillId="0" borderId="5" xfId="7" applyFont="1" applyBorder="1" applyProtection="1">
      <protection locked="0"/>
    </xf>
    <xf numFmtId="0" fontId="53" fillId="0" borderId="5" xfId="7" applyFont="1" applyBorder="1" applyProtection="1">
      <protection locked="0"/>
    </xf>
    <xf numFmtId="165" fontId="65" fillId="0" borderId="5" xfId="7" applyNumberFormat="1" applyFont="1" applyBorder="1" applyProtection="1">
      <protection locked="0"/>
    </xf>
    <xf numFmtId="0" fontId="52" fillId="0" borderId="0" xfId="7" applyFont="1" applyProtection="1">
      <protection locked="0"/>
    </xf>
    <xf numFmtId="0" fontId="63" fillId="0" borderId="21" xfId="7" applyFont="1" applyBorder="1" applyAlignment="1" applyProtection="1">
      <alignment horizontal="right"/>
      <protection locked="0"/>
    </xf>
    <xf numFmtId="0" fontId="63" fillId="0" borderId="0" xfId="7" applyFont="1" applyAlignment="1" applyProtection="1">
      <alignment horizontal="right"/>
      <protection locked="0"/>
    </xf>
    <xf numFmtId="0" fontId="65" fillId="0" borderId="0" xfId="7" applyFont="1" applyProtection="1">
      <protection locked="0"/>
    </xf>
    <xf numFmtId="0" fontId="82" fillId="0" borderId="34" xfId="7" applyFont="1" applyBorder="1" applyProtection="1">
      <protection locked="0"/>
    </xf>
    <xf numFmtId="0" fontId="82" fillId="0" borderId="9" xfId="7" applyFont="1" applyBorder="1" applyProtection="1">
      <protection locked="0"/>
    </xf>
    <xf numFmtId="0" fontId="82" fillId="0" borderId="35" xfId="7" applyFont="1" applyBorder="1" applyProtection="1">
      <protection locked="0"/>
    </xf>
    <xf numFmtId="8" fontId="79" fillId="0" borderId="12" xfId="7" applyNumberFormat="1" applyFont="1" applyBorder="1" applyProtection="1">
      <protection locked="0"/>
    </xf>
    <xf numFmtId="2" fontId="52" fillId="0" borderId="34" xfId="7" applyNumberFormat="1" applyFont="1" applyBorder="1" applyProtection="1">
      <protection locked="0"/>
    </xf>
    <xf numFmtId="2" fontId="52" fillId="0" borderId="9" xfId="7" applyNumberFormat="1" applyFont="1" applyBorder="1" applyProtection="1">
      <protection locked="0"/>
    </xf>
    <xf numFmtId="2" fontId="52" fillId="0" borderId="35" xfId="7" applyNumberFormat="1" applyFont="1" applyBorder="1" applyProtection="1">
      <protection locked="0"/>
    </xf>
    <xf numFmtId="2" fontId="63" fillId="0" borderId="36" xfId="7" applyNumberFormat="1" applyFont="1" applyBorder="1" applyProtection="1">
      <protection locked="0"/>
    </xf>
    <xf numFmtId="2" fontId="52" fillId="0" borderId="37" xfId="7" applyNumberFormat="1" applyFont="1" applyBorder="1" applyProtection="1">
      <protection locked="0"/>
    </xf>
    <xf numFmtId="2" fontId="52" fillId="0" borderId="38" xfId="7" applyNumberFormat="1" applyFont="1" applyBorder="1" applyProtection="1">
      <protection locked="0"/>
    </xf>
    <xf numFmtId="8" fontId="79" fillId="0" borderId="11" xfId="7" applyNumberFormat="1" applyFont="1" applyBorder="1" applyProtection="1">
      <protection locked="0"/>
    </xf>
    <xf numFmtId="0" fontId="85" fillId="0" borderId="39" xfId="7" applyFont="1" applyBorder="1" applyProtection="1">
      <protection locked="0"/>
    </xf>
    <xf numFmtId="0" fontId="82" fillId="0" borderId="40" xfId="7" applyFont="1" applyBorder="1" applyProtection="1">
      <protection locked="0"/>
    </xf>
    <xf numFmtId="0" fontId="82" fillId="0" borderId="41" xfId="7" applyFont="1" applyBorder="1" applyProtection="1">
      <protection locked="0"/>
    </xf>
    <xf numFmtId="8" fontId="79" fillId="0" borderId="42" xfId="7" applyNumberFormat="1" applyFont="1" applyBorder="1" applyProtection="1">
      <protection locked="0"/>
    </xf>
    <xf numFmtId="0" fontId="38" fillId="0" borderId="43" xfId="7" applyBorder="1" applyProtection="1">
      <protection locked="0"/>
    </xf>
    <xf numFmtId="0" fontId="38" fillId="0" borderId="44" xfId="7" applyBorder="1" applyProtection="1">
      <protection locked="0"/>
    </xf>
    <xf numFmtId="0" fontId="66" fillId="0" borderId="0" xfId="4" applyFont="1" applyAlignment="1" applyProtection="1">
      <alignment horizontal="center"/>
      <protection locked="0"/>
    </xf>
    <xf numFmtId="173" fontId="67" fillId="0" borderId="0" xfId="4" applyNumberFormat="1" applyFont="1" applyProtection="1">
      <protection locked="0"/>
    </xf>
    <xf numFmtId="0" fontId="82" fillId="9" borderId="0" xfId="4" applyFont="1" applyFill="1" applyProtection="1">
      <protection locked="0"/>
    </xf>
    <xf numFmtId="0" fontId="83" fillId="9" borderId="0" xfId="4" applyFont="1" applyFill="1" applyAlignment="1" applyProtection="1">
      <alignment horizontal="center"/>
      <protection locked="0"/>
    </xf>
    <xf numFmtId="173" fontId="84" fillId="9" borderId="0" xfId="4" applyNumberFormat="1" applyFont="1" applyFill="1" applyProtection="1">
      <protection locked="0"/>
    </xf>
    <xf numFmtId="0" fontId="53" fillId="9" borderId="0" xfId="4" applyFont="1" applyFill="1" applyProtection="1">
      <protection locked="0"/>
    </xf>
    <xf numFmtId="0" fontId="53" fillId="0" borderId="0" xfId="4" applyFont="1" applyProtection="1">
      <protection locked="0"/>
    </xf>
    <xf numFmtId="166" fontId="53" fillId="0" borderId="0" xfId="4" applyNumberFormat="1" applyFont="1" applyProtection="1">
      <protection locked="0"/>
    </xf>
    <xf numFmtId="165" fontId="53" fillId="0" borderId="0" xfId="4" applyNumberFormat="1" applyFont="1" applyProtection="1">
      <protection locked="0"/>
    </xf>
    <xf numFmtId="0" fontId="53" fillId="0" borderId="0" xfId="4" applyFont="1" applyAlignment="1" applyProtection="1">
      <alignment horizontal="center" vertical="center"/>
      <protection locked="0"/>
    </xf>
    <xf numFmtId="0" fontId="31" fillId="0" borderId="0" xfId="4" applyFont="1" applyAlignment="1" applyProtection="1">
      <alignment horizontal="center" vertical="center" wrapText="1"/>
      <protection locked="0"/>
    </xf>
    <xf numFmtId="0" fontId="29" fillId="0" borderId="0" xfId="4" applyFont="1" applyAlignment="1" applyProtection="1">
      <alignment horizontal="center" vertical="center" wrapText="1"/>
      <protection locked="0"/>
    </xf>
    <xf numFmtId="0" fontId="29" fillId="0" borderId="0" xfId="4" applyFont="1" applyAlignment="1" applyProtection="1">
      <alignment horizontal="center" vertical="center"/>
      <protection locked="0"/>
    </xf>
    <xf numFmtId="0" fontId="31" fillId="0" borderId="0" xfId="4" applyFont="1" applyAlignment="1" applyProtection="1">
      <alignment horizontal="center" vertical="center"/>
      <protection locked="0"/>
    </xf>
    <xf numFmtId="0" fontId="31" fillId="0" borderId="0" xfId="2" applyFont="1" applyProtection="1">
      <protection locked="0"/>
    </xf>
    <xf numFmtId="169" fontId="53" fillId="0" borderId="0" xfId="4" applyNumberFormat="1" applyFont="1" applyProtection="1">
      <protection locked="0"/>
    </xf>
    <xf numFmtId="166" fontId="53" fillId="0" borderId="0" xfId="4" applyNumberFormat="1" applyFont="1" applyAlignment="1" applyProtection="1">
      <alignment horizontal="center"/>
      <protection locked="0"/>
    </xf>
    <xf numFmtId="0" fontId="29" fillId="0" borderId="0" xfId="4" applyFont="1" applyProtection="1">
      <protection locked="0"/>
    </xf>
    <xf numFmtId="166" fontId="11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28" fillId="3" borderId="0" xfId="6" applyFont="1" applyFill="1" applyAlignment="1">
      <alignment vertical="center"/>
    </xf>
    <xf numFmtId="0" fontId="28" fillId="4" borderId="0" xfId="6" applyFont="1" applyFill="1" applyAlignment="1">
      <alignment vertical="center"/>
    </xf>
    <xf numFmtId="0" fontId="28" fillId="6" borderId="0" xfId="6" applyFont="1" applyFill="1" applyAlignment="1">
      <alignment vertical="center"/>
    </xf>
    <xf numFmtId="0" fontId="28" fillId="7" borderId="0" xfId="6" applyFont="1" applyFill="1" applyAlignment="1">
      <alignment vertical="center"/>
    </xf>
    <xf numFmtId="0" fontId="27" fillId="0" borderId="57" xfId="2" applyFont="1" applyBorder="1" applyAlignment="1">
      <alignment horizontal="centerContinuous" vertical="center"/>
    </xf>
    <xf numFmtId="0" fontId="27" fillId="21" borderId="57" xfId="2" applyFont="1" applyFill="1" applyBorder="1" applyAlignment="1">
      <alignment horizontal="centerContinuous" vertical="center"/>
    </xf>
    <xf numFmtId="0" fontId="97" fillId="22" borderId="0" xfId="2" applyFont="1" applyFill="1" applyAlignment="1">
      <alignment vertical="center"/>
    </xf>
    <xf numFmtId="0" fontId="28" fillId="0" borderId="60" xfId="2" applyFont="1" applyBorder="1" applyAlignment="1">
      <alignment horizontal="center" vertical="center"/>
    </xf>
    <xf numFmtId="0" fontId="11" fillId="21" borderId="56" xfId="6" applyFont="1" applyFill="1" applyBorder="1" applyAlignment="1">
      <alignment horizontal="center" vertical="center" wrapText="1"/>
    </xf>
    <xf numFmtId="0" fontId="28" fillId="7" borderId="56" xfId="6" applyFont="1" applyFill="1" applyBorder="1" applyAlignment="1">
      <alignment vertical="center" wrapText="1"/>
    </xf>
    <xf numFmtId="0" fontId="28" fillId="21" borderId="56" xfId="6" applyFont="1" applyFill="1" applyBorder="1" applyAlignment="1">
      <alignment horizontal="center" vertical="center" wrapText="1"/>
    </xf>
    <xf numFmtId="0" fontId="11" fillId="0" borderId="56" xfId="6" applyFont="1" applyBorder="1" applyAlignment="1">
      <alignment horizontal="center" vertical="center" wrapText="1"/>
    </xf>
    <xf numFmtId="0" fontId="11" fillId="0" borderId="61" xfId="6" applyFont="1" applyBorder="1" applyAlignment="1">
      <alignment horizontal="center" vertical="center"/>
    </xf>
    <xf numFmtId="0" fontId="1" fillId="4" borderId="54" xfId="6" applyFill="1" applyBorder="1" applyAlignment="1">
      <alignment horizontal="center" vertical="center"/>
    </xf>
    <xf numFmtId="0" fontId="1" fillId="0" borderId="47" xfId="6" applyBorder="1" applyAlignment="1">
      <alignment horizontal="center" vertical="center"/>
    </xf>
    <xf numFmtId="0" fontId="76" fillId="0" borderId="47" xfId="6" applyFont="1" applyBorder="1" applyAlignment="1">
      <alignment vertical="center" wrapText="1"/>
    </xf>
    <xf numFmtId="0" fontId="1" fillId="0" borderId="54" xfId="6" applyBorder="1" applyAlignment="1">
      <alignment horizontal="center" vertical="center"/>
    </xf>
    <xf numFmtId="0" fontId="15" fillId="0" borderId="47" xfId="4" applyFont="1" applyBorder="1" applyAlignment="1">
      <alignment vertical="center"/>
    </xf>
    <xf numFmtId="0" fontId="4" fillId="0" borderId="47" xfId="4" applyFont="1" applyBorder="1" applyAlignment="1">
      <alignment vertical="center"/>
    </xf>
    <xf numFmtId="0" fontId="4" fillId="0" borderId="55" xfId="4" applyFont="1" applyBorder="1" applyAlignment="1">
      <alignment vertical="center"/>
    </xf>
    <xf numFmtId="167" fontId="5" fillId="8" borderId="83" xfId="7" applyNumberFormat="1" applyFont="1" applyFill="1" applyBorder="1" applyAlignment="1">
      <alignment vertical="center"/>
    </xf>
    <xf numFmtId="167" fontId="5" fillId="0" borderId="83" xfId="7" applyNumberFormat="1" applyFont="1" applyBorder="1" applyAlignment="1">
      <alignment vertical="center"/>
    </xf>
    <xf numFmtId="167" fontId="5" fillId="3" borderId="5" xfId="7" applyNumberFormat="1" applyFont="1" applyFill="1" applyBorder="1" applyAlignment="1">
      <alignment vertical="center"/>
    </xf>
    <xf numFmtId="167" fontId="24" fillId="3" borderId="5" xfId="7" applyNumberFormat="1" applyFont="1" applyFill="1" applyBorder="1" applyAlignment="1">
      <alignment vertical="center"/>
    </xf>
    <xf numFmtId="167" fontId="5" fillId="3" borderId="20" xfId="7" applyNumberFormat="1" applyFont="1" applyFill="1" applyBorder="1" applyAlignment="1">
      <alignment vertical="center"/>
    </xf>
    <xf numFmtId="168" fontId="1" fillId="0" borderId="4" xfId="2" applyNumberFormat="1" applyBorder="1" applyAlignment="1">
      <alignment vertical="center"/>
    </xf>
    <xf numFmtId="167" fontId="1" fillId="0" borderId="53" xfId="2" applyNumberFormat="1" applyBorder="1" applyAlignment="1">
      <alignment vertical="center"/>
    </xf>
    <xf numFmtId="167" fontId="39" fillId="0" borderId="50" xfId="8" applyNumberFormat="1" applyFont="1" applyBorder="1"/>
    <xf numFmtId="165" fontId="39" fillId="0" borderId="48" xfId="8" applyNumberFormat="1" applyFont="1" applyBorder="1"/>
    <xf numFmtId="167" fontId="1" fillId="0" borderId="49" xfId="2" applyNumberFormat="1" applyBorder="1" applyAlignment="1">
      <alignment vertical="center"/>
    </xf>
    <xf numFmtId="167" fontId="1" fillId="0" borderId="50" xfId="2" applyNumberFormat="1" applyBorder="1" applyAlignment="1">
      <alignment vertical="center"/>
    </xf>
    <xf numFmtId="165" fontId="5" fillId="8" borderId="45" xfId="7" applyNumberFormat="1" applyFont="1" applyFill="1" applyBorder="1" applyAlignment="1">
      <alignment vertical="center"/>
    </xf>
    <xf numFmtId="0" fontId="15" fillId="0" borderId="5" xfId="4" applyFont="1" applyBorder="1" applyAlignment="1">
      <alignment vertical="center"/>
    </xf>
    <xf numFmtId="0" fontId="4" fillId="0" borderId="5" xfId="4" applyFont="1" applyBorder="1" applyAlignment="1">
      <alignment vertical="center"/>
    </xf>
    <xf numFmtId="0" fontId="11" fillId="17" borderId="20" xfId="6" applyFont="1" applyFill="1" applyBorder="1" applyAlignment="1">
      <alignment vertical="top" wrapText="1"/>
    </xf>
    <xf numFmtId="0" fontId="1" fillId="0" borderId="5" xfId="6" applyBorder="1" applyAlignment="1">
      <alignment horizontal="center" vertical="center"/>
    </xf>
    <xf numFmtId="0" fontId="76" fillId="0" borderId="5" xfId="6" applyFont="1" applyBorder="1" applyAlignment="1">
      <alignment vertical="center" wrapText="1"/>
    </xf>
    <xf numFmtId="0" fontId="28" fillId="0" borderId="83" xfId="2" applyFont="1" applyBorder="1" applyAlignment="1">
      <alignment horizontal="center" vertical="center" wrapText="1"/>
    </xf>
    <xf numFmtId="0" fontId="1" fillId="4" borderId="5" xfId="6" applyFill="1" applyBorder="1" applyAlignment="1">
      <alignment horizontal="center" vertical="center"/>
    </xf>
    <xf numFmtId="0" fontId="35" fillId="17" borderId="0" xfId="2" applyFont="1" applyFill="1" applyAlignment="1">
      <alignment vertical="center"/>
    </xf>
    <xf numFmtId="0" fontId="108" fillId="0" borderId="0" xfId="2" applyFont="1"/>
    <xf numFmtId="0" fontId="11" fillId="0" borderId="1" xfId="2" applyFont="1" applyBorder="1" applyAlignment="1">
      <alignment horizontal="centerContinuous" vertical="center"/>
    </xf>
    <xf numFmtId="0" fontId="11" fillId="4" borderId="71" xfId="2" applyFont="1" applyFill="1" applyBorder="1" applyAlignment="1">
      <alignment horizontal="center" vertical="center" wrapText="1"/>
    </xf>
    <xf numFmtId="0" fontId="11" fillId="0" borderId="71" xfId="2" applyFont="1" applyBorder="1" applyAlignment="1">
      <alignment horizontal="center" vertical="center" wrapText="1"/>
    </xf>
    <xf numFmtId="0" fontId="28" fillId="4" borderId="71" xfId="2" applyFont="1" applyFill="1" applyBorder="1" applyAlignment="1">
      <alignment horizontal="center" vertical="center" wrapText="1"/>
    </xf>
    <xf numFmtId="166" fontId="11" fillId="4" borderId="5" xfId="2" applyNumberFormat="1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35" fillId="4" borderId="1" xfId="2" applyFont="1" applyFill="1" applyBorder="1" applyAlignment="1">
      <alignment horizontal="centerContinuous" vertical="center"/>
    </xf>
    <xf numFmtId="4" fontId="11" fillId="3" borderId="5" xfId="6" applyNumberFormat="1" applyFont="1" applyFill="1" applyBorder="1" applyAlignment="1">
      <alignment vertical="center"/>
    </xf>
    <xf numFmtId="0" fontId="5" fillId="0" borderId="5" xfId="7" applyFont="1" applyBorder="1" applyAlignment="1">
      <alignment horizontal="center" vertical="center"/>
    </xf>
    <xf numFmtId="167" fontId="5" fillId="0" borderId="5" xfId="7" applyNumberFormat="1" applyFont="1" applyBorder="1" applyAlignment="1">
      <alignment vertical="center"/>
    </xf>
    <xf numFmtId="165" fontId="15" fillId="0" borderId="5" xfId="7" applyNumberFormat="1" applyFont="1" applyBorder="1" applyAlignment="1">
      <alignment vertical="center"/>
    </xf>
    <xf numFmtId="0" fontId="15" fillId="0" borderId="5" xfId="7" applyFont="1" applyBorder="1" applyAlignment="1">
      <alignment horizontal="center" vertical="center"/>
    </xf>
    <xf numFmtId="167" fontId="15" fillId="0" borderId="5" xfId="7" applyNumberFormat="1" applyFont="1" applyBorder="1" applyAlignment="1">
      <alignment vertical="center"/>
    </xf>
    <xf numFmtId="165" fontId="15" fillId="3" borderId="5" xfId="5" applyNumberFormat="1" applyFont="1" applyFill="1" applyBorder="1" applyAlignment="1" applyProtection="1">
      <alignment vertical="center"/>
    </xf>
    <xf numFmtId="165" fontId="15" fillId="0" borderId="5" xfId="5" applyNumberFormat="1" applyFont="1" applyFill="1" applyBorder="1" applyAlignment="1" applyProtection="1">
      <alignment vertical="center"/>
    </xf>
    <xf numFmtId="165" fontId="5" fillId="8" borderId="5" xfId="7" applyNumberFormat="1" applyFont="1" applyFill="1" applyBorder="1" applyAlignment="1">
      <alignment vertical="center"/>
    </xf>
    <xf numFmtId="165" fontId="24" fillId="8" borderId="5" xfId="7" applyNumberFormat="1" applyFont="1" applyFill="1" applyBorder="1" applyAlignment="1">
      <alignment vertical="center"/>
    </xf>
    <xf numFmtId="165" fontId="29" fillId="0" borderId="5" xfId="7" applyNumberFormat="1" applyFont="1" applyBorder="1" applyAlignment="1">
      <alignment vertical="center"/>
    </xf>
    <xf numFmtId="0" fontId="5" fillId="8" borderId="5" xfId="7" applyFont="1" applyFill="1" applyBorder="1" applyAlignment="1">
      <alignment horizontal="center" vertical="center"/>
    </xf>
    <xf numFmtId="167" fontId="5" fillId="8" borderId="5" xfId="7" applyNumberFormat="1" applyFont="1" applyFill="1" applyBorder="1" applyAlignment="1">
      <alignment vertical="center"/>
    </xf>
    <xf numFmtId="168" fontId="10" fillId="8" borderId="5" xfId="6" applyNumberFormat="1" applyFont="1" applyFill="1" applyBorder="1" applyAlignment="1">
      <alignment vertical="center"/>
    </xf>
    <xf numFmtId="0" fontId="3" fillId="8" borderId="11" xfId="7" applyFont="1" applyFill="1" applyBorder="1" applyAlignment="1">
      <alignment horizontal="center" vertical="center"/>
    </xf>
    <xf numFmtId="0" fontId="3" fillId="8" borderId="12" xfId="7" applyFont="1" applyFill="1" applyBorder="1" applyAlignment="1">
      <alignment horizontal="centerContinuous" vertical="center"/>
    </xf>
    <xf numFmtId="0" fontId="13" fillId="8" borderId="12" xfId="7" applyFont="1" applyFill="1" applyBorder="1" applyAlignment="1">
      <alignment horizontal="centerContinuous" vertical="center"/>
    </xf>
    <xf numFmtId="0" fontId="14" fillId="8" borderId="11" xfId="7" applyFont="1" applyFill="1" applyBorder="1" applyAlignment="1">
      <alignment horizontal="center" vertical="center"/>
    </xf>
    <xf numFmtId="0" fontId="13" fillId="0" borderId="11" xfId="7" applyFont="1" applyBorder="1" applyAlignment="1">
      <alignment horizontal="center" vertical="center"/>
    </xf>
    <xf numFmtId="0" fontId="3" fillId="8" borderId="13" xfId="7" applyFont="1" applyFill="1" applyBorder="1" applyAlignment="1">
      <alignment horizontal="center" vertical="center"/>
    </xf>
    <xf numFmtId="0" fontId="13" fillId="8" borderId="11" xfId="7" applyFont="1" applyFill="1" applyBorder="1" applyAlignment="1">
      <alignment horizontal="center" vertical="center"/>
    </xf>
    <xf numFmtId="0" fontId="13" fillId="0" borderId="13" xfId="7" applyFont="1" applyBorder="1" applyAlignment="1">
      <alignment horizontal="center" vertical="center"/>
    </xf>
    <xf numFmtId="0" fontId="15" fillId="8" borderId="5" xfId="7" applyFont="1" applyFill="1" applyBorder="1" applyAlignment="1">
      <alignment horizontal="center" vertical="center"/>
    </xf>
    <xf numFmtId="165" fontId="5" fillId="8" borderId="14" xfId="7" applyNumberFormat="1" applyFont="1" applyFill="1" applyBorder="1" applyAlignment="1">
      <alignment vertical="center"/>
    </xf>
    <xf numFmtId="165" fontId="15" fillId="0" borderId="14" xfId="7" applyNumberFormat="1" applyFont="1" applyBorder="1" applyAlignment="1">
      <alignment vertical="center"/>
    </xf>
    <xf numFmtId="166" fontId="12" fillId="8" borderId="1" xfId="6" applyNumberFormat="1" applyFont="1" applyFill="1" applyBorder="1" applyAlignment="1">
      <alignment horizontal="centerContinuous" vertical="center"/>
    </xf>
    <xf numFmtId="0" fontId="39" fillId="16" borderId="1" xfId="2" applyFont="1" applyFill="1" applyBorder="1" applyAlignment="1">
      <alignment vertical="center"/>
    </xf>
    <xf numFmtId="0" fontId="0" fillId="26" borderId="0" xfId="0" applyFill="1" applyAlignment="1">
      <alignment vertical="center"/>
    </xf>
    <xf numFmtId="169" fontId="39" fillId="26" borderId="0" xfId="0" applyNumberFormat="1" applyFont="1" applyFill="1"/>
    <xf numFmtId="0" fontId="39" fillId="26" borderId="0" xfId="0" applyFont="1" applyFill="1"/>
    <xf numFmtId="0" fontId="11" fillId="26" borderId="0" xfId="0" applyFont="1" applyFill="1" applyAlignment="1">
      <alignment vertical="center"/>
    </xf>
    <xf numFmtId="0" fontId="9" fillId="6" borderId="0" xfId="0" applyFont="1" applyFill="1"/>
    <xf numFmtId="169" fontId="39" fillId="0" borderId="0" xfId="0" applyNumberFormat="1" applyFont="1"/>
    <xf numFmtId="169" fontId="39" fillId="26" borderId="0" xfId="0" applyNumberFormat="1" applyFont="1" applyFill="1" applyAlignment="1">
      <alignment horizontal="center"/>
    </xf>
    <xf numFmtId="0" fontId="46" fillId="0" borderId="0" xfId="0" applyFont="1" applyAlignment="1">
      <alignment horizontal="center"/>
    </xf>
    <xf numFmtId="0" fontId="0" fillId="0" borderId="0" xfId="0" applyProtection="1">
      <protection locked="0"/>
    </xf>
    <xf numFmtId="169" fontId="0" fillId="0" borderId="77" xfId="0" applyNumberFormat="1" applyBorder="1" applyAlignment="1" applyProtection="1">
      <alignment horizontal="center"/>
      <protection locked="0"/>
    </xf>
    <xf numFmtId="0" fontId="13" fillId="0" borderId="77" xfId="0" applyFont="1" applyBorder="1" applyAlignment="1" applyProtection="1">
      <alignment horizontal="center" vertical="center"/>
      <protection locked="0"/>
    </xf>
    <xf numFmtId="167" fontId="5" fillId="0" borderId="77" xfId="0" applyNumberFormat="1" applyFont="1" applyBorder="1" applyAlignment="1" applyProtection="1">
      <alignment vertical="center"/>
      <protection locked="0"/>
    </xf>
    <xf numFmtId="165" fontId="5" fillId="0" borderId="77" xfId="0" applyNumberFormat="1" applyFont="1" applyBorder="1" applyAlignment="1" applyProtection="1">
      <alignment vertical="center"/>
      <protection locked="0"/>
    </xf>
    <xf numFmtId="168" fontId="10" fillId="0" borderId="77" xfId="1" applyNumberFormat="1" applyFont="1" applyBorder="1" applyAlignment="1" applyProtection="1">
      <alignment vertical="center"/>
      <protection locked="0"/>
    </xf>
    <xf numFmtId="168" fontId="5" fillId="0" borderId="77" xfId="0" applyNumberFormat="1" applyFont="1" applyBorder="1" applyAlignment="1" applyProtection="1">
      <alignment vertical="center"/>
      <protection locked="0"/>
    </xf>
    <xf numFmtId="165" fontId="24" fillId="0" borderId="77" xfId="0" applyNumberFormat="1" applyFont="1" applyBorder="1" applyAlignment="1" applyProtection="1">
      <alignment vertic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169" fontId="0" fillId="0" borderId="77" xfId="0" applyNumberFormat="1" applyBorder="1" applyAlignment="1">
      <alignment horizontal="center"/>
    </xf>
    <xf numFmtId="0" fontId="5" fillId="0" borderId="77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1" fontId="15" fillId="0" borderId="77" xfId="0" applyNumberFormat="1" applyFont="1" applyBorder="1" applyAlignment="1">
      <alignment horizontal="center" vertical="center"/>
    </xf>
    <xf numFmtId="166" fontId="11" fillId="0" borderId="77" xfId="2" applyNumberFormat="1" applyFont="1" applyBorder="1" applyAlignment="1">
      <alignment horizontal="center" vertical="center"/>
    </xf>
    <xf numFmtId="2" fontId="15" fillId="0" borderId="77" xfId="0" applyNumberFormat="1" applyFont="1" applyBorder="1" applyAlignment="1">
      <alignment horizontal="center" vertical="center"/>
    </xf>
    <xf numFmtId="2" fontId="33" fillId="0" borderId="77" xfId="0" applyNumberFormat="1" applyFont="1" applyBorder="1" applyAlignment="1">
      <alignment horizontal="center" vertical="center"/>
    </xf>
    <xf numFmtId="2" fontId="33" fillId="4" borderId="77" xfId="0" applyNumberFormat="1" applyFont="1" applyFill="1" applyBorder="1" applyAlignment="1">
      <alignment horizontal="center" vertical="center"/>
    </xf>
    <xf numFmtId="1" fontId="15" fillId="0" borderId="77" xfId="7" applyNumberFormat="1" applyFont="1" applyBorder="1" applyAlignment="1">
      <alignment horizontal="center" vertical="center"/>
    </xf>
    <xf numFmtId="166" fontId="11" fillId="0" borderId="77" xfId="6" applyNumberFormat="1" applyFont="1" applyBorder="1" applyAlignment="1">
      <alignment horizontal="center" vertical="center"/>
    </xf>
    <xf numFmtId="2" fontId="15" fillId="0" borderId="77" xfId="7" applyNumberFormat="1" applyFont="1" applyBorder="1" applyAlignment="1">
      <alignment horizontal="center" vertical="center"/>
    </xf>
    <xf numFmtId="2" fontId="33" fillId="0" borderId="77" xfId="7" applyNumberFormat="1" applyFont="1" applyBorder="1" applyAlignment="1">
      <alignment horizontal="center" vertical="center"/>
    </xf>
    <xf numFmtId="2" fontId="33" fillId="4" borderId="77" xfId="7" applyNumberFormat="1" applyFont="1" applyFill="1" applyBorder="1" applyAlignment="1">
      <alignment horizontal="center" vertical="center"/>
    </xf>
    <xf numFmtId="1" fontId="15" fillId="0" borderId="5" xfId="7" applyNumberFormat="1" applyFont="1" applyBorder="1" applyAlignment="1">
      <alignment horizontal="center" vertical="center"/>
    </xf>
    <xf numFmtId="2" fontId="15" fillId="0" borderId="5" xfId="7" applyNumberFormat="1" applyFont="1" applyBorder="1" applyAlignment="1">
      <alignment horizontal="center" vertical="center"/>
    </xf>
    <xf numFmtId="2" fontId="33" fillId="0" borderId="5" xfId="7" applyNumberFormat="1" applyFont="1" applyBorder="1" applyAlignment="1">
      <alignment horizontal="center" vertical="center"/>
    </xf>
    <xf numFmtId="0" fontId="0" fillId="26" borderId="0" xfId="0" applyFill="1"/>
    <xf numFmtId="169" fontId="0" fillId="26" borderId="0" xfId="0" applyNumberFormat="1" applyFill="1" applyAlignment="1">
      <alignment horizontal="center"/>
    </xf>
    <xf numFmtId="0" fontId="11" fillId="26" borderId="0" xfId="0" applyFont="1" applyFill="1" applyAlignment="1">
      <alignment horizontal="right"/>
    </xf>
    <xf numFmtId="0" fontId="11" fillId="26" borderId="0" xfId="0" applyFont="1" applyFill="1"/>
    <xf numFmtId="0" fontId="31" fillId="0" borderId="0" xfId="0" applyFont="1" applyAlignment="1">
      <alignment vertical="center"/>
    </xf>
    <xf numFmtId="167" fontId="109" fillId="0" borderId="0" xfId="8" applyNumberFormat="1" applyFont="1" applyProtection="1">
      <protection locked="0"/>
    </xf>
    <xf numFmtId="165" fontId="109" fillId="0" borderId="0" xfId="8" applyNumberFormat="1" applyFont="1" applyProtection="1">
      <protection locked="0"/>
    </xf>
    <xf numFmtId="165" fontId="31" fillId="0" borderId="5" xfId="0" applyNumberFormat="1" applyFont="1" applyBorder="1"/>
    <xf numFmtId="165" fontId="110" fillId="0" borderId="5" xfId="0" applyNumberFormat="1" applyFont="1" applyBorder="1"/>
    <xf numFmtId="0" fontId="0" fillId="0" borderId="105" xfId="0" applyBorder="1"/>
    <xf numFmtId="169" fontId="0" fillId="0" borderId="105" xfId="0" applyNumberFormat="1" applyBorder="1" applyAlignment="1">
      <alignment horizontal="center"/>
    </xf>
    <xf numFmtId="0" fontId="11" fillId="0" borderId="5" xfId="0" applyFont="1" applyBorder="1"/>
    <xf numFmtId="0" fontId="100" fillId="27" borderId="0" xfId="0" applyFont="1" applyFill="1" applyAlignment="1">
      <alignment horizontal="center" vertical="center"/>
    </xf>
    <xf numFmtId="169" fontId="11" fillId="4" borderId="106" xfId="2" applyNumberFormat="1" applyFont="1" applyFill="1" applyBorder="1" applyAlignment="1">
      <alignment horizontal="center" vertical="center"/>
    </xf>
    <xf numFmtId="4" fontId="11" fillId="0" borderId="106" xfId="2" applyNumberFormat="1" applyFont="1" applyBorder="1" applyAlignment="1">
      <alignment vertical="center"/>
    </xf>
    <xf numFmtId="4" fontId="31" fillId="0" borderId="106" xfId="2" applyNumberFormat="1" applyFont="1" applyBorder="1" applyAlignment="1">
      <alignment vertical="center"/>
    </xf>
    <xf numFmtId="166" fontId="11" fillId="0" borderId="106" xfId="6" applyNumberFormat="1" applyFont="1" applyBorder="1" applyAlignment="1">
      <alignment horizontal="center" vertical="center"/>
    </xf>
    <xf numFmtId="168" fontId="11" fillId="0" borderId="106" xfId="6" applyNumberFormat="1" applyFont="1" applyBorder="1" applyAlignment="1">
      <alignment vertical="center"/>
    </xf>
    <xf numFmtId="4" fontId="11" fillId="0" borderId="106" xfId="6" applyNumberFormat="1" applyFont="1" applyBorder="1" applyAlignment="1">
      <alignment vertical="center"/>
    </xf>
    <xf numFmtId="14" fontId="39" fillId="0" borderId="5" xfId="0" applyNumberFormat="1" applyFont="1" applyBorder="1"/>
    <xf numFmtId="0" fontId="112" fillId="0" borderId="0" xfId="0" applyFont="1" applyAlignment="1">
      <alignment horizontal="center" vertical="center"/>
    </xf>
    <xf numFmtId="0" fontId="113" fillId="0" borderId="0" xfId="6" applyFont="1" applyAlignment="1" applyProtection="1">
      <alignment vertical="center"/>
      <protection locked="0"/>
    </xf>
    <xf numFmtId="16" fontId="31" fillId="0" borderId="0" xfId="0" applyNumberFormat="1" applyFont="1" applyAlignment="1">
      <alignment vertical="center"/>
    </xf>
    <xf numFmtId="0" fontId="70" fillId="4" borderId="0" xfId="2" applyFont="1" applyFill="1" applyAlignment="1" applyProtection="1">
      <alignment vertical="center"/>
      <protection locked="0"/>
    </xf>
    <xf numFmtId="164" fontId="0" fillId="0" borderId="110" xfId="0" quotePrefix="1" applyNumberFormat="1" applyBorder="1" applyAlignment="1">
      <alignment horizontal="center" vertical="center"/>
    </xf>
    <xf numFmtId="0" fontId="0" fillId="0" borderId="111" xfId="0" applyBorder="1"/>
    <xf numFmtId="0" fontId="0" fillId="0" borderId="112" xfId="0" applyBorder="1"/>
    <xf numFmtId="0" fontId="0" fillId="0" borderId="113" xfId="0" applyBorder="1"/>
    <xf numFmtId="165" fontId="5" fillId="0" borderId="110" xfId="0" applyNumberFormat="1" applyFont="1" applyBorder="1" applyAlignment="1">
      <alignment horizontal="right"/>
    </xf>
    <xf numFmtId="167" fontId="5" fillId="3" borderId="5" xfId="0" applyNumberFormat="1" applyFont="1" applyFill="1" applyBorder="1" applyAlignment="1">
      <alignment vertical="center"/>
    </xf>
    <xf numFmtId="168" fontId="10" fillId="3" borderId="5" xfId="1" applyNumberFormat="1" applyFont="1" applyFill="1" applyBorder="1" applyAlignment="1">
      <alignment vertical="center"/>
    </xf>
    <xf numFmtId="0" fontId="72" fillId="4" borderId="85" xfId="8" applyFont="1" applyFill="1" applyBorder="1" applyAlignment="1">
      <alignment horizontal="center" vertical="center" textRotation="90"/>
    </xf>
    <xf numFmtId="0" fontId="72" fillId="4" borderId="0" xfId="8" applyFont="1" applyFill="1" applyAlignment="1">
      <alignment horizontal="center" vertical="center" textRotation="90"/>
    </xf>
    <xf numFmtId="0" fontId="72" fillId="4" borderId="17" xfId="8" applyFont="1" applyFill="1" applyBorder="1" applyAlignment="1">
      <alignment horizontal="center" vertical="center" textRotation="90"/>
    </xf>
    <xf numFmtId="0" fontId="6" fillId="0" borderId="0" xfId="7" applyFont="1" applyAlignment="1" applyProtection="1">
      <alignment horizontal="left"/>
      <protection locked="0"/>
    </xf>
    <xf numFmtId="0" fontId="6" fillId="0" borderId="29" xfId="7" applyFont="1" applyBorder="1" applyAlignment="1" applyProtection="1">
      <alignment horizontal="left"/>
      <protection locked="0"/>
    </xf>
    <xf numFmtId="0" fontId="81" fillId="0" borderId="26" xfId="7" applyFont="1" applyBorder="1" applyAlignment="1" applyProtection="1">
      <alignment horizontal="center"/>
      <protection locked="0"/>
    </xf>
    <xf numFmtId="0" fontId="81" fillId="0" borderId="27" xfId="7" applyFont="1" applyBorder="1" applyAlignment="1" applyProtection="1">
      <alignment horizontal="center"/>
      <protection locked="0"/>
    </xf>
    <xf numFmtId="0" fontId="81" fillId="0" borderId="28" xfId="7" applyFont="1" applyBorder="1" applyAlignment="1" applyProtection="1">
      <alignment horizontal="center"/>
      <protection locked="0"/>
    </xf>
    <xf numFmtId="0" fontId="38" fillId="0" borderId="24" xfId="7" applyBorder="1" applyAlignment="1" applyProtection="1">
      <alignment horizontal="left"/>
      <protection locked="0"/>
    </xf>
    <xf numFmtId="0" fontId="38" fillId="0" borderId="25" xfId="7" applyBorder="1" applyAlignment="1" applyProtection="1">
      <alignment horizontal="left"/>
      <protection locked="0"/>
    </xf>
    <xf numFmtId="0" fontId="38" fillId="10" borderId="0" xfId="7" applyFill="1" applyAlignment="1" applyProtection="1">
      <alignment horizontal="left"/>
      <protection locked="0"/>
    </xf>
    <xf numFmtId="0" fontId="38" fillId="10" borderId="29" xfId="7" applyFill="1" applyBorder="1" applyAlignment="1" applyProtection="1">
      <alignment horizontal="left"/>
      <protection locked="0"/>
    </xf>
    <xf numFmtId="0" fontId="38" fillId="0" borderId="0" xfId="7" applyAlignment="1" applyProtection="1">
      <alignment horizontal="left"/>
      <protection locked="0"/>
    </xf>
    <xf numFmtId="0" fontId="38" fillId="0" borderId="29" xfId="7" applyBorder="1" applyAlignment="1" applyProtection="1">
      <alignment horizontal="left"/>
      <protection locked="0"/>
    </xf>
    <xf numFmtId="0" fontId="72" fillId="4" borderId="91" xfId="8" applyFont="1" applyFill="1" applyBorder="1" applyAlignment="1">
      <alignment horizontal="center" vertical="center" textRotation="90"/>
    </xf>
    <xf numFmtId="0" fontId="11" fillId="0" borderId="80" xfId="0" applyFont="1" applyBorder="1" applyAlignment="1">
      <alignment horizontal="left" vertical="top" wrapText="1"/>
    </xf>
    <xf numFmtId="0" fontId="11" fillId="0" borderId="81" xfId="0" applyFont="1" applyBorder="1" applyAlignment="1">
      <alignment horizontal="left" vertical="top" wrapText="1"/>
    </xf>
    <xf numFmtId="0" fontId="11" fillId="0" borderId="82" xfId="0" applyFont="1" applyBorder="1" applyAlignment="1">
      <alignment horizontal="left" vertical="top" wrapText="1"/>
    </xf>
    <xf numFmtId="0" fontId="11" fillId="0" borderId="6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07" xfId="0" applyFont="1" applyBorder="1" applyAlignment="1">
      <alignment horizontal="left" vertical="top" wrapText="1"/>
    </xf>
    <xf numFmtId="0" fontId="11" fillId="0" borderId="108" xfId="0" applyFont="1" applyBorder="1" applyAlignment="1">
      <alignment horizontal="left" vertical="top" wrapText="1"/>
    </xf>
    <xf numFmtId="0" fontId="11" fillId="0" borderId="109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2" fontId="16" fillId="0" borderId="1" xfId="0" applyNumberFormat="1" applyFont="1" applyBorder="1" applyAlignment="1">
      <alignment horizontal="justify" wrapText="1"/>
    </xf>
    <xf numFmtId="2" fontId="16" fillId="0" borderId="2" xfId="0" applyNumberFormat="1" applyFont="1" applyBorder="1" applyAlignment="1">
      <alignment horizontal="justify" wrapText="1"/>
    </xf>
    <xf numFmtId="2" fontId="16" fillId="0" borderId="4" xfId="0" applyNumberFormat="1" applyFont="1" applyBorder="1" applyAlignment="1">
      <alignment horizontal="justify" wrapText="1"/>
    </xf>
    <xf numFmtId="0" fontId="20" fillId="0" borderId="0" xfId="0" applyFont="1" applyAlignment="1">
      <alignment horizontal="justify" wrapText="1"/>
    </xf>
    <xf numFmtId="14" fontId="72" fillId="0" borderId="2" xfId="0" applyNumberFormat="1" applyFont="1" applyBorder="1" applyAlignment="1">
      <alignment horizontal="left"/>
    </xf>
    <xf numFmtId="14" fontId="72" fillId="0" borderId="101" xfId="0" applyNumberFormat="1" applyFont="1" applyBorder="1" applyAlignment="1">
      <alignment horizontal="left"/>
    </xf>
    <xf numFmtId="2" fontId="15" fillId="3" borderId="5" xfId="7" applyNumberFormat="1" applyFont="1" applyFill="1" applyBorder="1" applyAlignment="1" applyProtection="1">
      <alignment horizontal="center" vertical="center"/>
      <protection locked="0"/>
    </xf>
    <xf numFmtId="2" fontId="15" fillId="3" borderId="5" xfId="7" applyNumberFormat="1" applyFont="1" applyFill="1" applyBorder="1" applyAlignment="1">
      <alignment horizontal="center" vertical="center"/>
    </xf>
    <xf numFmtId="2" fontId="15" fillId="3" borderId="77" xfId="0" applyNumberFormat="1" applyFont="1" applyFill="1" applyBorder="1" applyAlignment="1">
      <alignment horizontal="center" vertical="center"/>
    </xf>
    <xf numFmtId="2" fontId="15" fillId="3" borderId="77" xfId="7" applyNumberFormat="1" applyFont="1" applyFill="1" applyBorder="1" applyAlignment="1">
      <alignment horizontal="center" vertical="center"/>
    </xf>
  </cellXfs>
  <cellStyles count="10">
    <cellStyle name="Moeda 2" xfId="5" xr:uid="{E21AB4D8-3145-44D6-86C1-A94F5F0F31B0}"/>
    <cellStyle name="Normal" xfId="0" builtinId="0"/>
    <cellStyle name="Normal 2" xfId="1" xr:uid="{3E94E255-97D8-480C-AFE0-AD7A44B6F99D}"/>
    <cellStyle name="Normal 2 2" xfId="2" xr:uid="{C3BCBA1A-0640-430B-9F35-FEE8902876C2}"/>
    <cellStyle name="Normal 2 2 2" xfId="9" xr:uid="{441563F8-C19D-4AB2-8795-961C5A3E8FBC}"/>
    <cellStyle name="Normal 2 2 3" xfId="3" xr:uid="{C33A3192-2CA1-4D9E-A5DF-846EEEF53845}"/>
    <cellStyle name="Normal 2 2 3 3" xfId="8" xr:uid="{87C76F63-9264-4B4B-A301-CD89621E701B}"/>
    <cellStyle name="Normal 2 2 5" xfId="6" xr:uid="{B8A4DFD5-FC3F-4709-8A76-D5E039F08837}"/>
    <cellStyle name="Normal 3" xfId="4" xr:uid="{D832BABF-D15F-4AFD-8562-19FE8C3C5A37}"/>
    <cellStyle name="Normal 3 2" xfId="7" xr:uid="{2846CF52-6D42-4269-A051-19981B3840EE}"/>
  </cellStyles>
  <dxfs count="50"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12496800</xdr:colOff>
      <xdr:row>0</xdr:row>
      <xdr:rowOff>38100</xdr:rowOff>
    </xdr:from>
    <xdr:to>
      <xdr:col>0</xdr:col>
      <xdr:colOff>12601575</xdr:colOff>
      <xdr:row>4</xdr:row>
      <xdr:rowOff>190500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F5A6BB49-F80A-7100-9C6A-D485F302D257}"/>
            </a:ext>
          </a:extLst>
        </xdr:cNvPr>
        <xdr:cNvSpPr/>
      </xdr:nvSpPr>
      <xdr:spPr>
        <a:xfrm>
          <a:off x="12496800" y="38100"/>
          <a:ext cx="104775" cy="9144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238125</xdr:colOff>
      <xdr:row>2</xdr:row>
      <xdr:rowOff>180975</xdr:rowOff>
    </xdr:from>
    <xdr:to>
      <xdr:col>20</xdr:col>
      <xdr:colOff>38103</xdr:colOff>
      <xdr:row>2</xdr:row>
      <xdr:rowOff>433386</xdr:rowOff>
    </xdr:to>
    <xdr:pic>
      <xdr:nvPicPr>
        <xdr:cNvPr id="2" name="Gráfico 1" descr="Seta para Baixo com preenchimento sólido">
          <a:extLst>
            <a:ext uri="{FF2B5EF4-FFF2-40B4-BE49-F238E27FC236}">
              <a16:creationId xmlns:a16="http://schemas.microsoft.com/office/drawing/2014/main" id="{7A5435F0-5BF6-49CA-A40D-7FA3CB0B9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12884946" y="1069179"/>
          <a:ext cx="252411" cy="419103"/>
        </a:xfrm>
        <a:prstGeom prst="rect">
          <a:avLst/>
        </a:prstGeom>
      </xdr:spPr>
    </xdr:pic>
    <xdr:clientData/>
  </xdr:twoCellAnchor>
  <xdr:twoCellAnchor>
    <xdr:from>
      <xdr:col>10</xdr:col>
      <xdr:colOff>219075</xdr:colOff>
      <xdr:row>0</xdr:row>
      <xdr:rowOff>66676</xdr:rowOff>
    </xdr:from>
    <xdr:to>
      <xdr:col>34</xdr:col>
      <xdr:colOff>238126</xdr:colOff>
      <xdr:row>0</xdr:row>
      <xdr:rowOff>228599</xdr:rowOff>
    </xdr:to>
    <xdr:sp macro="" textlink="">
      <xdr:nvSpPr>
        <xdr:cNvPr id="3" name="Seta: da Esquerda para a Direita 2">
          <a:extLst>
            <a:ext uri="{FF2B5EF4-FFF2-40B4-BE49-F238E27FC236}">
              <a16:creationId xmlns:a16="http://schemas.microsoft.com/office/drawing/2014/main" id="{C8A7202C-05B8-4105-AFE9-C28B2F232828}"/>
            </a:ext>
          </a:extLst>
        </xdr:cNvPr>
        <xdr:cNvSpPr/>
      </xdr:nvSpPr>
      <xdr:spPr>
        <a:xfrm>
          <a:off x="7219950" y="66676"/>
          <a:ext cx="13763626" cy="161923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104775</xdr:colOff>
      <xdr:row>33</xdr:row>
      <xdr:rowOff>28575</xdr:rowOff>
    </xdr:from>
    <xdr:to>
      <xdr:col>21</xdr:col>
      <xdr:colOff>164592</xdr:colOff>
      <xdr:row>36</xdr:row>
      <xdr:rowOff>240792</xdr:rowOff>
    </xdr:to>
    <xdr:sp macro="" textlink="">
      <xdr:nvSpPr>
        <xdr:cNvPr id="4" name="Seta: para a Esquerda e para Cima 3">
          <a:extLst>
            <a:ext uri="{FF2B5EF4-FFF2-40B4-BE49-F238E27FC236}">
              <a16:creationId xmlns:a16="http://schemas.microsoft.com/office/drawing/2014/main" id="{E7462AC9-A3EE-41E7-9B68-9106CF8AB5B2}"/>
            </a:ext>
          </a:extLst>
        </xdr:cNvPr>
        <xdr:cNvSpPr/>
      </xdr:nvSpPr>
      <xdr:spPr>
        <a:xfrm rot="16200000">
          <a:off x="13925550" y="8267700"/>
          <a:ext cx="850392" cy="850392"/>
        </a:xfrm>
        <a:prstGeom prst="lef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485775</xdr:colOff>
      <xdr:row>49</xdr:row>
      <xdr:rowOff>133350</xdr:rowOff>
    </xdr:from>
    <xdr:to>
      <xdr:col>36</xdr:col>
      <xdr:colOff>179832</xdr:colOff>
      <xdr:row>54</xdr:row>
      <xdr:rowOff>159258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F02A197B-044B-432D-9F8E-D20E8BEDEC35}"/>
            </a:ext>
          </a:extLst>
        </xdr:cNvPr>
        <xdr:cNvSpPr/>
      </xdr:nvSpPr>
      <xdr:spPr>
        <a:xfrm>
          <a:off x="28717875" y="10791825"/>
          <a:ext cx="303657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485775</xdr:colOff>
      <xdr:row>49</xdr:row>
      <xdr:rowOff>133350</xdr:rowOff>
    </xdr:from>
    <xdr:to>
      <xdr:col>43</xdr:col>
      <xdr:colOff>179832</xdr:colOff>
      <xdr:row>54</xdr:row>
      <xdr:rowOff>159258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DC44DC85-EA30-4235-8521-7026EFDF40EF}"/>
            </a:ext>
          </a:extLst>
        </xdr:cNvPr>
        <xdr:cNvSpPr/>
      </xdr:nvSpPr>
      <xdr:spPr>
        <a:xfrm>
          <a:off x="32985075" y="10791825"/>
          <a:ext cx="303657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90488</xdr:colOff>
      <xdr:row>48</xdr:row>
      <xdr:rowOff>42862</xdr:rowOff>
    </xdr:from>
    <xdr:to>
      <xdr:col>21</xdr:col>
      <xdr:colOff>140780</xdr:colOff>
      <xdr:row>52</xdr:row>
      <xdr:rowOff>140779</xdr:rowOff>
    </xdr:to>
    <xdr:sp macro="" textlink="">
      <xdr:nvSpPr>
        <xdr:cNvPr id="7" name="Seta: para a Esquerda e para Cima 6">
          <a:extLst>
            <a:ext uri="{FF2B5EF4-FFF2-40B4-BE49-F238E27FC236}">
              <a16:creationId xmlns:a16="http://schemas.microsoft.com/office/drawing/2014/main" id="{2E76379B-8376-4AFD-BCBA-8B64E55245D6}"/>
            </a:ext>
          </a:extLst>
        </xdr:cNvPr>
        <xdr:cNvSpPr/>
      </xdr:nvSpPr>
      <xdr:spPr>
        <a:xfrm>
          <a:off x="13273088" y="10825162"/>
          <a:ext cx="850392" cy="859917"/>
        </a:xfrm>
        <a:prstGeom prst="lef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438150</xdr:colOff>
      <xdr:row>22</xdr:row>
      <xdr:rowOff>85725</xdr:rowOff>
    </xdr:from>
    <xdr:to>
      <xdr:col>22</xdr:col>
      <xdr:colOff>160782</xdr:colOff>
      <xdr:row>27</xdr:row>
      <xdr:rowOff>111633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B9BBAE39-10F8-4155-B417-069D541A1996}"/>
            </a:ext>
          </a:extLst>
        </xdr:cNvPr>
        <xdr:cNvSpPr/>
      </xdr:nvSpPr>
      <xdr:spPr>
        <a:xfrm>
          <a:off x="14420850" y="6162675"/>
          <a:ext cx="303657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98</xdr:row>
      <xdr:rowOff>0</xdr:rowOff>
    </xdr:from>
    <xdr:to>
      <xdr:col>2</xdr:col>
      <xdr:colOff>828675</xdr:colOff>
      <xdr:row>99</xdr:row>
      <xdr:rowOff>0</xdr:rowOff>
    </xdr:to>
    <xdr:sp macro="" textlink="">
      <xdr:nvSpPr>
        <xdr:cNvPr id="2" name="CaixaDeTexto 17">
          <a:extLst>
            <a:ext uri="{FF2B5EF4-FFF2-40B4-BE49-F238E27FC236}">
              <a16:creationId xmlns:a16="http://schemas.microsoft.com/office/drawing/2014/main" id="{A1875CFA-FDA4-4761-8689-8E003C253538}"/>
            </a:ext>
          </a:extLst>
        </xdr:cNvPr>
        <xdr:cNvSpPr txBox="1">
          <a:spLocks noChangeArrowheads="1"/>
        </xdr:cNvSpPr>
      </xdr:nvSpPr>
      <xdr:spPr bwMode="auto">
        <a:xfrm>
          <a:off x="1943100" y="13592175"/>
          <a:ext cx="190500" cy="238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38099</xdr:colOff>
      <xdr:row>200</xdr:row>
      <xdr:rowOff>95250</xdr:rowOff>
    </xdr:from>
    <xdr:to>
      <xdr:col>4</xdr:col>
      <xdr:colOff>445402</xdr:colOff>
      <xdr:row>205</xdr:row>
      <xdr:rowOff>47625</xdr:rowOff>
    </xdr:to>
    <xdr:pic>
      <xdr:nvPicPr>
        <xdr:cNvPr id="3" name="Imagem 2" descr="Texto&#10;&#10;Descrição gerada automaticamente">
          <a:extLst>
            <a:ext uri="{FF2B5EF4-FFF2-40B4-BE49-F238E27FC236}">
              <a16:creationId xmlns:a16="http://schemas.microsoft.com/office/drawing/2014/main" id="{28C2FF1A-A652-451A-B178-B95AFAFE9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699" y="30241875"/>
          <a:ext cx="3550553" cy="923925"/>
        </a:xfrm>
        <a:prstGeom prst="rect">
          <a:avLst/>
        </a:prstGeom>
      </xdr:spPr>
    </xdr:pic>
    <xdr:clientData/>
  </xdr:twoCellAnchor>
  <xdr:twoCellAnchor>
    <xdr:from>
      <xdr:col>13</xdr:col>
      <xdr:colOff>104775</xdr:colOff>
      <xdr:row>141</xdr:row>
      <xdr:rowOff>114300</xdr:rowOff>
    </xdr:from>
    <xdr:to>
      <xdr:col>17</xdr:col>
      <xdr:colOff>600075</xdr:colOff>
      <xdr:row>144</xdr:row>
      <xdr:rowOff>27432</xdr:rowOff>
    </xdr:to>
    <xdr:sp macro="" textlink="">
      <xdr:nvSpPr>
        <xdr:cNvPr id="4" name="Seta: da Esquerda para a Direita 3">
          <a:extLst>
            <a:ext uri="{FF2B5EF4-FFF2-40B4-BE49-F238E27FC236}">
              <a16:creationId xmlns:a16="http://schemas.microsoft.com/office/drawing/2014/main" id="{906B75FB-24AC-479C-9DCB-5D30937C425B}"/>
            </a:ext>
          </a:extLst>
        </xdr:cNvPr>
        <xdr:cNvSpPr/>
      </xdr:nvSpPr>
      <xdr:spPr bwMode="auto">
        <a:xfrm>
          <a:off x="10153650" y="22621875"/>
          <a:ext cx="3009900" cy="484632"/>
        </a:xfrm>
        <a:prstGeom prst="leftRightArrow">
          <a:avLst/>
        </a:prstGeom>
        <a:solidFill>
          <a:srgbClr val="92D050"/>
        </a:solidFill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76199</xdr:colOff>
      <xdr:row>197</xdr:row>
      <xdr:rowOff>133350</xdr:rowOff>
    </xdr:from>
    <xdr:to>
      <xdr:col>1</xdr:col>
      <xdr:colOff>66674</xdr:colOff>
      <xdr:row>199</xdr:row>
      <xdr:rowOff>57150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133A05F3-416D-40B5-9132-2ABFAD07A978}"/>
            </a:ext>
          </a:extLst>
        </xdr:cNvPr>
        <xdr:cNvSpPr/>
      </xdr:nvSpPr>
      <xdr:spPr bwMode="auto">
        <a:xfrm>
          <a:off x="76199" y="2967990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200025</xdr:colOff>
      <xdr:row>197</xdr:row>
      <xdr:rowOff>142875</xdr:rowOff>
    </xdr:from>
    <xdr:to>
      <xdr:col>6</xdr:col>
      <xdr:colOff>800100</xdr:colOff>
      <xdr:row>199</xdr:row>
      <xdr:rowOff>66675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14EE8B46-0544-413A-B42B-8F2C0F4B3661}"/>
            </a:ext>
          </a:extLst>
        </xdr:cNvPr>
        <xdr:cNvSpPr/>
      </xdr:nvSpPr>
      <xdr:spPr bwMode="auto">
        <a:xfrm rot="10800000">
          <a:off x="5524500" y="29689425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28575</xdr:colOff>
      <xdr:row>160</xdr:row>
      <xdr:rowOff>9525</xdr:rowOff>
    </xdr:from>
    <xdr:to>
      <xdr:col>12</xdr:col>
      <xdr:colOff>419100</xdr:colOff>
      <xdr:row>161</xdr:row>
      <xdr:rowOff>0</xdr:rowOff>
    </xdr:to>
    <xdr:sp macro="" textlink="">
      <xdr:nvSpPr>
        <xdr:cNvPr id="7" name="Seta: da Esquerda para a Direita 6">
          <a:extLst>
            <a:ext uri="{FF2B5EF4-FFF2-40B4-BE49-F238E27FC236}">
              <a16:creationId xmlns:a16="http://schemas.microsoft.com/office/drawing/2014/main" id="{54035A21-548F-4DA7-8A20-E84D13B60E36}"/>
            </a:ext>
          </a:extLst>
        </xdr:cNvPr>
        <xdr:cNvSpPr/>
      </xdr:nvSpPr>
      <xdr:spPr bwMode="auto">
        <a:xfrm>
          <a:off x="6962775" y="26241375"/>
          <a:ext cx="2895600" cy="133350"/>
        </a:xfrm>
        <a:prstGeom prst="leftRightArrow">
          <a:avLst/>
        </a:prstGeom>
        <a:solidFill>
          <a:srgbClr val="92D050"/>
        </a:solidFill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142874</xdr:colOff>
      <xdr:row>210</xdr:row>
      <xdr:rowOff>9525</xdr:rowOff>
    </xdr:from>
    <xdr:to>
      <xdr:col>1</xdr:col>
      <xdr:colOff>657223</xdr:colOff>
      <xdr:row>211</xdr:row>
      <xdr:rowOff>228600</xdr:rowOff>
    </xdr:to>
    <xdr:sp macro="" textlink="">
      <xdr:nvSpPr>
        <xdr:cNvPr id="8" name="Seta: para a Esquerda e para Cima 7">
          <a:extLst>
            <a:ext uri="{FF2B5EF4-FFF2-40B4-BE49-F238E27FC236}">
              <a16:creationId xmlns:a16="http://schemas.microsoft.com/office/drawing/2014/main" id="{5E7F11D6-F911-4D09-AFBE-0B0872230694}"/>
            </a:ext>
          </a:extLst>
        </xdr:cNvPr>
        <xdr:cNvSpPr/>
      </xdr:nvSpPr>
      <xdr:spPr bwMode="auto">
        <a:xfrm rot="10800000">
          <a:off x="142874" y="32213550"/>
          <a:ext cx="1123949" cy="419100"/>
        </a:xfrm>
        <a:prstGeom prst="leftUp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76199</xdr:colOff>
      <xdr:row>240</xdr:row>
      <xdr:rowOff>38100</xdr:rowOff>
    </xdr:from>
    <xdr:to>
      <xdr:col>22</xdr:col>
      <xdr:colOff>323850</xdr:colOff>
      <xdr:row>244</xdr:row>
      <xdr:rowOff>9525</xdr:rowOff>
    </xdr:to>
    <xdr:sp macro="" textlink="">
      <xdr:nvSpPr>
        <xdr:cNvPr id="10" name="Seta: para a Esquerda e para Cima 9">
          <a:extLst>
            <a:ext uri="{FF2B5EF4-FFF2-40B4-BE49-F238E27FC236}">
              <a16:creationId xmlns:a16="http://schemas.microsoft.com/office/drawing/2014/main" id="{38989025-49E6-45BC-BB01-11EAB67640FF}"/>
            </a:ext>
          </a:extLst>
        </xdr:cNvPr>
        <xdr:cNvSpPr/>
      </xdr:nvSpPr>
      <xdr:spPr bwMode="auto">
        <a:xfrm>
          <a:off x="7010399" y="38433375"/>
          <a:ext cx="8991601" cy="923925"/>
        </a:xfrm>
        <a:prstGeom prst="leftUp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76200</xdr:colOff>
      <xdr:row>242</xdr:row>
      <xdr:rowOff>85725</xdr:rowOff>
    </xdr:from>
    <xdr:to>
      <xdr:col>8</xdr:col>
      <xdr:colOff>93345</xdr:colOff>
      <xdr:row>255</xdr:row>
      <xdr:rowOff>76200</xdr:rowOff>
    </xdr:to>
    <xdr:sp macro="" textlink="">
      <xdr:nvSpPr>
        <xdr:cNvPr id="12" name="Seta: Curva para a Esquerda 11">
          <a:extLst>
            <a:ext uri="{FF2B5EF4-FFF2-40B4-BE49-F238E27FC236}">
              <a16:creationId xmlns:a16="http://schemas.microsoft.com/office/drawing/2014/main" id="{54D14F00-1BC4-405F-8E41-DC0344859AB5}"/>
            </a:ext>
          </a:extLst>
        </xdr:cNvPr>
        <xdr:cNvSpPr/>
      </xdr:nvSpPr>
      <xdr:spPr>
        <a:xfrm>
          <a:off x="6296025" y="39824025"/>
          <a:ext cx="731520" cy="29146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123825</xdr:colOff>
      <xdr:row>246</xdr:row>
      <xdr:rowOff>219074</xdr:rowOff>
    </xdr:from>
    <xdr:to>
      <xdr:col>10</xdr:col>
      <xdr:colOff>350520</xdr:colOff>
      <xdr:row>262</xdr:row>
      <xdr:rowOff>85725</xdr:rowOff>
    </xdr:to>
    <xdr:sp macro="" textlink="">
      <xdr:nvSpPr>
        <xdr:cNvPr id="13" name="Seta: Curva para a Esquerda 12">
          <a:extLst>
            <a:ext uri="{FF2B5EF4-FFF2-40B4-BE49-F238E27FC236}">
              <a16:creationId xmlns:a16="http://schemas.microsoft.com/office/drawing/2014/main" id="{B3A0C494-24A1-4B53-8FAC-F772EBB23673}"/>
            </a:ext>
          </a:extLst>
        </xdr:cNvPr>
        <xdr:cNvSpPr/>
      </xdr:nvSpPr>
      <xdr:spPr>
        <a:xfrm>
          <a:off x="7734300" y="40004999"/>
          <a:ext cx="836295" cy="4210051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142875</xdr:colOff>
      <xdr:row>158</xdr:row>
      <xdr:rowOff>9525</xdr:rowOff>
    </xdr:from>
    <xdr:to>
      <xdr:col>13</xdr:col>
      <xdr:colOff>438150</xdr:colOff>
      <xdr:row>161</xdr:row>
      <xdr:rowOff>123825</xdr:rowOff>
    </xdr:to>
    <xdr:sp macro="" textlink="">
      <xdr:nvSpPr>
        <xdr:cNvPr id="15" name="Seta: de Cima para Baixo 14">
          <a:extLst>
            <a:ext uri="{FF2B5EF4-FFF2-40B4-BE49-F238E27FC236}">
              <a16:creationId xmlns:a16="http://schemas.microsoft.com/office/drawing/2014/main" id="{7CCECC73-919E-4D45-A876-DB18CD4BF55D}"/>
            </a:ext>
          </a:extLst>
        </xdr:cNvPr>
        <xdr:cNvSpPr/>
      </xdr:nvSpPr>
      <xdr:spPr>
        <a:xfrm>
          <a:off x="10191750" y="25841325"/>
          <a:ext cx="295275" cy="657225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600074</xdr:colOff>
      <xdr:row>206</xdr:row>
      <xdr:rowOff>66675</xdr:rowOff>
    </xdr:from>
    <xdr:to>
      <xdr:col>6</xdr:col>
      <xdr:colOff>466724</xdr:colOff>
      <xdr:row>236</xdr:row>
      <xdr:rowOff>161924</xdr:rowOff>
    </xdr:to>
    <xdr:sp macro="" textlink="">
      <xdr:nvSpPr>
        <xdr:cNvPr id="17" name="Sinal de Multiplicação 16">
          <a:extLst>
            <a:ext uri="{FF2B5EF4-FFF2-40B4-BE49-F238E27FC236}">
              <a16:creationId xmlns:a16="http://schemas.microsoft.com/office/drawing/2014/main" id="{9D1C6A07-88AE-4D8C-A893-3FBCB1B3E4FD}"/>
            </a:ext>
          </a:extLst>
        </xdr:cNvPr>
        <xdr:cNvSpPr/>
      </xdr:nvSpPr>
      <xdr:spPr>
        <a:xfrm>
          <a:off x="1209674" y="31375350"/>
          <a:ext cx="4581525" cy="6267449"/>
        </a:xfrm>
        <a:prstGeom prst="mathMultiply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371475</xdr:colOff>
      <xdr:row>250</xdr:row>
      <xdr:rowOff>228601</xdr:rowOff>
    </xdr:from>
    <xdr:to>
      <xdr:col>17</xdr:col>
      <xdr:colOff>381000</xdr:colOff>
      <xdr:row>263</xdr:row>
      <xdr:rowOff>142876</xdr:rowOff>
    </xdr:to>
    <xdr:sp macro="" textlink="">
      <xdr:nvSpPr>
        <xdr:cNvPr id="18" name="Chave Direita 17">
          <a:extLst>
            <a:ext uri="{FF2B5EF4-FFF2-40B4-BE49-F238E27FC236}">
              <a16:creationId xmlns:a16="http://schemas.microsoft.com/office/drawing/2014/main" id="{B676E79C-221B-4EB7-797E-0701F3859AF2}"/>
            </a:ext>
          </a:extLst>
        </xdr:cNvPr>
        <xdr:cNvSpPr/>
      </xdr:nvSpPr>
      <xdr:spPr>
        <a:xfrm>
          <a:off x="12249150" y="40976551"/>
          <a:ext cx="695325" cy="3486150"/>
        </a:xfrm>
        <a:prstGeom prst="rightBrace">
          <a:avLst/>
        </a:prstGeom>
        <a:solidFill>
          <a:schemeClr val="accent2"/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104775</xdr:colOff>
      <xdr:row>121</xdr:row>
      <xdr:rowOff>190500</xdr:rowOff>
    </xdr:from>
    <xdr:to>
      <xdr:col>7</xdr:col>
      <xdr:colOff>695325</xdr:colOff>
      <xdr:row>126</xdr:row>
      <xdr:rowOff>247650</xdr:rowOff>
    </xdr:to>
    <xdr:sp macro="" textlink="">
      <xdr:nvSpPr>
        <xdr:cNvPr id="19" name="Chave Direita 18">
          <a:extLst>
            <a:ext uri="{FF2B5EF4-FFF2-40B4-BE49-F238E27FC236}">
              <a16:creationId xmlns:a16="http://schemas.microsoft.com/office/drawing/2014/main" id="{3BD1FFF0-4DAA-5C76-A75C-D2BE65019717}"/>
            </a:ext>
          </a:extLst>
        </xdr:cNvPr>
        <xdr:cNvSpPr/>
      </xdr:nvSpPr>
      <xdr:spPr>
        <a:xfrm>
          <a:off x="6324600" y="18449925"/>
          <a:ext cx="590550" cy="1323975"/>
        </a:xfrm>
        <a:prstGeom prst="rightBrace">
          <a:avLst/>
        </a:prstGeom>
        <a:solidFill>
          <a:schemeClr val="accent2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47625</xdr:colOff>
      <xdr:row>236</xdr:row>
      <xdr:rowOff>16143</xdr:rowOff>
    </xdr:from>
    <xdr:to>
      <xdr:col>12</xdr:col>
      <xdr:colOff>200024</xdr:colOff>
      <xdr:row>241</xdr:row>
      <xdr:rowOff>228599</xdr:rowOff>
    </xdr:to>
    <xdr:sp macro="" textlink="">
      <xdr:nvSpPr>
        <xdr:cNvPr id="20" name="Chave Direita 19">
          <a:extLst>
            <a:ext uri="{FF2B5EF4-FFF2-40B4-BE49-F238E27FC236}">
              <a16:creationId xmlns:a16="http://schemas.microsoft.com/office/drawing/2014/main" id="{DF66271F-9A37-8043-1AEC-FFCE57CA678C}"/>
            </a:ext>
          </a:extLst>
        </xdr:cNvPr>
        <xdr:cNvSpPr/>
      </xdr:nvSpPr>
      <xdr:spPr>
        <a:xfrm>
          <a:off x="7675697" y="38842626"/>
          <a:ext cx="1992823" cy="1382901"/>
        </a:xfrm>
        <a:prstGeom prst="rightBrace">
          <a:avLst/>
        </a:prstGeom>
        <a:solidFill>
          <a:schemeClr val="accent2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38100</xdr:colOff>
      <xdr:row>187</xdr:row>
      <xdr:rowOff>142875</xdr:rowOff>
    </xdr:from>
    <xdr:to>
      <xdr:col>8</xdr:col>
      <xdr:colOff>209550</xdr:colOff>
      <xdr:row>192</xdr:row>
      <xdr:rowOff>28575</xdr:rowOff>
    </xdr:to>
    <xdr:sp macro="" textlink="">
      <xdr:nvSpPr>
        <xdr:cNvPr id="21" name="Chave Direita 20">
          <a:extLst>
            <a:ext uri="{FF2B5EF4-FFF2-40B4-BE49-F238E27FC236}">
              <a16:creationId xmlns:a16="http://schemas.microsoft.com/office/drawing/2014/main" id="{8B237C18-C916-4A1A-B90F-2FBFD88EE69B}"/>
            </a:ext>
          </a:extLst>
        </xdr:cNvPr>
        <xdr:cNvSpPr/>
      </xdr:nvSpPr>
      <xdr:spPr>
        <a:xfrm>
          <a:off x="6257925" y="28479750"/>
          <a:ext cx="885825" cy="876300"/>
        </a:xfrm>
        <a:prstGeom prst="rightBrace">
          <a:avLst/>
        </a:prstGeom>
        <a:solidFill>
          <a:schemeClr val="accent2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38099</xdr:colOff>
      <xdr:row>200</xdr:row>
      <xdr:rowOff>95250</xdr:rowOff>
    </xdr:from>
    <xdr:ext cx="3550553" cy="923925"/>
    <xdr:pic>
      <xdr:nvPicPr>
        <xdr:cNvPr id="23" name="Imagem 22" descr="Texto&#10;&#10;Descrição gerada automaticamente">
          <a:extLst>
            <a:ext uri="{FF2B5EF4-FFF2-40B4-BE49-F238E27FC236}">
              <a16:creationId xmlns:a16="http://schemas.microsoft.com/office/drawing/2014/main" id="{2E86DE10-ACFB-46B2-A7C6-505355061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699" y="35328225"/>
          <a:ext cx="3550553" cy="92392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197</xdr:row>
      <xdr:rowOff>133350</xdr:rowOff>
    </xdr:from>
    <xdr:to>
      <xdr:col>1</xdr:col>
      <xdr:colOff>66674</xdr:colOff>
      <xdr:row>199</xdr:row>
      <xdr:rowOff>57150</xdr:rowOff>
    </xdr:to>
    <xdr:sp macro="" textlink="">
      <xdr:nvSpPr>
        <xdr:cNvPr id="25" name="Seta: para a Direita 24">
          <a:extLst>
            <a:ext uri="{FF2B5EF4-FFF2-40B4-BE49-F238E27FC236}">
              <a16:creationId xmlns:a16="http://schemas.microsoft.com/office/drawing/2014/main" id="{B3B28E47-C0EC-42C0-8F9A-FA351507F3FF}"/>
            </a:ext>
          </a:extLst>
        </xdr:cNvPr>
        <xdr:cNvSpPr/>
      </xdr:nvSpPr>
      <xdr:spPr bwMode="auto">
        <a:xfrm>
          <a:off x="76199" y="347662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200025</xdr:colOff>
      <xdr:row>197</xdr:row>
      <xdr:rowOff>142875</xdr:rowOff>
    </xdr:from>
    <xdr:to>
      <xdr:col>6</xdr:col>
      <xdr:colOff>800100</xdr:colOff>
      <xdr:row>199</xdr:row>
      <xdr:rowOff>66675</xdr:rowOff>
    </xdr:to>
    <xdr:sp macro="" textlink="">
      <xdr:nvSpPr>
        <xdr:cNvPr id="26" name="Seta: para a Direita 25">
          <a:extLst>
            <a:ext uri="{FF2B5EF4-FFF2-40B4-BE49-F238E27FC236}">
              <a16:creationId xmlns:a16="http://schemas.microsoft.com/office/drawing/2014/main" id="{DBC290EB-82E9-4F81-8F1B-75395A059EB3}"/>
            </a:ext>
          </a:extLst>
        </xdr:cNvPr>
        <xdr:cNvSpPr/>
      </xdr:nvSpPr>
      <xdr:spPr bwMode="auto">
        <a:xfrm rot="10800000">
          <a:off x="5391150" y="34775775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28575</xdr:colOff>
      <xdr:row>160</xdr:row>
      <xdr:rowOff>9525</xdr:rowOff>
    </xdr:from>
    <xdr:to>
      <xdr:col>12</xdr:col>
      <xdr:colOff>419100</xdr:colOff>
      <xdr:row>161</xdr:row>
      <xdr:rowOff>0</xdr:rowOff>
    </xdr:to>
    <xdr:sp macro="" textlink="">
      <xdr:nvSpPr>
        <xdr:cNvPr id="27" name="Seta: da Esquerda para a Direita 26">
          <a:extLst>
            <a:ext uri="{FF2B5EF4-FFF2-40B4-BE49-F238E27FC236}">
              <a16:creationId xmlns:a16="http://schemas.microsoft.com/office/drawing/2014/main" id="{21E7B1BE-775B-411F-B2DC-0F4BE44DFF64}"/>
            </a:ext>
          </a:extLst>
        </xdr:cNvPr>
        <xdr:cNvSpPr/>
      </xdr:nvSpPr>
      <xdr:spPr bwMode="auto">
        <a:xfrm>
          <a:off x="6829425" y="31270575"/>
          <a:ext cx="2828925" cy="180975"/>
        </a:xfrm>
        <a:prstGeom prst="leftRightArrow">
          <a:avLst/>
        </a:prstGeom>
        <a:solidFill>
          <a:srgbClr val="92D050"/>
        </a:solidFill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142874</xdr:colOff>
      <xdr:row>210</xdr:row>
      <xdr:rowOff>9525</xdr:rowOff>
    </xdr:from>
    <xdr:to>
      <xdr:col>1</xdr:col>
      <xdr:colOff>657223</xdr:colOff>
      <xdr:row>211</xdr:row>
      <xdr:rowOff>228600</xdr:rowOff>
    </xdr:to>
    <xdr:sp macro="" textlink="">
      <xdr:nvSpPr>
        <xdr:cNvPr id="28" name="Seta: para a Esquerda e para Cima 27">
          <a:extLst>
            <a:ext uri="{FF2B5EF4-FFF2-40B4-BE49-F238E27FC236}">
              <a16:creationId xmlns:a16="http://schemas.microsoft.com/office/drawing/2014/main" id="{36965D47-FB01-41DD-ABA3-DC70C387D13C}"/>
            </a:ext>
          </a:extLst>
        </xdr:cNvPr>
        <xdr:cNvSpPr/>
      </xdr:nvSpPr>
      <xdr:spPr bwMode="auto">
        <a:xfrm rot="10800000">
          <a:off x="142874" y="37347525"/>
          <a:ext cx="1123949" cy="419100"/>
        </a:xfrm>
        <a:prstGeom prst="leftUp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76199</xdr:colOff>
      <xdr:row>240</xdr:row>
      <xdr:rowOff>38100</xdr:rowOff>
    </xdr:from>
    <xdr:to>
      <xdr:col>22</xdr:col>
      <xdr:colOff>323850</xdr:colOff>
      <xdr:row>244</xdr:row>
      <xdr:rowOff>9525</xdr:rowOff>
    </xdr:to>
    <xdr:sp macro="" textlink="">
      <xdr:nvSpPr>
        <xdr:cNvPr id="30" name="Seta: para a Esquerda e para Cima 29">
          <a:extLst>
            <a:ext uri="{FF2B5EF4-FFF2-40B4-BE49-F238E27FC236}">
              <a16:creationId xmlns:a16="http://schemas.microsoft.com/office/drawing/2014/main" id="{AA893372-E75B-4A3B-9FF7-33D7EE854A68}"/>
            </a:ext>
          </a:extLst>
        </xdr:cNvPr>
        <xdr:cNvSpPr/>
      </xdr:nvSpPr>
      <xdr:spPr bwMode="auto">
        <a:xfrm>
          <a:off x="6877049" y="43567350"/>
          <a:ext cx="8515351" cy="923925"/>
        </a:xfrm>
        <a:prstGeom prst="leftUp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19050</xdr:colOff>
      <xdr:row>241</xdr:row>
      <xdr:rowOff>152400</xdr:rowOff>
    </xdr:from>
    <xdr:to>
      <xdr:col>8</xdr:col>
      <xdr:colOff>190500</xdr:colOff>
      <xdr:row>246</xdr:row>
      <xdr:rowOff>38100</xdr:rowOff>
    </xdr:to>
    <xdr:sp macro="" textlink="">
      <xdr:nvSpPr>
        <xdr:cNvPr id="14" name="Chave Direita 13">
          <a:extLst>
            <a:ext uri="{FF2B5EF4-FFF2-40B4-BE49-F238E27FC236}">
              <a16:creationId xmlns:a16="http://schemas.microsoft.com/office/drawing/2014/main" id="{85A3EB75-2D7F-4134-A725-04921D486155}"/>
            </a:ext>
          </a:extLst>
        </xdr:cNvPr>
        <xdr:cNvSpPr/>
      </xdr:nvSpPr>
      <xdr:spPr>
        <a:xfrm>
          <a:off x="6238875" y="39652575"/>
          <a:ext cx="885825" cy="1038225"/>
        </a:xfrm>
        <a:prstGeom prst="rightBrace">
          <a:avLst/>
        </a:prstGeom>
        <a:solidFill>
          <a:schemeClr val="accent2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47625</xdr:colOff>
      <xdr:row>246</xdr:row>
      <xdr:rowOff>47625</xdr:rowOff>
    </xdr:from>
    <xdr:to>
      <xdr:col>8</xdr:col>
      <xdr:colOff>85725</xdr:colOff>
      <xdr:row>249</xdr:row>
      <xdr:rowOff>209550</xdr:rowOff>
    </xdr:to>
    <xdr:sp macro="" textlink="">
      <xdr:nvSpPr>
        <xdr:cNvPr id="24" name="Chave Direita 23">
          <a:extLst>
            <a:ext uri="{FF2B5EF4-FFF2-40B4-BE49-F238E27FC236}">
              <a16:creationId xmlns:a16="http://schemas.microsoft.com/office/drawing/2014/main" id="{5D45A6BD-D911-450D-A9FC-363031FEB3BB}"/>
            </a:ext>
          </a:extLst>
        </xdr:cNvPr>
        <xdr:cNvSpPr/>
      </xdr:nvSpPr>
      <xdr:spPr>
        <a:xfrm>
          <a:off x="6267450" y="40700325"/>
          <a:ext cx="752475" cy="876300"/>
        </a:xfrm>
        <a:prstGeom prst="rightBrace">
          <a:avLst/>
        </a:prstGeom>
        <a:solidFill>
          <a:schemeClr val="accent2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304800</xdr:colOff>
      <xdr:row>134</xdr:row>
      <xdr:rowOff>190499</xdr:rowOff>
    </xdr:from>
    <xdr:to>
      <xdr:col>2</xdr:col>
      <xdr:colOff>523875</xdr:colOff>
      <xdr:row>139</xdr:row>
      <xdr:rowOff>19050</xdr:rowOff>
    </xdr:to>
    <xdr:pic>
      <xdr:nvPicPr>
        <xdr:cNvPr id="33" name="Gráfico 32" descr="Seta para Baixo com preenchimento sólido">
          <a:extLst>
            <a:ext uri="{FF2B5EF4-FFF2-40B4-BE49-F238E27FC236}">
              <a16:creationId xmlns:a16="http://schemas.microsoft.com/office/drawing/2014/main" id="{905E64D9-0553-3D07-52A9-0B1E81F7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14400" y="21059774"/>
          <a:ext cx="914400" cy="7810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134</xdr:row>
      <xdr:rowOff>190499</xdr:rowOff>
    </xdr:from>
    <xdr:to>
      <xdr:col>7</xdr:col>
      <xdr:colOff>19050</xdr:colOff>
      <xdr:row>139</xdr:row>
      <xdr:rowOff>85725</xdr:rowOff>
    </xdr:to>
    <xdr:pic>
      <xdr:nvPicPr>
        <xdr:cNvPr id="36" name="Gráfico 35" descr="Seta para Baixo com preenchimento sólido">
          <a:extLst>
            <a:ext uri="{FF2B5EF4-FFF2-40B4-BE49-F238E27FC236}">
              <a16:creationId xmlns:a16="http://schemas.microsoft.com/office/drawing/2014/main" id="{1B9EB8BC-00B2-4FE2-9061-5763C4D6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362575" y="21193124"/>
          <a:ext cx="914400" cy="847726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99</xdr:row>
      <xdr:rowOff>0</xdr:rowOff>
    </xdr:from>
    <xdr:to>
      <xdr:col>6</xdr:col>
      <xdr:colOff>276225</xdr:colOff>
      <xdr:row>128</xdr:row>
      <xdr:rowOff>152399</xdr:rowOff>
    </xdr:to>
    <xdr:sp macro="" textlink="">
      <xdr:nvSpPr>
        <xdr:cNvPr id="31" name="Sinal de Multiplicação 30">
          <a:extLst>
            <a:ext uri="{FF2B5EF4-FFF2-40B4-BE49-F238E27FC236}">
              <a16:creationId xmlns:a16="http://schemas.microsoft.com/office/drawing/2014/main" id="{9F0D21C0-F0A6-40CA-AD78-8CBC9D8007E1}"/>
            </a:ext>
          </a:extLst>
        </xdr:cNvPr>
        <xdr:cNvSpPr/>
      </xdr:nvSpPr>
      <xdr:spPr>
        <a:xfrm>
          <a:off x="1019175" y="15649575"/>
          <a:ext cx="4581525" cy="6315074"/>
        </a:xfrm>
        <a:prstGeom prst="mathMultiply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97156</xdr:colOff>
      <xdr:row>138</xdr:row>
      <xdr:rowOff>163593</xdr:rowOff>
    </xdr:from>
    <xdr:to>
      <xdr:col>7</xdr:col>
      <xdr:colOff>683900</xdr:colOff>
      <xdr:row>140</xdr:row>
      <xdr:rowOff>60245</xdr:rowOff>
    </xdr:to>
    <xdr:pic>
      <xdr:nvPicPr>
        <xdr:cNvPr id="16" name="Gráfico 15" descr="Seta para Baixo com preenchimento sólido">
          <a:extLst>
            <a:ext uri="{FF2B5EF4-FFF2-40B4-BE49-F238E27FC236}">
              <a16:creationId xmlns:a16="http://schemas.microsoft.com/office/drawing/2014/main" id="{A6F9F71C-6F1C-41B7-ABED-C90439B3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6200000">
          <a:off x="6471527" y="21773672"/>
          <a:ext cx="277652" cy="586744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95254</xdr:colOff>
      <xdr:row>0</xdr:row>
      <xdr:rowOff>28575</xdr:rowOff>
    </xdr:from>
    <xdr:to>
      <xdr:col>22</xdr:col>
      <xdr:colOff>628658</xdr:colOff>
      <xdr:row>1</xdr:row>
      <xdr:rowOff>33336</xdr:rowOff>
    </xdr:to>
    <xdr:pic>
      <xdr:nvPicPr>
        <xdr:cNvPr id="32" name="Gráfico 31" descr="Seta para Baixo com preenchimento sólido">
          <a:extLst>
            <a:ext uri="{FF2B5EF4-FFF2-40B4-BE49-F238E27FC236}">
              <a16:creationId xmlns:a16="http://schemas.microsoft.com/office/drawing/2014/main" id="{210AED2B-C8C2-4117-AF71-B570E1F7B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6200000">
          <a:off x="16294900" y="-111921"/>
          <a:ext cx="252411" cy="533404"/>
        </a:xfrm>
        <a:prstGeom prst="rect">
          <a:avLst/>
        </a:prstGeom>
      </xdr:spPr>
    </xdr:pic>
    <xdr:clientData/>
  </xdr:twoCellAnchor>
  <xdr:twoCellAnchor editAs="oneCell">
    <xdr:from>
      <xdr:col>27</xdr:col>
      <xdr:colOff>238125</xdr:colOff>
      <xdr:row>2</xdr:row>
      <xdr:rowOff>180975</xdr:rowOff>
    </xdr:from>
    <xdr:to>
      <xdr:col>28</xdr:col>
      <xdr:colOff>38103</xdr:colOff>
      <xdr:row>2</xdr:row>
      <xdr:rowOff>433386</xdr:rowOff>
    </xdr:to>
    <xdr:pic>
      <xdr:nvPicPr>
        <xdr:cNvPr id="34" name="Gráfico 33" descr="Seta para Baixo com preenchimento sólido">
          <a:extLst>
            <a:ext uri="{FF2B5EF4-FFF2-40B4-BE49-F238E27FC236}">
              <a16:creationId xmlns:a16="http://schemas.microsoft.com/office/drawing/2014/main" id="{2F884711-3FAD-4828-BE99-841D588B3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6200000">
          <a:off x="19647696" y="10470354"/>
          <a:ext cx="252411" cy="419103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161</xdr:row>
      <xdr:rowOff>9525</xdr:rowOff>
    </xdr:from>
    <xdr:to>
      <xdr:col>9</xdr:col>
      <xdr:colOff>336042</xdr:colOff>
      <xdr:row>167</xdr:row>
      <xdr:rowOff>69342</xdr:rowOff>
    </xdr:to>
    <xdr:sp macro="" textlink="">
      <xdr:nvSpPr>
        <xdr:cNvPr id="22" name="Seta: para a Esquerda e para Cima 21">
          <a:extLst>
            <a:ext uri="{FF2B5EF4-FFF2-40B4-BE49-F238E27FC236}">
              <a16:creationId xmlns:a16="http://schemas.microsoft.com/office/drawing/2014/main" id="{F62687DD-FD81-D368-3E65-A9AA99B04A40}"/>
            </a:ext>
          </a:extLst>
        </xdr:cNvPr>
        <xdr:cNvSpPr/>
      </xdr:nvSpPr>
      <xdr:spPr>
        <a:xfrm>
          <a:off x="7096125" y="29413200"/>
          <a:ext cx="850392" cy="850392"/>
        </a:xfrm>
        <a:prstGeom prst="lef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171450</xdr:colOff>
      <xdr:row>132</xdr:row>
      <xdr:rowOff>57151</xdr:rowOff>
    </xdr:from>
    <xdr:to>
      <xdr:col>7</xdr:col>
      <xdr:colOff>590550</xdr:colOff>
      <xdr:row>137</xdr:row>
      <xdr:rowOff>19051</xdr:rowOff>
    </xdr:to>
    <xdr:pic>
      <xdr:nvPicPr>
        <xdr:cNvPr id="35" name="Gráfico 34" descr="Seta para Baixo com preenchimento sólido">
          <a:extLst>
            <a:ext uri="{FF2B5EF4-FFF2-40B4-BE49-F238E27FC236}">
              <a16:creationId xmlns:a16="http://schemas.microsoft.com/office/drawing/2014/main" id="{25B87529-9E46-448A-B61E-CFE5DCC2B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6200000">
          <a:off x="6143625" y="26012776"/>
          <a:ext cx="914400" cy="4191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155</xdr:row>
      <xdr:rowOff>0</xdr:rowOff>
    </xdr:from>
    <xdr:to>
      <xdr:col>25</xdr:col>
      <xdr:colOff>419100</xdr:colOff>
      <xdr:row>156</xdr:row>
      <xdr:rowOff>38100</xdr:rowOff>
    </xdr:to>
    <xdr:sp macro="" textlink="">
      <xdr:nvSpPr>
        <xdr:cNvPr id="11" name="Seta: para a Esquerda 10">
          <a:extLst>
            <a:ext uri="{FF2B5EF4-FFF2-40B4-BE49-F238E27FC236}">
              <a16:creationId xmlns:a16="http://schemas.microsoft.com/office/drawing/2014/main" id="{D04E486A-A480-4964-A8C0-244CBE220E6B}"/>
            </a:ext>
          </a:extLst>
        </xdr:cNvPr>
        <xdr:cNvSpPr/>
      </xdr:nvSpPr>
      <xdr:spPr>
        <a:xfrm>
          <a:off x="17373600" y="24926925"/>
          <a:ext cx="1028700" cy="2381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31</xdr:col>
      <xdr:colOff>400051</xdr:colOff>
      <xdr:row>0</xdr:row>
      <xdr:rowOff>66677</xdr:rowOff>
    </xdr:from>
    <xdr:to>
      <xdr:col>40</xdr:col>
      <xdr:colOff>238126</xdr:colOff>
      <xdr:row>0</xdr:row>
      <xdr:rowOff>152401</xdr:rowOff>
    </xdr:to>
    <xdr:sp macro="" textlink="">
      <xdr:nvSpPr>
        <xdr:cNvPr id="37" name="Seta: da Esquerda para a Direita 36">
          <a:extLst>
            <a:ext uri="{FF2B5EF4-FFF2-40B4-BE49-F238E27FC236}">
              <a16:creationId xmlns:a16="http://schemas.microsoft.com/office/drawing/2014/main" id="{13305096-FBFC-AF65-4B93-23A733A62C6A}"/>
            </a:ext>
          </a:extLst>
        </xdr:cNvPr>
        <xdr:cNvSpPr/>
      </xdr:nvSpPr>
      <xdr:spPr>
        <a:xfrm>
          <a:off x="22526626" y="66677"/>
          <a:ext cx="5410200" cy="8572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104775</xdr:colOff>
      <xdr:row>138</xdr:row>
      <xdr:rowOff>0</xdr:rowOff>
    </xdr:from>
    <xdr:to>
      <xdr:col>7</xdr:col>
      <xdr:colOff>586744</xdr:colOff>
      <xdr:row>139</xdr:row>
      <xdr:rowOff>87152</xdr:rowOff>
    </xdr:to>
    <xdr:pic>
      <xdr:nvPicPr>
        <xdr:cNvPr id="9" name="Gráfico 8" descr="Seta para Baixo com preenchimento sólido">
          <a:extLst>
            <a:ext uri="{FF2B5EF4-FFF2-40B4-BE49-F238E27FC236}">
              <a16:creationId xmlns:a16="http://schemas.microsoft.com/office/drawing/2014/main" id="{27CE3366-971F-4A58-93BB-6395B0A15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6200000">
          <a:off x="5564746" y="20800454"/>
          <a:ext cx="277652" cy="2205994"/>
        </a:xfrm>
        <a:prstGeom prst="rect">
          <a:avLst/>
        </a:prstGeom>
      </xdr:spPr>
    </xdr:pic>
    <xdr:clientData/>
  </xdr:twoCellAnchor>
  <xdr:twoCellAnchor>
    <xdr:from>
      <xdr:col>2</xdr:col>
      <xdr:colOff>638175</xdr:colOff>
      <xdr:row>98</xdr:row>
      <xdr:rowOff>0</xdr:rowOff>
    </xdr:from>
    <xdr:to>
      <xdr:col>2</xdr:col>
      <xdr:colOff>828675</xdr:colOff>
      <xdr:row>99</xdr:row>
      <xdr:rowOff>0</xdr:rowOff>
    </xdr:to>
    <xdr:sp macro="" textlink="">
      <xdr:nvSpPr>
        <xdr:cNvPr id="29" name="CaixaDeTexto 17">
          <a:extLst>
            <a:ext uri="{FF2B5EF4-FFF2-40B4-BE49-F238E27FC236}">
              <a16:creationId xmlns:a16="http://schemas.microsoft.com/office/drawing/2014/main" id="{DBC8B537-4164-4EA7-AD43-3EB69379F540}"/>
            </a:ext>
          </a:extLst>
        </xdr:cNvPr>
        <xdr:cNvSpPr txBox="1">
          <a:spLocks noChangeArrowheads="1"/>
        </xdr:cNvSpPr>
      </xdr:nvSpPr>
      <xdr:spPr bwMode="auto">
        <a:xfrm>
          <a:off x="1943100" y="216598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638175</xdr:colOff>
      <xdr:row>132</xdr:row>
      <xdr:rowOff>0</xdr:rowOff>
    </xdr:from>
    <xdr:to>
      <xdr:col>2</xdr:col>
      <xdr:colOff>828675</xdr:colOff>
      <xdr:row>133</xdr:row>
      <xdr:rowOff>0</xdr:rowOff>
    </xdr:to>
    <xdr:sp macro="" textlink="">
      <xdr:nvSpPr>
        <xdr:cNvPr id="38" name="CaixaDeTexto 17">
          <a:extLst>
            <a:ext uri="{FF2B5EF4-FFF2-40B4-BE49-F238E27FC236}">
              <a16:creationId xmlns:a16="http://schemas.microsoft.com/office/drawing/2014/main" id="{6A9FDAD2-3EE4-486B-8429-5C9B2B46F70B}"/>
            </a:ext>
          </a:extLst>
        </xdr:cNvPr>
        <xdr:cNvSpPr txBox="1">
          <a:spLocks noChangeArrowheads="1"/>
        </xdr:cNvSpPr>
      </xdr:nvSpPr>
      <xdr:spPr bwMode="auto">
        <a:xfrm>
          <a:off x="1943100" y="216598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638175</xdr:colOff>
      <xdr:row>132</xdr:row>
      <xdr:rowOff>0</xdr:rowOff>
    </xdr:from>
    <xdr:to>
      <xdr:col>2</xdr:col>
      <xdr:colOff>828675</xdr:colOff>
      <xdr:row>133</xdr:row>
      <xdr:rowOff>0</xdr:rowOff>
    </xdr:to>
    <xdr:sp macro="" textlink="">
      <xdr:nvSpPr>
        <xdr:cNvPr id="39" name="CaixaDeTexto 17">
          <a:extLst>
            <a:ext uri="{FF2B5EF4-FFF2-40B4-BE49-F238E27FC236}">
              <a16:creationId xmlns:a16="http://schemas.microsoft.com/office/drawing/2014/main" id="{C4F08087-6712-4247-A70C-559D154B9BD8}"/>
            </a:ext>
          </a:extLst>
        </xdr:cNvPr>
        <xdr:cNvSpPr txBox="1">
          <a:spLocks noChangeArrowheads="1"/>
        </xdr:cNvSpPr>
      </xdr:nvSpPr>
      <xdr:spPr bwMode="auto">
        <a:xfrm>
          <a:off x="1943100" y="216598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41</xdr:col>
      <xdr:colOff>485775</xdr:colOff>
      <xdr:row>45</xdr:row>
      <xdr:rowOff>133350</xdr:rowOff>
    </xdr:from>
    <xdr:to>
      <xdr:col>42</xdr:col>
      <xdr:colOff>179832</xdr:colOff>
      <xdr:row>50</xdr:row>
      <xdr:rowOff>159258</xdr:rowOff>
    </xdr:to>
    <xdr:sp macro="" textlink="">
      <xdr:nvSpPr>
        <xdr:cNvPr id="41" name="Seta: para Baixo 40">
          <a:extLst>
            <a:ext uri="{FF2B5EF4-FFF2-40B4-BE49-F238E27FC236}">
              <a16:creationId xmlns:a16="http://schemas.microsoft.com/office/drawing/2014/main" id="{1542CF69-1474-4CDB-9DC1-AD2BCD2DDD43}"/>
            </a:ext>
          </a:extLst>
        </xdr:cNvPr>
        <xdr:cNvSpPr/>
      </xdr:nvSpPr>
      <xdr:spPr>
        <a:xfrm>
          <a:off x="14306550" y="7800975"/>
          <a:ext cx="484632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485775</xdr:colOff>
      <xdr:row>45</xdr:row>
      <xdr:rowOff>133350</xdr:rowOff>
    </xdr:from>
    <xdr:to>
      <xdr:col>49</xdr:col>
      <xdr:colOff>179832</xdr:colOff>
      <xdr:row>50</xdr:row>
      <xdr:rowOff>159258</xdr:rowOff>
    </xdr:to>
    <xdr:sp macro="" textlink="">
      <xdr:nvSpPr>
        <xdr:cNvPr id="42" name="Seta: para Baixo 41">
          <a:extLst>
            <a:ext uri="{FF2B5EF4-FFF2-40B4-BE49-F238E27FC236}">
              <a16:creationId xmlns:a16="http://schemas.microsoft.com/office/drawing/2014/main" id="{D94C468F-C28E-48D2-AE10-F999679333ED}"/>
            </a:ext>
          </a:extLst>
        </xdr:cNvPr>
        <xdr:cNvSpPr/>
      </xdr:nvSpPr>
      <xdr:spPr>
        <a:xfrm>
          <a:off x="14306550" y="7800975"/>
          <a:ext cx="484632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104775</xdr:colOff>
      <xdr:row>33</xdr:row>
      <xdr:rowOff>28575</xdr:rowOff>
    </xdr:from>
    <xdr:to>
      <xdr:col>20</xdr:col>
      <xdr:colOff>164592</xdr:colOff>
      <xdr:row>36</xdr:row>
      <xdr:rowOff>240792</xdr:rowOff>
    </xdr:to>
    <xdr:sp macro="" textlink="">
      <xdr:nvSpPr>
        <xdr:cNvPr id="43" name="Seta: para a Esquerda e para Cima 42">
          <a:extLst>
            <a:ext uri="{FF2B5EF4-FFF2-40B4-BE49-F238E27FC236}">
              <a16:creationId xmlns:a16="http://schemas.microsoft.com/office/drawing/2014/main" id="{4025257F-109C-FCA6-44CC-B22815D7B2CD}"/>
            </a:ext>
          </a:extLst>
        </xdr:cNvPr>
        <xdr:cNvSpPr/>
      </xdr:nvSpPr>
      <xdr:spPr>
        <a:xfrm rot="16200000">
          <a:off x="13925550" y="8267700"/>
          <a:ext cx="850392" cy="850392"/>
        </a:xfrm>
        <a:prstGeom prst="lef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638175</xdr:colOff>
      <xdr:row>182</xdr:row>
      <xdr:rowOff>0</xdr:rowOff>
    </xdr:from>
    <xdr:to>
      <xdr:col>2</xdr:col>
      <xdr:colOff>828675</xdr:colOff>
      <xdr:row>183</xdr:row>
      <xdr:rowOff>0</xdr:rowOff>
    </xdr:to>
    <xdr:sp macro="" textlink="">
      <xdr:nvSpPr>
        <xdr:cNvPr id="40" name="CaixaDeTexto 17">
          <a:extLst>
            <a:ext uri="{FF2B5EF4-FFF2-40B4-BE49-F238E27FC236}">
              <a16:creationId xmlns:a16="http://schemas.microsoft.com/office/drawing/2014/main" id="{4D6C8E78-10B1-4C45-83CC-D13B5C66DA0E}"/>
            </a:ext>
          </a:extLst>
        </xdr:cNvPr>
        <xdr:cNvSpPr txBox="1">
          <a:spLocks noChangeArrowheads="1"/>
        </xdr:cNvSpPr>
      </xdr:nvSpPr>
      <xdr:spPr bwMode="auto">
        <a:xfrm>
          <a:off x="1943100" y="216598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638175</xdr:colOff>
      <xdr:row>182</xdr:row>
      <xdr:rowOff>0</xdr:rowOff>
    </xdr:from>
    <xdr:to>
      <xdr:col>2</xdr:col>
      <xdr:colOff>828675</xdr:colOff>
      <xdr:row>183</xdr:row>
      <xdr:rowOff>0</xdr:rowOff>
    </xdr:to>
    <xdr:sp macro="" textlink="">
      <xdr:nvSpPr>
        <xdr:cNvPr id="44" name="CaixaDeTexto 17">
          <a:extLst>
            <a:ext uri="{FF2B5EF4-FFF2-40B4-BE49-F238E27FC236}">
              <a16:creationId xmlns:a16="http://schemas.microsoft.com/office/drawing/2014/main" id="{228F2BD8-F4F3-4810-8BAC-4CF25C647421}"/>
            </a:ext>
          </a:extLst>
        </xdr:cNvPr>
        <xdr:cNvSpPr txBox="1">
          <a:spLocks noChangeArrowheads="1"/>
        </xdr:cNvSpPr>
      </xdr:nvSpPr>
      <xdr:spPr bwMode="auto">
        <a:xfrm>
          <a:off x="1943100" y="216598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638175</xdr:colOff>
      <xdr:row>264</xdr:row>
      <xdr:rowOff>0</xdr:rowOff>
    </xdr:from>
    <xdr:to>
      <xdr:col>2</xdr:col>
      <xdr:colOff>828675</xdr:colOff>
      <xdr:row>265</xdr:row>
      <xdr:rowOff>0</xdr:rowOff>
    </xdr:to>
    <xdr:sp macro="" textlink="">
      <xdr:nvSpPr>
        <xdr:cNvPr id="45" name="CaixaDeTexto 17">
          <a:extLst>
            <a:ext uri="{FF2B5EF4-FFF2-40B4-BE49-F238E27FC236}">
              <a16:creationId xmlns:a16="http://schemas.microsoft.com/office/drawing/2014/main" id="{ACB4EE65-7EF5-4F07-A1AB-F8FA8C3F51B3}"/>
            </a:ext>
          </a:extLst>
        </xdr:cNvPr>
        <xdr:cNvSpPr txBox="1">
          <a:spLocks noChangeArrowheads="1"/>
        </xdr:cNvSpPr>
      </xdr:nvSpPr>
      <xdr:spPr bwMode="auto">
        <a:xfrm>
          <a:off x="1943100" y="316801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638175</xdr:colOff>
      <xdr:row>264</xdr:row>
      <xdr:rowOff>0</xdr:rowOff>
    </xdr:from>
    <xdr:to>
      <xdr:col>2</xdr:col>
      <xdr:colOff>828675</xdr:colOff>
      <xdr:row>265</xdr:row>
      <xdr:rowOff>0</xdr:rowOff>
    </xdr:to>
    <xdr:sp macro="" textlink="">
      <xdr:nvSpPr>
        <xdr:cNvPr id="46" name="CaixaDeTexto 17">
          <a:extLst>
            <a:ext uri="{FF2B5EF4-FFF2-40B4-BE49-F238E27FC236}">
              <a16:creationId xmlns:a16="http://schemas.microsoft.com/office/drawing/2014/main" id="{EAEEE20C-87EC-477E-A528-4D81FB0F5261}"/>
            </a:ext>
          </a:extLst>
        </xdr:cNvPr>
        <xdr:cNvSpPr txBox="1">
          <a:spLocks noChangeArrowheads="1"/>
        </xdr:cNvSpPr>
      </xdr:nvSpPr>
      <xdr:spPr bwMode="auto">
        <a:xfrm>
          <a:off x="1943100" y="31680150"/>
          <a:ext cx="1905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200024</xdr:colOff>
      <xdr:row>22</xdr:row>
      <xdr:rowOff>95250</xdr:rowOff>
    </xdr:from>
    <xdr:to>
      <xdr:col>36</xdr:col>
      <xdr:colOff>504825</xdr:colOff>
      <xdr:row>37</xdr:row>
      <xdr:rowOff>19050</xdr:rowOff>
    </xdr:to>
    <xdr:sp macro="" textlink="">
      <xdr:nvSpPr>
        <xdr:cNvPr id="47" name="Seta: para Baixo 46">
          <a:extLst>
            <a:ext uri="{FF2B5EF4-FFF2-40B4-BE49-F238E27FC236}">
              <a16:creationId xmlns:a16="http://schemas.microsoft.com/office/drawing/2014/main" id="{03CB3DAB-B99C-4EE6-811E-FD16B9EC8FFB}"/>
            </a:ext>
          </a:extLst>
        </xdr:cNvPr>
        <xdr:cNvSpPr/>
      </xdr:nvSpPr>
      <xdr:spPr>
        <a:xfrm>
          <a:off x="25298399" y="6238875"/>
          <a:ext cx="304801" cy="29146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28575</xdr:colOff>
      <xdr:row>4</xdr:row>
      <xdr:rowOff>47624</xdr:rowOff>
    </xdr:from>
    <xdr:to>
      <xdr:col>20</xdr:col>
      <xdr:colOff>190500</xdr:colOff>
      <xdr:row>28</xdr:row>
      <xdr:rowOff>171449</xdr:rowOff>
    </xdr:to>
    <xdr:sp macro="" textlink="">
      <xdr:nvSpPr>
        <xdr:cNvPr id="48" name="Seta: de Cima para Baixo 47">
          <a:extLst>
            <a:ext uri="{FF2B5EF4-FFF2-40B4-BE49-F238E27FC236}">
              <a16:creationId xmlns:a16="http://schemas.microsoft.com/office/drawing/2014/main" id="{78A8291B-2311-8B3D-3968-6167625998BF}"/>
            </a:ext>
          </a:extLst>
        </xdr:cNvPr>
        <xdr:cNvSpPr/>
      </xdr:nvSpPr>
      <xdr:spPr>
        <a:xfrm>
          <a:off x="14639925" y="1943099"/>
          <a:ext cx="161925" cy="5514975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152400</xdr:colOff>
      <xdr:row>40</xdr:row>
      <xdr:rowOff>95250</xdr:rowOff>
    </xdr:from>
    <xdr:to>
      <xdr:col>18</xdr:col>
      <xdr:colOff>238126</xdr:colOff>
      <xdr:row>41</xdr:row>
      <xdr:rowOff>38099</xdr:rowOff>
    </xdr:to>
    <xdr:sp macro="" textlink="">
      <xdr:nvSpPr>
        <xdr:cNvPr id="49" name="Seta: de Cima para Baixo 48">
          <a:extLst>
            <a:ext uri="{FF2B5EF4-FFF2-40B4-BE49-F238E27FC236}">
              <a16:creationId xmlns:a16="http://schemas.microsoft.com/office/drawing/2014/main" id="{C88CE0F1-C1B8-4C02-8422-01F9603EFA95}"/>
            </a:ext>
          </a:extLst>
        </xdr:cNvPr>
        <xdr:cNvSpPr/>
      </xdr:nvSpPr>
      <xdr:spPr>
        <a:xfrm rot="16200000">
          <a:off x="7519988" y="3738562"/>
          <a:ext cx="133349" cy="12258676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3314700</xdr:colOff>
      <xdr:row>4</xdr:row>
      <xdr:rowOff>180975</xdr:rowOff>
    </xdr:from>
    <xdr:to>
      <xdr:col>0</xdr:col>
      <xdr:colOff>3657599</xdr:colOff>
      <xdr:row>38</xdr:row>
      <xdr:rowOff>171450</xdr:rowOff>
    </xdr:to>
    <xdr:sp macro="" textlink="">
      <xdr:nvSpPr>
        <xdr:cNvPr id="2" name="Seta: Curva para a Direita 1">
          <a:extLst>
            <a:ext uri="{FF2B5EF4-FFF2-40B4-BE49-F238E27FC236}">
              <a16:creationId xmlns:a16="http://schemas.microsoft.com/office/drawing/2014/main" id="{9ECA7EDB-6F59-43E3-9ACC-5F56F7AC7894}"/>
            </a:ext>
          </a:extLst>
        </xdr:cNvPr>
        <xdr:cNvSpPr/>
      </xdr:nvSpPr>
      <xdr:spPr>
        <a:xfrm rot="10800000">
          <a:off x="3314700" y="942975"/>
          <a:ext cx="342899" cy="51244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3476625</xdr:colOff>
      <xdr:row>23</xdr:row>
      <xdr:rowOff>28575</xdr:rowOff>
    </xdr:from>
    <xdr:to>
      <xdr:col>0</xdr:col>
      <xdr:colOff>3800475</xdr:colOff>
      <xdr:row>38</xdr:row>
      <xdr:rowOff>161925</xdr:rowOff>
    </xdr:to>
    <xdr:sp macro="" textlink="">
      <xdr:nvSpPr>
        <xdr:cNvPr id="3" name="Seta: Curva para a Direita 2">
          <a:extLst>
            <a:ext uri="{FF2B5EF4-FFF2-40B4-BE49-F238E27FC236}">
              <a16:creationId xmlns:a16="http://schemas.microsoft.com/office/drawing/2014/main" id="{9A2C1EB5-48A2-48B6-9633-B0B9D9618B2A}"/>
            </a:ext>
          </a:extLst>
        </xdr:cNvPr>
        <xdr:cNvSpPr/>
      </xdr:nvSpPr>
      <xdr:spPr>
        <a:xfrm rot="10800000">
          <a:off x="3476625" y="3829050"/>
          <a:ext cx="323850" cy="22288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142875</xdr:colOff>
      <xdr:row>37</xdr:row>
      <xdr:rowOff>104775</xdr:rowOff>
    </xdr:from>
    <xdr:to>
      <xdr:col>17</xdr:col>
      <xdr:colOff>371475</xdr:colOff>
      <xdr:row>38</xdr:row>
      <xdr:rowOff>104775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58C86969-9320-3DDC-746B-07DE7BA74A02}"/>
            </a:ext>
          </a:extLst>
        </xdr:cNvPr>
        <xdr:cNvSpPr/>
      </xdr:nvSpPr>
      <xdr:spPr>
        <a:xfrm>
          <a:off x="3990975" y="5248275"/>
          <a:ext cx="1192530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3314700</xdr:colOff>
      <xdr:row>4</xdr:row>
      <xdr:rowOff>180975</xdr:rowOff>
    </xdr:from>
    <xdr:to>
      <xdr:col>50</xdr:col>
      <xdr:colOff>3657599</xdr:colOff>
      <xdr:row>38</xdr:row>
      <xdr:rowOff>171450</xdr:rowOff>
    </xdr:to>
    <xdr:sp macro="" textlink="">
      <xdr:nvSpPr>
        <xdr:cNvPr id="7" name="Seta: Curva para a Direita 6">
          <a:extLst>
            <a:ext uri="{FF2B5EF4-FFF2-40B4-BE49-F238E27FC236}">
              <a16:creationId xmlns:a16="http://schemas.microsoft.com/office/drawing/2014/main" id="{9C6640C2-26F0-4BE5-9EA3-51A70EFC6AA2}"/>
            </a:ext>
          </a:extLst>
        </xdr:cNvPr>
        <xdr:cNvSpPr/>
      </xdr:nvSpPr>
      <xdr:spPr>
        <a:xfrm rot="10800000">
          <a:off x="3314700" y="942975"/>
          <a:ext cx="342899" cy="53149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3476625</xdr:colOff>
      <xdr:row>23</xdr:row>
      <xdr:rowOff>28575</xdr:rowOff>
    </xdr:from>
    <xdr:to>
      <xdr:col>50</xdr:col>
      <xdr:colOff>3800475</xdr:colOff>
      <xdr:row>38</xdr:row>
      <xdr:rowOff>161925</xdr:rowOff>
    </xdr:to>
    <xdr:sp macro="" textlink="">
      <xdr:nvSpPr>
        <xdr:cNvPr id="8" name="Seta: Curva para a Direita 7">
          <a:extLst>
            <a:ext uri="{FF2B5EF4-FFF2-40B4-BE49-F238E27FC236}">
              <a16:creationId xmlns:a16="http://schemas.microsoft.com/office/drawing/2014/main" id="{19F709BD-B90C-4766-9A5E-1BE3FD6AD81D}"/>
            </a:ext>
          </a:extLst>
        </xdr:cNvPr>
        <xdr:cNvSpPr/>
      </xdr:nvSpPr>
      <xdr:spPr>
        <a:xfrm rot="10800000">
          <a:off x="3476625" y="4019550"/>
          <a:ext cx="323850" cy="22288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46</xdr:col>
      <xdr:colOff>304799</xdr:colOff>
      <xdr:row>39</xdr:row>
      <xdr:rowOff>47625</xdr:rowOff>
    </xdr:from>
    <xdr:to>
      <xdr:col>50</xdr:col>
      <xdr:colOff>4250435</xdr:colOff>
      <xdr:row>40</xdr:row>
      <xdr:rowOff>190499</xdr:rowOff>
    </xdr:to>
    <xdr:sp macro="" textlink="">
      <xdr:nvSpPr>
        <xdr:cNvPr id="6" name="Seta: Curva para a Esquerda 5">
          <a:extLst>
            <a:ext uri="{FF2B5EF4-FFF2-40B4-BE49-F238E27FC236}">
              <a16:creationId xmlns:a16="http://schemas.microsoft.com/office/drawing/2014/main" id="{542F59A3-CBA4-951F-7C21-81BA7435AC62}"/>
            </a:ext>
          </a:extLst>
        </xdr:cNvPr>
        <xdr:cNvSpPr/>
      </xdr:nvSpPr>
      <xdr:spPr>
        <a:xfrm rot="5400000">
          <a:off x="36515230" y="3619"/>
          <a:ext cx="333374" cy="6517386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142875</xdr:colOff>
      <xdr:row>80</xdr:row>
      <xdr:rowOff>104775</xdr:rowOff>
    </xdr:from>
    <xdr:to>
      <xdr:col>17</xdr:col>
      <xdr:colOff>371475</xdr:colOff>
      <xdr:row>81</xdr:row>
      <xdr:rowOff>104775</xdr:rowOff>
    </xdr:to>
    <xdr:sp macro="" textlink="">
      <xdr:nvSpPr>
        <xdr:cNvPr id="21" name="Seta: para a Direita 20">
          <a:extLst>
            <a:ext uri="{FF2B5EF4-FFF2-40B4-BE49-F238E27FC236}">
              <a16:creationId xmlns:a16="http://schemas.microsoft.com/office/drawing/2014/main" id="{EC3B0199-3E45-4D24-80D2-1597BEC4DA1E}"/>
            </a:ext>
          </a:extLst>
        </xdr:cNvPr>
        <xdr:cNvSpPr/>
      </xdr:nvSpPr>
      <xdr:spPr>
        <a:xfrm>
          <a:off x="3990975" y="7439025"/>
          <a:ext cx="1072515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3314700</xdr:colOff>
      <xdr:row>47</xdr:row>
      <xdr:rowOff>180975</xdr:rowOff>
    </xdr:from>
    <xdr:to>
      <xdr:col>50</xdr:col>
      <xdr:colOff>3657599</xdr:colOff>
      <xdr:row>81</xdr:row>
      <xdr:rowOff>171450</xdr:rowOff>
    </xdr:to>
    <xdr:sp macro="" textlink="">
      <xdr:nvSpPr>
        <xdr:cNvPr id="22" name="Seta: Curva para a Direita 21">
          <a:extLst>
            <a:ext uri="{FF2B5EF4-FFF2-40B4-BE49-F238E27FC236}">
              <a16:creationId xmlns:a16="http://schemas.microsoft.com/office/drawing/2014/main" id="{90DAA382-6A3A-4E6D-A6DE-80FE7A0DC177}"/>
            </a:ext>
          </a:extLst>
        </xdr:cNvPr>
        <xdr:cNvSpPr/>
      </xdr:nvSpPr>
      <xdr:spPr>
        <a:xfrm rot="10800000">
          <a:off x="31175325" y="942975"/>
          <a:ext cx="342899" cy="6753225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3476625</xdr:colOff>
      <xdr:row>66</xdr:row>
      <xdr:rowOff>28575</xdr:rowOff>
    </xdr:from>
    <xdr:to>
      <xdr:col>50</xdr:col>
      <xdr:colOff>3800475</xdr:colOff>
      <xdr:row>81</xdr:row>
      <xdr:rowOff>161925</xdr:rowOff>
    </xdr:to>
    <xdr:sp macro="" textlink="">
      <xdr:nvSpPr>
        <xdr:cNvPr id="23" name="Seta: Curva para a Direita 22">
          <a:extLst>
            <a:ext uri="{FF2B5EF4-FFF2-40B4-BE49-F238E27FC236}">
              <a16:creationId xmlns:a16="http://schemas.microsoft.com/office/drawing/2014/main" id="{86342345-68FE-401A-90BD-4CDB73732467}"/>
            </a:ext>
          </a:extLst>
        </xdr:cNvPr>
        <xdr:cNvSpPr/>
      </xdr:nvSpPr>
      <xdr:spPr>
        <a:xfrm rot="10800000">
          <a:off x="31337250" y="4695825"/>
          <a:ext cx="323850" cy="29908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142875</xdr:colOff>
      <xdr:row>80</xdr:row>
      <xdr:rowOff>104775</xdr:rowOff>
    </xdr:from>
    <xdr:to>
      <xdr:col>17</xdr:col>
      <xdr:colOff>371475</xdr:colOff>
      <xdr:row>81</xdr:row>
      <xdr:rowOff>104775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AA530D3D-1115-4CA5-BC30-14DDDD9D768A}"/>
            </a:ext>
          </a:extLst>
        </xdr:cNvPr>
        <xdr:cNvSpPr/>
      </xdr:nvSpPr>
      <xdr:spPr>
        <a:xfrm>
          <a:off x="3990975" y="7439025"/>
          <a:ext cx="1072515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3314700</xdr:colOff>
      <xdr:row>47</xdr:row>
      <xdr:rowOff>180975</xdr:rowOff>
    </xdr:from>
    <xdr:to>
      <xdr:col>50</xdr:col>
      <xdr:colOff>3657599</xdr:colOff>
      <xdr:row>81</xdr:row>
      <xdr:rowOff>171450</xdr:rowOff>
    </xdr:to>
    <xdr:sp macro="" textlink="">
      <xdr:nvSpPr>
        <xdr:cNvPr id="9" name="Seta: Curva para a Direita 8">
          <a:extLst>
            <a:ext uri="{FF2B5EF4-FFF2-40B4-BE49-F238E27FC236}">
              <a16:creationId xmlns:a16="http://schemas.microsoft.com/office/drawing/2014/main" id="{9C921EFA-F4A4-4A2C-8819-FEDC56BA2101}"/>
            </a:ext>
          </a:extLst>
        </xdr:cNvPr>
        <xdr:cNvSpPr/>
      </xdr:nvSpPr>
      <xdr:spPr>
        <a:xfrm rot="10800000">
          <a:off x="36337875" y="942975"/>
          <a:ext cx="342899" cy="6753225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3476625</xdr:colOff>
      <xdr:row>66</xdr:row>
      <xdr:rowOff>28575</xdr:rowOff>
    </xdr:from>
    <xdr:to>
      <xdr:col>50</xdr:col>
      <xdr:colOff>3800475</xdr:colOff>
      <xdr:row>81</xdr:row>
      <xdr:rowOff>161925</xdr:rowOff>
    </xdr:to>
    <xdr:sp macro="" textlink="">
      <xdr:nvSpPr>
        <xdr:cNvPr id="10" name="Seta: Curva para a Direita 9">
          <a:extLst>
            <a:ext uri="{FF2B5EF4-FFF2-40B4-BE49-F238E27FC236}">
              <a16:creationId xmlns:a16="http://schemas.microsoft.com/office/drawing/2014/main" id="{AC00CEE3-0218-4F17-8A01-28024974870A}"/>
            </a:ext>
          </a:extLst>
        </xdr:cNvPr>
        <xdr:cNvSpPr/>
      </xdr:nvSpPr>
      <xdr:spPr>
        <a:xfrm rot="10800000">
          <a:off x="36499800" y="4695825"/>
          <a:ext cx="323850" cy="29908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42</xdr:col>
      <xdr:colOff>171450</xdr:colOff>
      <xdr:row>81</xdr:row>
      <xdr:rowOff>180974</xdr:rowOff>
    </xdr:from>
    <xdr:to>
      <xdr:col>50</xdr:col>
      <xdr:colOff>4250436</xdr:colOff>
      <xdr:row>83</xdr:row>
      <xdr:rowOff>190499</xdr:rowOff>
    </xdr:to>
    <xdr:sp macro="" textlink="">
      <xdr:nvSpPr>
        <xdr:cNvPr id="11" name="Seta: Curva para a Esquerda 10">
          <a:extLst>
            <a:ext uri="{FF2B5EF4-FFF2-40B4-BE49-F238E27FC236}">
              <a16:creationId xmlns:a16="http://schemas.microsoft.com/office/drawing/2014/main" id="{F60B486D-4D33-462C-B01C-5C021E6F5967}"/>
            </a:ext>
          </a:extLst>
        </xdr:cNvPr>
        <xdr:cNvSpPr/>
      </xdr:nvSpPr>
      <xdr:spPr>
        <a:xfrm rot="5400000">
          <a:off x="33752980" y="4575619"/>
          <a:ext cx="390525" cy="6650736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142875</xdr:colOff>
      <xdr:row>80</xdr:row>
      <xdr:rowOff>104775</xdr:rowOff>
    </xdr:from>
    <xdr:to>
      <xdr:col>17</xdr:col>
      <xdr:colOff>371475</xdr:colOff>
      <xdr:row>81</xdr:row>
      <xdr:rowOff>104775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91402A32-A080-4AA7-9067-77B32D3E6D47}"/>
            </a:ext>
          </a:extLst>
        </xdr:cNvPr>
        <xdr:cNvSpPr/>
      </xdr:nvSpPr>
      <xdr:spPr>
        <a:xfrm>
          <a:off x="3990975" y="7439025"/>
          <a:ext cx="1072515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3314700</xdr:colOff>
      <xdr:row>47</xdr:row>
      <xdr:rowOff>180975</xdr:rowOff>
    </xdr:from>
    <xdr:to>
      <xdr:col>50</xdr:col>
      <xdr:colOff>3657599</xdr:colOff>
      <xdr:row>81</xdr:row>
      <xdr:rowOff>171450</xdr:rowOff>
    </xdr:to>
    <xdr:sp macro="" textlink="">
      <xdr:nvSpPr>
        <xdr:cNvPr id="13" name="Seta: Curva para a Direita 12">
          <a:extLst>
            <a:ext uri="{FF2B5EF4-FFF2-40B4-BE49-F238E27FC236}">
              <a16:creationId xmlns:a16="http://schemas.microsoft.com/office/drawing/2014/main" id="{1BBF0F61-9236-4AD3-A933-C907AD5FD7AE}"/>
            </a:ext>
          </a:extLst>
        </xdr:cNvPr>
        <xdr:cNvSpPr/>
      </xdr:nvSpPr>
      <xdr:spPr>
        <a:xfrm rot="10800000">
          <a:off x="36423600" y="942975"/>
          <a:ext cx="342899" cy="6753225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3476625</xdr:colOff>
      <xdr:row>66</xdr:row>
      <xdr:rowOff>28575</xdr:rowOff>
    </xdr:from>
    <xdr:to>
      <xdr:col>50</xdr:col>
      <xdr:colOff>3800475</xdr:colOff>
      <xdr:row>81</xdr:row>
      <xdr:rowOff>161925</xdr:rowOff>
    </xdr:to>
    <xdr:sp macro="" textlink="">
      <xdr:nvSpPr>
        <xdr:cNvPr id="14" name="Seta: Curva para a Direita 13">
          <a:extLst>
            <a:ext uri="{FF2B5EF4-FFF2-40B4-BE49-F238E27FC236}">
              <a16:creationId xmlns:a16="http://schemas.microsoft.com/office/drawing/2014/main" id="{5C8801DE-3BA8-4C4C-B3AC-81806DC85D87}"/>
            </a:ext>
          </a:extLst>
        </xdr:cNvPr>
        <xdr:cNvSpPr/>
      </xdr:nvSpPr>
      <xdr:spPr>
        <a:xfrm rot="10800000">
          <a:off x="36585525" y="4695825"/>
          <a:ext cx="323850" cy="29908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42</xdr:col>
      <xdr:colOff>171450</xdr:colOff>
      <xdr:row>81</xdr:row>
      <xdr:rowOff>180974</xdr:rowOff>
    </xdr:from>
    <xdr:to>
      <xdr:col>50</xdr:col>
      <xdr:colOff>4250436</xdr:colOff>
      <xdr:row>83</xdr:row>
      <xdr:rowOff>190499</xdr:rowOff>
    </xdr:to>
    <xdr:sp macro="" textlink="">
      <xdr:nvSpPr>
        <xdr:cNvPr id="15" name="Seta: Curva para a Esquerda 14">
          <a:extLst>
            <a:ext uri="{FF2B5EF4-FFF2-40B4-BE49-F238E27FC236}">
              <a16:creationId xmlns:a16="http://schemas.microsoft.com/office/drawing/2014/main" id="{A3765C2E-9A5F-42F6-A8E6-6F8ACF0BFB98}"/>
            </a:ext>
          </a:extLst>
        </xdr:cNvPr>
        <xdr:cNvSpPr/>
      </xdr:nvSpPr>
      <xdr:spPr>
        <a:xfrm rot="5400000">
          <a:off x="33838705" y="4575619"/>
          <a:ext cx="390525" cy="6650736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152</xdr:row>
      <xdr:rowOff>180974</xdr:rowOff>
    </xdr:from>
    <xdr:to>
      <xdr:col>5</xdr:col>
      <xdr:colOff>590550</xdr:colOff>
      <xdr:row>154</xdr:row>
      <xdr:rowOff>0</xdr:rowOff>
    </xdr:to>
    <xdr:sp macro="" textlink="">
      <xdr:nvSpPr>
        <xdr:cNvPr id="4" name="Seta: para a Esquerda 3">
          <a:extLst>
            <a:ext uri="{FF2B5EF4-FFF2-40B4-BE49-F238E27FC236}">
              <a16:creationId xmlns:a16="http://schemas.microsoft.com/office/drawing/2014/main" id="{FB3A9094-D7EC-4908-917C-40B71BAE1328}"/>
            </a:ext>
          </a:extLst>
        </xdr:cNvPr>
        <xdr:cNvSpPr/>
      </xdr:nvSpPr>
      <xdr:spPr>
        <a:xfrm>
          <a:off x="10687050" y="20288249"/>
          <a:ext cx="1219200" cy="219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11</xdr:col>
      <xdr:colOff>66684</xdr:colOff>
      <xdr:row>169</xdr:row>
      <xdr:rowOff>38100</xdr:rowOff>
    </xdr:from>
    <xdr:to>
      <xdr:col>12</xdr:col>
      <xdr:colOff>542935</xdr:colOff>
      <xdr:row>173</xdr:row>
      <xdr:rowOff>156882</xdr:rowOff>
    </xdr:to>
    <xdr:pic>
      <xdr:nvPicPr>
        <xdr:cNvPr id="2" name="Gráfico 1" descr="Seta para Baixo com preenchimento sólido">
          <a:extLst>
            <a:ext uri="{FF2B5EF4-FFF2-40B4-BE49-F238E27FC236}">
              <a16:creationId xmlns:a16="http://schemas.microsoft.com/office/drawing/2014/main" id="{CE9870F3-F493-4A2F-BF42-0D72D867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10094269" y="34149365"/>
          <a:ext cx="880782" cy="1085851"/>
        </a:xfrm>
        <a:prstGeom prst="rect">
          <a:avLst/>
        </a:prstGeom>
      </xdr:spPr>
    </xdr:pic>
    <xdr:clientData/>
  </xdr:twoCellAnchor>
  <xdr:twoCellAnchor>
    <xdr:from>
      <xdr:col>6</xdr:col>
      <xdr:colOff>104774</xdr:colOff>
      <xdr:row>90</xdr:row>
      <xdr:rowOff>66675</xdr:rowOff>
    </xdr:from>
    <xdr:to>
      <xdr:col>6</xdr:col>
      <xdr:colOff>561975</xdr:colOff>
      <xdr:row>105</xdr:row>
      <xdr:rowOff>9525</xdr:rowOff>
    </xdr:to>
    <xdr:sp macro="" textlink="">
      <xdr:nvSpPr>
        <xdr:cNvPr id="5" name="Seta: Curva para a Esquerda 4">
          <a:extLst>
            <a:ext uri="{FF2B5EF4-FFF2-40B4-BE49-F238E27FC236}">
              <a16:creationId xmlns:a16="http://schemas.microsoft.com/office/drawing/2014/main" id="{FA95AB3B-B680-CD81-222D-1DB06C6F4AF7}"/>
            </a:ext>
          </a:extLst>
        </xdr:cNvPr>
        <xdr:cNvSpPr/>
      </xdr:nvSpPr>
      <xdr:spPr>
        <a:xfrm>
          <a:off x="6191249" y="9620250"/>
          <a:ext cx="457201" cy="201930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502456</xdr:colOff>
      <xdr:row>153</xdr:row>
      <xdr:rowOff>144149</xdr:rowOff>
    </xdr:from>
    <xdr:to>
      <xdr:col>13</xdr:col>
      <xdr:colOff>377488</xdr:colOff>
      <xdr:row>168</xdr:row>
      <xdr:rowOff>78620</xdr:rowOff>
    </xdr:to>
    <xdr:sp macro="" textlink="">
      <xdr:nvSpPr>
        <xdr:cNvPr id="8" name="Seta: de Cima para Baixo 7">
          <a:extLst>
            <a:ext uri="{FF2B5EF4-FFF2-40B4-BE49-F238E27FC236}">
              <a16:creationId xmlns:a16="http://schemas.microsoft.com/office/drawing/2014/main" id="{2827EB5C-4CE0-4ACC-E9AD-298FBFE63B6C}"/>
            </a:ext>
          </a:extLst>
        </xdr:cNvPr>
        <xdr:cNvSpPr/>
      </xdr:nvSpPr>
      <xdr:spPr>
        <a:xfrm rot="1887449">
          <a:off x="11037106" y="24928199"/>
          <a:ext cx="484632" cy="3172971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104774</xdr:colOff>
      <xdr:row>90</xdr:row>
      <xdr:rowOff>66675</xdr:rowOff>
    </xdr:from>
    <xdr:to>
      <xdr:col>30</xdr:col>
      <xdr:colOff>561975</xdr:colOff>
      <xdr:row>105</xdr:row>
      <xdr:rowOff>9525</xdr:rowOff>
    </xdr:to>
    <xdr:sp macro="" textlink="">
      <xdr:nvSpPr>
        <xdr:cNvPr id="9" name="Seta: Curva para a Esquerda 8">
          <a:extLst>
            <a:ext uri="{FF2B5EF4-FFF2-40B4-BE49-F238E27FC236}">
              <a16:creationId xmlns:a16="http://schemas.microsoft.com/office/drawing/2014/main" id="{0A609E47-531B-4882-852A-E4859EA6C67A}"/>
            </a:ext>
          </a:extLst>
        </xdr:cNvPr>
        <xdr:cNvSpPr/>
      </xdr:nvSpPr>
      <xdr:spPr>
        <a:xfrm>
          <a:off x="6191249" y="13820775"/>
          <a:ext cx="457201" cy="24193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oneCellAnchor>
    <xdr:from>
      <xdr:col>35</xdr:col>
      <xdr:colOff>57159</xdr:colOff>
      <xdr:row>169</xdr:row>
      <xdr:rowOff>57150</xdr:rowOff>
    </xdr:from>
    <xdr:ext cx="1085851" cy="880782"/>
    <xdr:pic>
      <xdr:nvPicPr>
        <xdr:cNvPr id="12" name="Gráfico 11" descr="Seta para Baixo com preenchimento sólido">
          <a:extLst>
            <a:ext uri="{FF2B5EF4-FFF2-40B4-BE49-F238E27FC236}">
              <a16:creationId xmlns:a16="http://schemas.microsoft.com/office/drawing/2014/main" id="{C947A3A6-FFFE-4F2A-B38F-EAF563DD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28391794" y="34168415"/>
          <a:ext cx="880782" cy="1085851"/>
        </a:xfrm>
        <a:prstGeom prst="rect">
          <a:avLst/>
        </a:prstGeom>
      </xdr:spPr>
    </xdr:pic>
    <xdr:clientData/>
  </xdr:oneCellAnchor>
  <xdr:oneCellAnchor>
    <xdr:from>
      <xdr:col>6</xdr:col>
      <xdr:colOff>28579</xdr:colOff>
      <xdr:row>103</xdr:row>
      <xdr:rowOff>123826</xdr:rowOff>
    </xdr:from>
    <xdr:ext cx="638175" cy="419100"/>
    <xdr:pic>
      <xdr:nvPicPr>
        <xdr:cNvPr id="6" name="Gráfico 5" descr="Seta para Baixo com preenchimento sólido">
          <a:extLst>
            <a:ext uri="{FF2B5EF4-FFF2-40B4-BE49-F238E27FC236}">
              <a16:creationId xmlns:a16="http://schemas.microsoft.com/office/drawing/2014/main" id="{93F8C890-EEBD-416B-B05C-0184E4E65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6224592" y="19045238"/>
          <a:ext cx="419100" cy="638175"/>
        </a:xfrm>
        <a:prstGeom prst="rect">
          <a:avLst/>
        </a:prstGeom>
      </xdr:spPr>
    </xdr:pic>
    <xdr:clientData/>
  </xdr:oneCellAnchor>
  <xdr:oneCellAnchor>
    <xdr:from>
      <xdr:col>30</xdr:col>
      <xdr:colOff>28579</xdr:colOff>
      <xdr:row>103</xdr:row>
      <xdr:rowOff>123826</xdr:rowOff>
    </xdr:from>
    <xdr:ext cx="638175" cy="419100"/>
    <xdr:pic>
      <xdr:nvPicPr>
        <xdr:cNvPr id="7" name="Gráfico 6" descr="Seta para Baixo com preenchimento sólido">
          <a:extLst>
            <a:ext uri="{FF2B5EF4-FFF2-40B4-BE49-F238E27FC236}">
              <a16:creationId xmlns:a16="http://schemas.microsoft.com/office/drawing/2014/main" id="{DF1A8D76-C1F8-4F2F-8729-11D1EE387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24531642" y="19045238"/>
          <a:ext cx="419100" cy="6381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304799</xdr:colOff>
      <xdr:row>78</xdr:row>
      <xdr:rowOff>85725</xdr:rowOff>
    </xdr:from>
    <xdr:ext cx="3550553" cy="942975"/>
    <xdr:pic>
      <xdr:nvPicPr>
        <xdr:cNvPr id="2" name="Imagem 1">
          <a:extLst>
            <a:ext uri="{FF2B5EF4-FFF2-40B4-BE49-F238E27FC236}">
              <a16:creationId xmlns:a16="http://schemas.microsoft.com/office/drawing/2014/main" id="{069DBFF8-B7CD-43F8-864D-10B21DF5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6851630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75</xdr:row>
      <xdr:rowOff>133350</xdr:rowOff>
    </xdr:from>
    <xdr:to>
      <xdr:col>1</xdr:col>
      <xdr:colOff>66674</xdr:colOff>
      <xdr:row>77</xdr:row>
      <xdr:rowOff>57150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736777F3-0DBD-483B-8A2D-46C118EFC6EC}"/>
            </a:ext>
          </a:extLst>
        </xdr:cNvPr>
        <xdr:cNvSpPr/>
      </xdr:nvSpPr>
      <xdr:spPr bwMode="auto">
        <a:xfrm>
          <a:off x="76199" y="1679638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75</xdr:row>
      <xdr:rowOff>133350</xdr:rowOff>
    </xdr:from>
    <xdr:to>
      <xdr:col>6</xdr:col>
      <xdr:colOff>723899</xdr:colOff>
      <xdr:row>77</xdr:row>
      <xdr:rowOff>57150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7446A9E7-E973-4BE9-A552-9E51628C78FD}"/>
            </a:ext>
          </a:extLst>
        </xdr:cNvPr>
        <xdr:cNvSpPr/>
      </xdr:nvSpPr>
      <xdr:spPr bwMode="auto">
        <a:xfrm rot="10800000">
          <a:off x="4872037" y="1659255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33</xdr:row>
      <xdr:rowOff>95250</xdr:rowOff>
    </xdr:from>
    <xdr:ext cx="3550553" cy="942975"/>
    <xdr:pic>
      <xdr:nvPicPr>
        <xdr:cNvPr id="5" name="Imagem 4">
          <a:extLst>
            <a:ext uri="{FF2B5EF4-FFF2-40B4-BE49-F238E27FC236}">
              <a16:creationId xmlns:a16="http://schemas.microsoft.com/office/drawing/2014/main" id="{13E0810B-6687-4D59-B8B6-00B9F64BA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33</xdr:row>
      <xdr:rowOff>95250</xdr:rowOff>
    </xdr:from>
    <xdr:ext cx="3550553" cy="942975"/>
    <xdr:pic>
      <xdr:nvPicPr>
        <xdr:cNvPr id="6" name="Imagem 5">
          <a:extLst>
            <a:ext uri="{FF2B5EF4-FFF2-40B4-BE49-F238E27FC236}">
              <a16:creationId xmlns:a16="http://schemas.microsoft.com/office/drawing/2014/main" id="{AE521C3E-203E-4CE5-9B0B-A60F38A7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  <xdr:twoCellAnchor>
    <xdr:from>
      <xdr:col>4</xdr:col>
      <xdr:colOff>209550</xdr:colOff>
      <xdr:row>63</xdr:row>
      <xdr:rowOff>180974</xdr:rowOff>
    </xdr:from>
    <xdr:to>
      <xdr:col>5</xdr:col>
      <xdr:colOff>590550</xdr:colOff>
      <xdr:row>65</xdr:row>
      <xdr:rowOff>0</xdr:rowOff>
    </xdr:to>
    <xdr:sp macro="" textlink="">
      <xdr:nvSpPr>
        <xdr:cNvPr id="7" name="Seta: para a Esquerda 6">
          <a:extLst>
            <a:ext uri="{FF2B5EF4-FFF2-40B4-BE49-F238E27FC236}">
              <a16:creationId xmlns:a16="http://schemas.microsoft.com/office/drawing/2014/main" id="{FE3F3BD1-69A1-4CF9-B2B1-69A9F4B03E8C}"/>
            </a:ext>
          </a:extLst>
        </xdr:cNvPr>
        <xdr:cNvSpPr/>
      </xdr:nvSpPr>
      <xdr:spPr>
        <a:xfrm>
          <a:off x="4724400" y="30775274"/>
          <a:ext cx="1219200" cy="20002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304799</xdr:colOff>
      <xdr:row>78</xdr:row>
      <xdr:rowOff>85725</xdr:rowOff>
    </xdr:from>
    <xdr:ext cx="3550553" cy="942975"/>
    <xdr:pic>
      <xdr:nvPicPr>
        <xdr:cNvPr id="2" name="Imagem 1">
          <a:extLst>
            <a:ext uri="{FF2B5EF4-FFF2-40B4-BE49-F238E27FC236}">
              <a16:creationId xmlns:a16="http://schemas.microsoft.com/office/drawing/2014/main" id="{47A3D387-551A-448E-9F38-C1DEEA727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545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75</xdr:row>
      <xdr:rowOff>133350</xdr:rowOff>
    </xdr:from>
    <xdr:to>
      <xdr:col>1</xdr:col>
      <xdr:colOff>66674</xdr:colOff>
      <xdr:row>77</xdr:row>
      <xdr:rowOff>57150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396D3659-BF8A-4BA7-95EB-5B72CF0A3B23}"/>
            </a:ext>
          </a:extLst>
        </xdr:cNvPr>
        <xdr:cNvSpPr/>
      </xdr:nvSpPr>
      <xdr:spPr bwMode="auto">
        <a:xfrm>
          <a:off x="76199" y="16602075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75</xdr:row>
      <xdr:rowOff>133350</xdr:rowOff>
    </xdr:from>
    <xdr:to>
      <xdr:col>6</xdr:col>
      <xdr:colOff>723899</xdr:colOff>
      <xdr:row>77</xdr:row>
      <xdr:rowOff>57150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A813D324-44F5-47E9-A735-C3C41422AB55}"/>
            </a:ext>
          </a:extLst>
        </xdr:cNvPr>
        <xdr:cNvSpPr/>
      </xdr:nvSpPr>
      <xdr:spPr bwMode="auto">
        <a:xfrm rot="10800000">
          <a:off x="4872037" y="16602075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33</xdr:row>
      <xdr:rowOff>95250</xdr:rowOff>
    </xdr:from>
    <xdr:ext cx="3550553" cy="942975"/>
    <xdr:pic>
      <xdr:nvPicPr>
        <xdr:cNvPr id="5" name="Imagem 4">
          <a:extLst>
            <a:ext uri="{FF2B5EF4-FFF2-40B4-BE49-F238E27FC236}">
              <a16:creationId xmlns:a16="http://schemas.microsoft.com/office/drawing/2014/main" id="{FDB8AE93-6986-4E60-883A-B1BB42D66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33</xdr:row>
      <xdr:rowOff>95250</xdr:rowOff>
    </xdr:from>
    <xdr:ext cx="3550553" cy="942975"/>
    <xdr:pic>
      <xdr:nvPicPr>
        <xdr:cNvPr id="6" name="Imagem 5">
          <a:extLst>
            <a:ext uri="{FF2B5EF4-FFF2-40B4-BE49-F238E27FC236}">
              <a16:creationId xmlns:a16="http://schemas.microsoft.com/office/drawing/2014/main" id="{5C108536-E50B-47C4-8A3B-0DDF69F0F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H\Outr\Condom&#237;nio%20Ne&#225;polis\Planilhas%20mensais\Planilhas%20mensais%20202508%20em%20diante%20RASCUNHO%20EM%20USO%20-%20Copia.xlsx" TargetMode="External"/><Relationship Id="rId1" Type="http://schemas.openxmlformats.org/officeDocument/2006/relationships/externalLinkPath" Target="Planilhas%20mensais%20202508%20em%20diante%20RASCUNHO%20EM%20USO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ENTAÇÕES"/>
      <sheetName val="MEDIÇÕES E COPASA HISTÓRICO"/>
      <sheetName val="MEDIÇÕES E TABELAS"/>
      <sheetName val="LANÇTºS"/>
      <sheetName val="VRS. DEVIDOS E OUTROS"/>
      <sheetName val="DADOS DO PAGTº"/>
      <sheetName val="PLAN P COND"/>
      <sheetName val="COPIAR PLAN P COND P TODAS"/>
    </sheetNames>
    <sheetDataSet>
      <sheetData sheetId="0" refreshError="1"/>
      <sheetData sheetId="1" refreshError="1"/>
      <sheetData sheetId="2">
        <row r="146">
          <cell r="I146">
            <v>2518</v>
          </cell>
        </row>
      </sheetData>
      <sheetData sheetId="3">
        <row r="27">
          <cell r="R27">
            <v>45901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1E9B1-0F28-43A8-A8BF-E75066165473}" name="Tabela1" displayName="Tabela1" ref="A6:D38" totalsRowShown="0" headerRowDxfId="49" dataDxfId="47" headerRowBorderDxfId="48">
  <autoFilter ref="A6:D38" xr:uid="{BFF1E9B1-0F28-43A8-A8BF-E75066165473}"/>
  <tableColumns count="4">
    <tableColumn id="1" xr3:uid="{204264EB-702C-48D6-9019-86C2C0A5ACE8}" name="ITEM" dataDxfId="46"/>
    <tableColumn id="2" xr3:uid="{A3DA17A8-04CB-4C56-89C0-731A58F220D2}" name="SITUAÇÃO" dataDxfId="45"/>
    <tableColumn id="3" xr3:uid="{CDB63FE5-F0AC-4820-BDEC-F0C0A4EE9B76}" name="OBS. 1" dataDxfId="44"/>
    <tableColumn id="4" xr3:uid="{23B53C69-3372-43AF-B8B6-47FB07021A09}" name="OBS. 2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E78A-4C38-4DDF-8452-C6F11804B2D6}">
  <dimension ref="A1:G140"/>
  <sheetViews>
    <sheetView tabSelected="1" workbookViewId="0">
      <pane ySplit="6" topLeftCell="A7" activePane="bottomLeft" state="frozen"/>
      <selection pane="bottomLeft" activeCell="C8" sqref="C8"/>
    </sheetView>
  </sheetViews>
  <sheetFormatPr defaultRowHeight="15" x14ac:dyDescent="0.25"/>
  <cols>
    <col min="1" max="1" width="189.42578125" customWidth="1"/>
    <col min="2" max="2" width="14.85546875" customWidth="1"/>
    <col min="3" max="4" width="17.7109375" bestFit="1" customWidth="1"/>
  </cols>
  <sheetData>
    <row r="1" spans="1:7" s="61" customFormat="1" x14ac:dyDescent="0.25">
      <c r="A1" s="379" t="s">
        <v>446</v>
      </c>
      <c r="B1" s="998" t="s">
        <v>447</v>
      </c>
      <c r="C1" s="396" t="s">
        <v>443</v>
      </c>
      <c r="D1" s="384" t="s">
        <v>488</v>
      </c>
    </row>
    <row r="2" spans="1:7" s="61" customFormat="1" x14ac:dyDescent="0.25">
      <c r="A2" s="387" t="s">
        <v>477</v>
      </c>
      <c r="B2" s="397" t="s">
        <v>456</v>
      </c>
      <c r="C2" s="396" t="s">
        <v>443</v>
      </c>
      <c r="D2" s="394" t="s">
        <v>486</v>
      </c>
    </row>
    <row r="3" spans="1:7" s="61" customFormat="1" x14ac:dyDescent="0.25">
      <c r="A3" s="386"/>
      <c r="B3" s="397" t="s">
        <v>517</v>
      </c>
      <c r="C3" s="396" t="s">
        <v>443</v>
      </c>
      <c r="D3" s="385" t="s">
        <v>490</v>
      </c>
    </row>
    <row r="4" spans="1:7" s="61" customFormat="1" x14ac:dyDescent="0.25">
      <c r="A4" s="379" t="s">
        <v>452</v>
      </c>
      <c r="B4" s="398" t="s">
        <v>437</v>
      </c>
      <c r="C4" s="396" t="s">
        <v>443</v>
      </c>
      <c r="D4" s="395" t="s">
        <v>491</v>
      </c>
    </row>
    <row r="5" spans="1:7" s="61" customFormat="1" ht="18.75" x14ac:dyDescent="0.25">
      <c r="A5" s="383">
        <v>46113</v>
      </c>
      <c r="B5" s="399" t="s">
        <v>438</v>
      </c>
      <c r="C5" s="396" t="s">
        <v>443</v>
      </c>
      <c r="D5" s="385" t="s">
        <v>489</v>
      </c>
      <c r="F5" s="61" t="s">
        <v>492</v>
      </c>
      <c r="G5" s="61" t="s">
        <v>493</v>
      </c>
    </row>
    <row r="6" spans="1:7" s="61" customFormat="1" x14ac:dyDescent="0.25">
      <c r="A6" s="400" t="s">
        <v>97</v>
      </c>
      <c r="B6" s="401" t="s">
        <v>436</v>
      </c>
      <c r="C6" s="401" t="s">
        <v>466</v>
      </c>
      <c r="D6" s="401" t="s">
        <v>464</v>
      </c>
      <c r="F6" s="1008" t="s">
        <v>519</v>
      </c>
      <c r="G6" s="411"/>
    </row>
    <row r="7" spans="1:7" s="289" customFormat="1" x14ac:dyDescent="0.25">
      <c r="A7" s="289" t="s">
        <v>458</v>
      </c>
      <c r="B7" s="998" t="s">
        <v>447</v>
      </c>
      <c r="C7" s="990" t="s">
        <v>518</v>
      </c>
      <c r="D7" s="402"/>
      <c r="F7" s="1008" t="s">
        <v>519</v>
      </c>
      <c r="G7" s="409"/>
    </row>
    <row r="8" spans="1:7" s="289" customFormat="1" ht="30" x14ac:dyDescent="0.25">
      <c r="A8" s="289" t="s">
        <v>522</v>
      </c>
      <c r="B8" s="397" t="s">
        <v>517</v>
      </c>
      <c r="C8" s="410" t="s">
        <v>566</v>
      </c>
      <c r="D8" s="402"/>
      <c r="F8" s="411"/>
      <c r="G8" s="412"/>
    </row>
    <row r="9" spans="1:7" s="289" customFormat="1" x14ac:dyDescent="0.25">
      <c r="A9" s="289" t="s">
        <v>406</v>
      </c>
      <c r="B9" s="399" t="s">
        <v>438</v>
      </c>
      <c r="C9" s="402"/>
      <c r="D9" s="402"/>
      <c r="F9" s="411"/>
      <c r="G9" s="411"/>
    </row>
    <row r="10" spans="1:7" s="289" customFormat="1" ht="30" x14ac:dyDescent="0.25">
      <c r="A10" s="289" t="s">
        <v>542</v>
      </c>
      <c r="B10" s="399" t="s">
        <v>438</v>
      </c>
      <c r="C10" s="990" t="s">
        <v>574</v>
      </c>
      <c r="D10" s="402"/>
      <c r="F10" s="412"/>
      <c r="G10" s="409"/>
    </row>
    <row r="11" spans="1:7" s="289" customFormat="1" ht="30" x14ac:dyDescent="0.25">
      <c r="A11" s="289" t="s">
        <v>543</v>
      </c>
      <c r="B11" s="399" t="s">
        <v>438</v>
      </c>
      <c r="C11" s="402"/>
      <c r="D11" s="402"/>
      <c r="F11" s="409"/>
      <c r="G11" s="409"/>
    </row>
    <row r="12" spans="1:7" s="289" customFormat="1" ht="30" x14ac:dyDescent="0.25">
      <c r="A12" s="289" t="s">
        <v>465</v>
      </c>
      <c r="B12" s="399" t="s">
        <v>438</v>
      </c>
      <c r="C12" s="402"/>
      <c r="D12" s="402"/>
      <c r="F12" s="409"/>
      <c r="G12" s="409"/>
    </row>
    <row r="13" spans="1:7" s="289" customFormat="1" ht="30" x14ac:dyDescent="0.25">
      <c r="A13" s="289" t="s">
        <v>521</v>
      </c>
      <c r="B13" s="399" t="s">
        <v>438</v>
      </c>
      <c r="C13" s="990" t="s">
        <v>558</v>
      </c>
      <c r="D13" s="402"/>
      <c r="F13" s="409"/>
      <c r="G13" s="409"/>
    </row>
    <row r="14" spans="1:7" s="289" customFormat="1" ht="30" x14ac:dyDescent="0.25">
      <c r="A14" s="289" t="s">
        <v>506</v>
      </c>
      <c r="B14" s="403" t="str">
        <f>IF('MEDIÇÕES E TABELAS'!G135,"CONFERIDO","PENDENTE")</f>
        <v>CONFERIDO</v>
      </c>
      <c r="C14" s="1006" t="s">
        <v>517</v>
      </c>
      <c r="D14" s="402"/>
      <c r="F14" s="409"/>
      <c r="G14" s="409"/>
    </row>
    <row r="15" spans="1:7" s="289" customFormat="1" x14ac:dyDescent="0.25">
      <c r="A15" s="289" t="s">
        <v>454</v>
      </c>
      <c r="B15" s="397" t="s">
        <v>517</v>
      </c>
      <c r="C15" s="397"/>
      <c r="D15" s="402"/>
      <c r="F15" s="409"/>
      <c r="G15" s="409"/>
    </row>
    <row r="16" spans="1:7" s="289" customFormat="1" x14ac:dyDescent="0.25">
      <c r="A16" s="289" t="s">
        <v>439</v>
      </c>
      <c r="B16" s="399" t="s">
        <v>438</v>
      </c>
      <c r="C16" s="402"/>
      <c r="D16" s="402"/>
      <c r="F16" s="409"/>
      <c r="G16" s="409"/>
    </row>
    <row r="17" spans="1:7" s="289" customFormat="1" x14ac:dyDescent="0.25">
      <c r="A17" s="289" t="s">
        <v>453</v>
      </c>
      <c r="B17" s="399" t="s">
        <v>438</v>
      </c>
      <c r="C17" s="402"/>
      <c r="D17" s="402"/>
      <c r="F17" s="409"/>
      <c r="G17" s="409"/>
    </row>
    <row r="18" spans="1:7" s="289" customFormat="1" ht="18" customHeight="1" x14ac:dyDescent="0.25">
      <c r="A18" s="289" t="s">
        <v>507</v>
      </c>
      <c r="B18" s="403" t="str">
        <f>IF(LANÇTºS!AQ37,"CONFERIDO","PENDENTE")</f>
        <v>CONFERIDO</v>
      </c>
      <c r="C18" s="1006" t="s">
        <v>517</v>
      </c>
      <c r="D18" s="402"/>
      <c r="F18" s="409"/>
      <c r="G18" s="409"/>
    </row>
    <row r="19" spans="1:7" s="289" customFormat="1" x14ac:dyDescent="0.25">
      <c r="A19" s="289" t="s">
        <v>457</v>
      </c>
      <c r="B19" s="399" t="s">
        <v>438</v>
      </c>
      <c r="C19" s="402"/>
      <c r="D19" s="402"/>
      <c r="F19" s="409"/>
      <c r="G19" s="409"/>
    </row>
    <row r="20" spans="1:7" s="289" customFormat="1" ht="45" x14ac:dyDescent="0.25">
      <c r="A20" s="289" t="s">
        <v>540</v>
      </c>
      <c r="B20" s="397" t="s">
        <v>517</v>
      </c>
      <c r="C20" s="402"/>
      <c r="D20" s="402"/>
      <c r="F20" s="409"/>
      <c r="G20" s="409"/>
    </row>
    <row r="21" spans="1:7" s="289" customFormat="1" x14ac:dyDescent="0.25">
      <c r="A21" s="289" t="s">
        <v>508</v>
      </c>
      <c r="B21" s="402"/>
      <c r="C21" s="402"/>
      <c r="D21" s="402"/>
      <c r="F21" s="409"/>
      <c r="G21" s="409"/>
    </row>
    <row r="22" spans="1:7" s="289" customFormat="1" x14ac:dyDescent="0.25">
      <c r="A22" s="289" t="s">
        <v>442</v>
      </c>
      <c r="B22" s="403" t="str">
        <f>IF('VRS. DEVIDOS E OUTROS'!R87,"CONFERIDO","PENDENTE")</f>
        <v>CONFERIDO</v>
      </c>
      <c r="C22" s="990" t="s">
        <v>563</v>
      </c>
      <c r="D22" s="402"/>
      <c r="F22" s="409"/>
      <c r="G22" s="409"/>
    </row>
    <row r="23" spans="1:7" s="289" customFormat="1" ht="45" x14ac:dyDescent="0.25">
      <c r="A23" s="289" t="s">
        <v>549</v>
      </c>
      <c r="B23" s="403" t="str">
        <f>IF('VRS. DEVIDOS E OUTROS'!R88,"CONFERIDO","PENDENTE")</f>
        <v>CONFERIDO</v>
      </c>
      <c r="C23" s="1006" t="s">
        <v>517</v>
      </c>
      <c r="D23" s="402"/>
      <c r="F23" s="409"/>
      <c r="G23" s="409"/>
    </row>
    <row r="24" spans="1:7" s="289" customFormat="1" ht="45" x14ac:dyDescent="0.25">
      <c r="A24" s="289" t="s">
        <v>559</v>
      </c>
      <c r="B24" s="403" t="str">
        <f>IF('VRS. DEVIDOS E OUTROS'!F103,"CONFERIDO","PENDENTE")</f>
        <v>CONFERIDO</v>
      </c>
      <c r="C24" s="1006" t="s">
        <v>517</v>
      </c>
      <c r="D24" s="402"/>
      <c r="F24" s="409"/>
      <c r="G24" s="409"/>
    </row>
    <row r="25" spans="1:7" s="289" customFormat="1" ht="30" x14ac:dyDescent="0.25">
      <c r="A25" s="289" t="s">
        <v>560</v>
      </c>
      <c r="B25" s="403" t="str">
        <f>IF('VRS. DEVIDOS E OUTROS'!H109,"CONFERIDO","PENDENTE")</f>
        <v>CONFERIDO</v>
      </c>
      <c r="C25" s="1006" t="s">
        <v>517</v>
      </c>
      <c r="D25" s="402"/>
      <c r="F25" s="409"/>
      <c r="G25" s="409"/>
    </row>
    <row r="26" spans="1:7" s="289" customFormat="1" ht="30" x14ac:dyDescent="0.25">
      <c r="A26" s="289" t="s">
        <v>561</v>
      </c>
      <c r="B26" s="402"/>
      <c r="C26" s="402"/>
      <c r="D26" s="402"/>
      <c r="F26" s="409"/>
      <c r="G26" s="409"/>
    </row>
    <row r="27" spans="1:7" s="289" customFormat="1" ht="30" x14ac:dyDescent="0.25">
      <c r="A27" s="289" t="s">
        <v>562</v>
      </c>
      <c r="B27" s="402"/>
      <c r="C27" s="402"/>
      <c r="D27" s="402"/>
      <c r="F27" s="409"/>
      <c r="G27" s="409"/>
    </row>
    <row r="28" spans="1:7" s="289" customFormat="1" ht="60" x14ac:dyDescent="0.25">
      <c r="A28" s="289" t="s">
        <v>541</v>
      </c>
      <c r="B28" s="403" t="str">
        <f>IF('VRS. DEVIDOS E OUTROS'!U172,"CONFERIDO","PENDENTE")</f>
        <v>CONFERIDO</v>
      </c>
      <c r="C28" s="1006" t="s">
        <v>517</v>
      </c>
      <c r="D28" s="402"/>
      <c r="F28" s="409"/>
      <c r="G28" s="409"/>
    </row>
    <row r="29" spans="1:7" s="289" customFormat="1" ht="30" x14ac:dyDescent="0.25">
      <c r="A29" s="289" t="s">
        <v>565</v>
      </c>
      <c r="B29" s="402"/>
      <c r="C29" s="402"/>
      <c r="D29" s="402"/>
      <c r="F29" s="409"/>
      <c r="G29" s="409"/>
    </row>
    <row r="30" spans="1:7" s="289" customFormat="1" x14ac:dyDescent="0.25">
      <c r="A30" s="289" t="s">
        <v>449</v>
      </c>
      <c r="B30" s="402"/>
      <c r="C30" s="402"/>
      <c r="D30" s="402"/>
      <c r="F30" s="409"/>
      <c r="G30" s="409"/>
    </row>
    <row r="31" spans="1:7" s="289" customFormat="1" x14ac:dyDescent="0.25">
      <c r="A31" s="289" t="s">
        <v>440</v>
      </c>
      <c r="B31" s="402"/>
      <c r="C31" s="402"/>
      <c r="D31" s="402"/>
      <c r="F31" s="409"/>
      <c r="G31" s="409"/>
    </row>
    <row r="32" spans="1:7" s="289" customFormat="1" x14ac:dyDescent="0.25">
      <c r="A32" s="289" t="s">
        <v>441</v>
      </c>
      <c r="B32" s="402"/>
      <c r="C32" s="402"/>
      <c r="D32" s="402"/>
      <c r="F32" s="409"/>
      <c r="G32" s="409"/>
    </row>
    <row r="33" spans="1:7" s="289" customFormat="1" ht="30" x14ac:dyDescent="0.25">
      <c r="A33" s="289" t="s">
        <v>455</v>
      </c>
      <c r="B33" s="402"/>
      <c r="C33" s="402"/>
      <c r="D33" s="402"/>
      <c r="F33" s="409"/>
      <c r="G33" s="409"/>
    </row>
    <row r="34" spans="1:7" x14ac:dyDescent="0.25">
      <c r="A34" s="289" t="s">
        <v>474</v>
      </c>
      <c r="B34" s="397" t="s">
        <v>456</v>
      </c>
      <c r="C34" s="402"/>
      <c r="D34" s="402"/>
      <c r="F34" s="161"/>
      <c r="G34" s="161"/>
    </row>
    <row r="35" spans="1:7" ht="30" x14ac:dyDescent="0.25">
      <c r="A35" s="289" t="s">
        <v>475</v>
      </c>
      <c r="B35" s="397" t="s">
        <v>456</v>
      </c>
      <c r="C35" s="402"/>
      <c r="D35" s="402"/>
      <c r="F35" s="161"/>
      <c r="G35" s="161"/>
    </row>
    <row r="36" spans="1:7" ht="30" x14ac:dyDescent="0.25">
      <c r="A36" s="289" t="s">
        <v>476</v>
      </c>
      <c r="B36" s="397" t="s">
        <v>456</v>
      </c>
      <c r="C36" s="402"/>
      <c r="D36" s="402"/>
      <c r="F36" s="161"/>
      <c r="G36" s="161"/>
    </row>
    <row r="37" spans="1:7" ht="45" x14ac:dyDescent="0.25">
      <c r="A37" s="289" t="s">
        <v>473</v>
      </c>
      <c r="B37" s="397" t="s">
        <v>456</v>
      </c>
      <c r="C37" s="402"/>
      <c r="D37" s="402"/>
      <c r="F37" s="161"/>
      <c r="G37" s="161"/>
    </row>
    <row r="38" spans="1:7" s="289" customFormat="1" x14ac:dyDescent="0.25">
      <c r="A38" s="289" t="s">
        <v>471</v>
      </c>
      <c r="B38" s="397" t="s">
        <v>517</v>
      </c>
      <c r="C38" s="402"/>
      <c r="D38" s="402"/>
      <c r="F38" s="409"/>
      <c r="G38" s="409"/>
    </row>
    <row r="41" spans="1:7" s="61" customFormat="1" x14ac:dyDescent="0.25">
      <c r="A41" s="377" t="s">
        <v>462</v>
      </c>
    </row>
    <row r="42" spans="1:7" s="61" customFormat="1" x14ac:dyDescent="0.25">
      <c r="A42" s="286"/>
    </row>
    <row r="43" spans="1:7" s="61" customFormat="1" x14ac:dyDescent="0.25">
      <c r="A43" s="287" t="s">
        <v>371</v>
      </c>
    </row>
    <row r="44" spans="1:7" s="61" customFormat="1" x14ac:dyDescent="0.25">
      <c r="A44" s="286"/>
    </row>
    <row r="45" spans="1:7" s="61" customFormat="1" x14ac:dyDescent="0.25">
      <c r="A45" s="285" t="s">
        <v>274</v>
      </c>
    </row>
    <row r="46" spans="1:7" s="61" customFormat="1" x14ac:dyDescent="0.25">
      <c r="A46" s="286" t="s">
        <v>300</v>
      </c>
    </row>
    <row r="47" spans="1:7" s="61" customFormat="1" x14ac:dyDescent="0.25">
      <c r="A47" s="286" t="s">
        <v>372</v>
      </c>
    </row>
    <row r="48" spans="1:7" s="61" customFormat="1" x14ac:dyDescent="0.25">
      <c r="A48" s="286" t="s">
        <v>301</v>
      </c>
    </row>
    <row r="49" spans="1:1" s="61" customFormat="1" ht="38.25" x14ac:dyDescent="0.25">
      <c r="A49" s="286" t="s">
        <v>421</v>
      </c>
    </row>
    <row r="50" spans="1:1" s="61" customFormat="1" x14ac:dyDescent="0.25">
      <c r="A50" s="286" t="s">
        <v>368</v>
      </c>
    </row>
    <row r="51" spans="1:1" s="61" customFormat="1" x14ac:dyDescent="0.25">
      <c r="A51" s="286" t="s">
        <v>419</v>
      </c>
    </row>
    <row r="52" spans="1:1" s="61" customFormat="1" ht="25.5" x14ac:dyDescent="0.25">
      <c r="A52" s="286" t="s">
        <v>420</v>
      </c>
    </row>
    <row r="53" spans="1:1" s="61" customFormat="1" ht="25.5" x14ac:dyDescent="0.25">
      <c r="A53" s="286" t="s">
        <v>373</v>
      </c>
    </row>
    <row r="54" spans="1:1" s="61" customFormat="1" ht="25.5" x14ac:dyDescent="0.25">
      <c r="A54" s="286" t="s">
        <v>374</v>
      </c>
    </row>
    <row r="55" spans="1:1" s="61" customFormat="1" ht="25.5" x14ac:dyDescent="0.25">
      <c r="A55" s="286" t="s">
        <v>375</v>
      </c>
    </row>
    <row r="56" spans="1:1" s="61" customFormat="1" x14ac:dyDescent="0.25">
      <c r="A56" s="286"/>
    </row>
    <row r="57" spans="1:1" s="61" customFormat="1" x14ac:dyDescent="0.25">
      <c r="A57" s="285" t="s">
        <v>285</v>
      </c>
    </row>
    <row r="58" spans="1:1" s="61" customFormat="1" x14ac:dyDescent="0.25">
      <c r="A58" s="286" t="s">
        <v>303</v>
      </c>
    </row>
    <row r="59" spans="1:1" s="61" customFormat="1" x14ac:dyDescent="0.25">
      <c r="A59" s="288" t="s">
        <v>304</v>
      </c>
    </row>
    <row r="60" spans="1:1" s="61" customFormat="1" x14ac:dyDescent="0.25">
      <c r="A60" s="286" t="s">
        <v>305</v>
      </c>
    </row>
    <row r="61" spans="1:1" s="61" customFormat="1" ht="25.5" x14ac:dyDescent="0.25">
      <c r="A61" s="286" t="s">
        <v>376</v>
      </c>
    </row>
    <row r="62" spans="1:1" s="61" customFormat="1" ht="25.5" x14ac:dyDescent="0.25">
      <c r="A62" s="286" t="s">
        <v>377</v>
      </c>
    </row>
    <row r="63" spans="1:1" s="61" customFormat="1" x14ac:dyDescent="0.25">
      <c r="A63" s="286"/>
    </row>
    <row r="64" spans="1:1" s="61" customFormat="1" x14ac:dyDescent="0.25">
      <c r="A64" s="285" t="s">
        <v>287</v>
      </c>
    </row>
    <row r="65" spans="1:1" s="61" customFormat="1" ht="25.5" x14ac:dyDescent="0.25">
      <c r="A65" s="286" t="s">
        <v>418</v>
      </c>
    </row>
    <row r="66" spans="1:1" s="61" customFormat="1" ht="25.5" x14ac:dyDescent="0.25">
      <c r="A66" s="286" t="s">
        <v>389</v>
      </c>
    </row>
    <row r="67" spans="1:1" s="61" customFormat="1" ht="25.5" x14ac:dyDescent="0.25">
      <c r="A67" s="286" t="s">
        <v>378</v>
      </c>
    </row>
    <row r="68" spans="1:1" s="61" customFormat="1" ht="25.5" x14ac:dyDescent="0.25">
      <c r="A68" s="286" t="s">
        <v>379</v>
      </c>
    </row>
    <row r="69" spans="1:1" s="61" customFormat="1" ht="38.25" x14ac:dyDescent="0.25">
      <c r="A69" s="286" t="s">
        <v>380</v>
      </c>
    </row>
    <row r="70" spans="1:1" s="61" customFormat="1" x14ac:dyDescent="0.25">
      <c r="A70" s="286" t="s">
        <v>302</v>
      </c>
    </row>
    <row r="71" spans="1:1" s="61" customFormat="1" x14ac:dyDescent="0.25">
      <c r="A71" s="286" t="s">
        <v>381</v>
      </c>
    </row>
    <row r="72" spans="1:1" s="61" customFormat="1" x14ac:dyDescent="0.25">
      <c r="A72" s="286" t="s">
        <v>306</v>
      </c>
    </row>
    <row r="73" spans="1:1" s="61" customFormat="1" ht="25.5" x14ac:dyDescent="0.25">
      <c r="A73" s="286" t="s">
        <v>382</v>
      </c>
    </row>
    <row r="74" spans="1:1" s="61" customFormat="1" x14ac:dyDescent="0.25">
      <c r="A74" s="286"/>
    </row>
    <row r="75" spans="1:1" s="61" customFormat="1" x14ac:dyDescent="0.25">
      <c r="A75" s="285" t="s">
        <v>278</v>
      </c>
    </row>
    <row r="76" spans="1:1" s="61" customFormat="1" x14ac:dyDescent="0.25">
      <c r="A76" s="286" t="s">
        <v>383</v>
      </c>
    </row>
    <row r="77" spans="1:1" s="61" customFormat="1" x14ac:dyDescent="0.25">
      <c r="A77" s="286" t="s">
        <v>384</v>
      </c>
    </row>
    <row r="78" spans="1:1" s="61" customFormat="1" ht="25.5" x14ac:dyDescent="0.25">
      <c r="A78" s="286" t="s">
        <v>385</v>
      </c>
    </row>
    <row r="79" spans="1:1" s="61" customFormat="1" ht="38.25" x14ac:dyDescent="0.25">
      <c r="A79" s="286" t="s">
        <v>386</v>
      </c>
    </row>
    <row r="80" spans="1:1" s="61" customFormat="1" ht="38.25" x14ac:dyDescent="0.25">
      <c r="A80" s="286" t="s">
        <v>387</v>
      </c>
    </row>
    <row r="81" spans="1:1" s="61" customFormat="1" x14ac:dyDescent="0.25">
      <c r="A81" s="288" t="s">
        <v>307</v>
      </c>
    </row>
    <row r="82" spans="1:1" s="61" customFormat="1" x14ac:dyDescent="0.25">
      <c r="A82" s="286"/>
    </row>
    <row r="83" spans="1:1" s="61" customFormat="1" x14ac:dyDescent="0.25">
      <c r="A83" s="285" t="s">
        <v>290</v>
      </c>
    </row>
    <row r="84" spans="1:1" s="61" customFormat="1" x14ac:dyDescent="0.25">
      <c r="A84" s="286" t="s">
        <v>388</v>
      </c>
    </row>
    <row r="85" spans="1:1" s="61" customFormat="1" x14ac:dyDescent="0.25"/>
    <row r="86" spans="1:1" s="378" customFormat="1" ht="15" customHeight="1" x14ac:dyDescent="0.25">
      <c r="A86" s="381" t="s">
        <v>460</v>
      </c>
    </row>
    <row r="87" spans="1:1" s="214" customFormat="1" ht="12.75" x14ac:dyDescent="0.2">
      <c r="A87" s="382" t="s">
        <v>467</v>
      </c>
    </row>
    <row r="88" spans="1:1" s="214" customFormat="1" ht="25.5" x14ac:dyDescent="0.2">
      <c r="A88" s="382" t="s">
        <v>468</v>
      </c>
    </row>
    <row r="89" spans="1:1" s="214" customFormat="1" ht="15" customHeight="1" x14ac:dyDescent="0.2">
      <c r="A89" s="214" t="s">
        <v>469</v>
      </c>
    </row>
    <row r="90" spans="1:1" s="380" customFormat="1" ht="15" customHeight="1" x14ac:dyDescent="0.2">
      <c r="A90" s="380" t="s">
        <v>461</v>
      </c>
    </row>
    <row r="91" spans="1:1" s="214" customFormat="1" ht="15" customHeight="1" x14ac:dyDescent="0.2">
      <c r="A91" s="214" t="s">
        <v>463</v>
      </c>
    </row>
    <row r="92" spans="1:1" s="61" customFormat="1" x14ac:dyDescent="0.25">
      <c r="A92" s="289"/>
    </row>
    <row r="93" spans="1:1" s="61" customFormat="1" ht="38.25" x14ac:dyDescent="0.25">
      <c r="A93" s="286" t="s">
        <v>470</v>
      </c>
    </row>
    <row r="94" spans="1:1" s="214" customFormat="1" ht="15" customHeight="1" x14ac:dyDescent="0.2"/>
    <row r="95" spans="1:1" s="214" customFormat="1" ht="15" customHeight="1" x14ac:dyDescent="0.2"/>
    <row r="96" spans="1:1" s="214" customFormat="1" ht="15" customHeight="1" x14ac:dyDescent="0.2"/>
    <row r="97" s="214" customFormat="1" ht="15" customHeight="1" x14ac:dyDescent="0.2"/>
    <row r="98" s="214" customFormat="1" ht="15" customHeight="1" x14ac:dyDescent="0.2"/>
    <row r="99" s="214" customFormat="1" ht="15" customHeight="1" x14ac:dyDescent="0.2"/>
    <row r="100" s="214" customFormat="1" ht="15" customHeight="1" x14ac:dyDescent="0.2"/>
    <row r="101" s="214" customFormat="1" ht="15" customHeight="1" x14ac:dyDescent="0.2"/>
    <row r="102" s="214" customFormat="1" ht="15" customHeight="1" x14ac:dyDescent="0.2"/>
    <row r="103" s="214" customFormat="1" ht="15" customHeight="1" x14ac:dyDescent="0.2"/>
    <row r="104" s="214" customFormat="1" ht="15" customHeight="1" x14ac:dyDescent="0.2"/>
    <row r="105" s="214" customFormat="1" ht="15" customHeight="1" x14ac:dyDescent="0.2"/>
    <row r="121" spans="1:1" x14ac:dyDescent="0.25">
      <c r="A121" t="s">
        <v>403</v>
      </c>
    </row>
    <row r="122" spans="1:1" x14ac:dyDescent="0.25">
      <c r="A122" t="s">
        <v>274</v>
      </c>
    </row>
    <row r="123" spans="1:1" x14ac:dyDescent="0.25">
      <c r="A123" t="s">
        <v>404</v>
      </c>
    </row>
    <row r="124" spans="1:1" x14ac:dyDescent="0.25">
      <c r="A124" t="s">
        <v>405</v>
      </c>
    </row>
    <row r="125" spans="1:1" x14ac:dyDescent="0.25">
      <c r="A125" t="s">
        <v>406</v>
      </c>
    </row>
    <row r="126" spans="1:1" x14ac:dyDescent="0.25">
      <c r="A126" t="s">
        <v>280</v>
      </c>
    </row>
    <row r="127" spans="1:1" x14ac:dyDescent="0.25">
      <c r="A127" t="s">
        <v>281</v>
      </c>
    </row>
    <row r="128" spans="1:1" x14ac:dyDescent="0.25">
      <c r="A128" t="s">
        <v>407</v>
      </c>
    </row>
    <row r="129" spans="1:1" x14ac:dyDescent="0.25">
      <c r="A129" t="s">
        <v>408</v>
      </c>
    </row>
    <row r="130" spans="1:1" x14ac:dyDescent="0.25">
      <c r="A130" t="s">
        <v>409</v>
      </c>
    </row>
    <row r="131" spans="1:1" x14ac:dyDescent="0.25">
      <c r="A131" t="s">
        <v>410</v>
      </c>
    </row>
    <row r="132" spans="1:1" x14ac:dyDescent="0.25">
      <c r="A132" t="s">
        <v>411</v>
      </c>
    </row>
    <row r="133" spans="1:1" x14ac:dyDescent="0.25">
      <c r="A133" t="s">
        <v>412</v>
      </c>
    </row>
    <row r="134" spans="1:1" x14ac:dyDescent="0.25">
      <c r="A134" t="s">
        <v>285</v>
      </c>
    </row>
    <row r="135" spans="1:1" x14ac:dyDescent="0.25">
      <c r="A135" t="s">
        <v>413</v>
      </c>
    </row>
    <row r="136" spans="1:1" x14ac:dyDescent="0.25">
      <c r="A136" t="s">
        <v>414</v>
      </c>
    </row>
    <row r="137" spans="1:1" x14ac:dyDescent="0.25">
      <c r="A137" t="s">
        <v>415</v>
      </c>
    </row>
    <row r="138" spans="1:1" x14ac:dyDescent="0.25">
      <c r="A138" t="s">
        <v>416</v>
      </c>
    </row>
    <row r="139" spans="1:1" x14ac:dyDescent="0.25">
      <c r="A139" t="s">
        <v>287</v>
      </c>
    </row>
    <row r="140" spans="1:1" x14ac:dyDescent="0.25">
      <c r="A140" t="s">
        <v>417</v>
      </c>
    </row>
  </sheetData>
  <conditionalFormatting sqref="B14 B18 B22:B25 B28">
    <cfRule type="containsText" dxfId="42" priority="1" operator="containsText" text="CONFERIDO">
      <formula>NOT(ISERROR(SEARCH("CONFERIDO",B14)))</formula>
    </cfRule>
    <cfRule type="containsText" dxfId="41" priority="2" operator="containsText" text="CONFERIDO">
      <formula>NOT(ISERROR(SEARCH("CONFERIDO",B14)))</formula>
    </cfRule>
    <cfRule type="containsText" dxfId="40" priority="3" operator="containsText" text="PENDENTE">
      <formula>NOT(ISERROR(SEARCH("PENDENTE",B14)))</formula>
    </cfRule>
    <cfRule type="containsText" dxfId="39" priority="4" operator="containsText" text="CONFERIDO">
      <formula>NOT(ISERROR(SEARCH("CONFERIDO",B14)))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D058-A93C-44F2-BCE3-A32B9A10C13E}">
  <sheetPr>
    <tabColor rgb="FFC00000"/>
  </sheetPr>
  <dimension ref="A1:CB94"/>
  <sheetViews>
    <sheetView topLeftCell="AD24" zoomScaleNormal="100" workbookViewId="0">
      <selection activeCell="AJ48" sqref="AJ48"/>
    </sheetView>
  </sheetViews>
  <sheetFormatPr defaultRowHeight="15" x14ac:dyDescent="0.25"/>
  <cols>
    <col min="1" max="1" width="9.140625" style="90" customWidth="1"/>
    <col min="2" max="2" width="10.42578125" style="88" customWidth="1"/>
    <col min="3" max="3" width="7.85546875" style="90" bestFit="1" customWidth="1"/>
    <col min="4" max="4" width="10" style="90" customWidth="1"/>
    <col min="5" max="5" width="11.7109375" style="90" customWidth="1"/>
    <col min="6" max="6" width="12.42578125" style="90" customWidth="1"/>
    <col min="7" max="7" width="13.42578125" style="89" customWidth="1"/>
    <col min="8" max="8" width="10.7109375" style="88" customWidth="1"/>
    <col min="9" max="9" width="10.140625" style="88" customWidth="1"/>
    <col min="10" max="15" width="9.140625" style="88" customWidth="1"/>
    <col min="16" max="16" width="10.5703125" style="88" customWidth="1"/>
    <col min="17" max="17" width="12.85546875" style="88" customWidth="1"/>
    <col min="18" max="18" width="9.140625" style="88" customWidth="1"/>
    <col min="19" max="19" width="5.140625" style="88" customWidth="1"/>
    <col min="20" max="20" width="9.28515625" style="89" bestFit="1" customWidth="1"/>
    <col min="21" max="21" width="12" style="89" customWidth="1"/>
    <col min="22" max="22" width="8.7109375" style="88" bestFit="1" customWidth="1"/>
    <col min="23" max="25" width="9.140625" style="88" customWidth="1"/>
    <col min="26" max="33" width="9.140625" style="90" customWidth="1"/>
    <col min="34" max="34" width="10.42578125" style="90" customWidth="1"/>
    <col min="35" max="41" width="9.140625" style="90"/>
    <col min="42" max="49" width="9.140625" style="90" customWidth="1"/>
    <col min="50" max="53" width="9.140625" style="90"/>
    <col min="54" max="61" width="9.140625" style="90" hidden="1" customWidth="1"/>
    <col min="62" max="62" width="5.140625" style="90" hidden="1" customWidth="1"/>
    <col min="63" max="70" width="9.140625" style="90" hidden="1" customWidth="1"/>
    <col min="71" max="16384" width="9.140625" style="90"/>
  </cols>
  <sheetData>
    <row r="1" spans="1:80" ht="18.75" x14ac:dyDescent="0.3">
      <c r="A1" s="272" t="s">
        <v>280</v>
      </c>
      <c r="B1" s="273"/>
      <c r="C1" s="87"/>
      <c r="D1" s="87"/>
      <c r="E1" s="87"/>
      <c r="F1" s="87"/>
      <c r="T1" s="88"/>
      <c r="U1" s="88"/>
      <c r="X1" s="96"/>
      <c r="Y1" s="96"/>
      <c r="Z1" s="96"/>
      <c r="AA1" s="96"/>
      <c r="AB1" s="96"/>
      <c r="AC1" s="96"/>
      <c r="AD1" s="96"/>
      <c r="AE1" s="96"/>
      <c r="AF1" s="96"/>
      <c r="AG1" s="96"/>
      <c r="AI1" s="96"/>
      <c r="AJ1" s="181" t="s">
        <v>337</v>
      </c>
      <c r="AK1" s="180"/>
      <c r="AL1" s="180"/>
      <c r="AM1" s="96"/>
      <c r="AN1" s="96"/>
      <c r="AP1" s="295" t="s">
        <v>102</v>
      </c>
      <c r="AQ1" s="296"/>
      <c r="AR1" s="296"/>
      <c r="AS1" s="296"/>
      <c r="AT1" s="296"/>
      <c r="AU1" s="296"/>
      <c r="AV1" s="296"/>
      <c r="AW1" s="296"/>
      <c r="AX1" s="296"/>
      <c r="AY1" s="297"/>
      <c r="AZ1" s="278"/>
      <c r="BA1" s="282" t="s">
        <v>402</v>
      </c>
      <c r="BB1" s="298" t="s">
        <v>401</v>
      </c>
      <c r="BC1" s="299"/>
      <c r="BD1" s="299"/>
      <c r="BE1" s="299"/>
      <c r="BF1" s="299"/>
      <c r="BG1" s="299"/>
      <c r="BH1" s="299"/>
      <c r="BI1" s="300"/>
      <c r="BJ1" s="135"/>
      <c r="BK1" s="298" t="s">
        <v>310</v>
      </c>
      <c r="BL1" s="301"/>
      <c r="BM1" s="301"/>
      <c r="BN1" s="301"/>
      <c r="BO1" s="301"/>
      <c r="BP1" s="301"/>
      <c r="BQ1" s="301"/>
      <c r="BR1" s="300"/>
      <c r="BS1" s="282" t="s">
        <v>402</v>
      </c>
      <c r="BT1" s="96"/>
      <c r="BU1" s="295" t="s">
        <v>88</v>
      </c>
      <c r="BV1" s="302"/>
      <c r="BW1" s="302"/>
      <c r="BX1" s="302"/>
      <c r="BY1" s="302"/>
      <c r="BZ1" s="302"/>
      <c r="CA1" s="303"/>
      <c r="CB1" s="96"/>
    </row>
    <row r="2" spans="1:80" ht="57.75" x14ac:dyDescent="0.3">
      <c r="A2" s="226" t="s">
        <v>89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I2" s="96"/>
      <c r="AJ2" s="304" t="s">
        <v>332</v>
      </c>
      <c r="AK2" s="304" t="s">
        <v>333</v>
      </c>
      <c r="AL2" s="305" t="s">
        <v>335</v>
      </c>
      <c r="AM2" s="306" t="s">
        <v>334</v>
      </c>
      <c r="AN2" s="305" t="s">
        <v>336</v>
      </c>
      <c r="AP2" s="97" t="s">
        <v>103</v>
      </c>
      <c r="AQ2" s="98"/>
      <c r="AR2" s="99"/>
      <c r="AS2" s="98"/>
      <c r="AT2" s="97"/>
      <c r="AU2" s="97" t="s">
        <v>104</v>
      </c>
      <c r="AV2" s="98"/>
      <c r="AW2" s="98"/>
      <c r="AX2" s="307" t="s">
        <v>105</v>
      </c>
      <c r="AY2" s="308"/>
      <c r="AZ2" s="147"/>
      <c r="BA2" s="1031" t="s">
        <v>428</v>
      </c>
      <c r="BB2" s="309" t="s">
        <v>115</v>
      </c>
      <c r="BC2" s="310" t="s">
        <v>116</v>
      </c>
      <c r="BD2" s="310" t="s">
        <v>117</v>
      </c>
      <c r="BE2" s="310" t="s">
        <v>118</v>
      </c>
      <c r="BF2" s="310" t="s">
        <v>119</v>
      </c>
      <c r="BG2" s="310" t="s">
        <v>120</v>
      </c>
      <c r="BH2" s="310" t="s">
        <v>121</v>
      </c>
      <c r="BI2" s="310" t="s">
        <v>122</v>
      </c>
      <c r="BJ2" s="176"/>
      <c r="BK2" s="310" t="s">
        <v>115</v>
      </c>
      <c r="BL2" s="310" t="s">
        <v>116</v>
      </c>
      <c r="BM2" s="310" t="s">
        <v>117</v>
      </c>
      <c r="BN2" s="310" t="s">
        <v>118</v>
      </c>
      <c r="BO2" s="310" t="s">
        <v>119</v>
      </c>
      <c r="BP2" s="310" t="s">
        <v>120</v>
      </c>
      <c r="BQ2" s="310" t="s">
        <v>121</v>
      </c>
      <c r="BR2" s="311" t="s">
        <v>122</v>
      </c>
      <c r="BS2" s="1031" t="s">
        <v>428</v>
      </c>
      <c r="BT2" s="96"/>
      <c r="BU2" s="312" t="s">
        <v>90</v>
      </c>
      <c r="BV2" s="313" t="s">
        <v>91</v>
      </c>
      <c r="BW2" s="313" t="s">
        <v>92</v>
      </c>
      <c r="BX2" s="313" t="s">
        <v>93</v>
      </c>
      <c r="BY2" s="313" t="s">
        <v>94</v>
      </c>
      <c r="BZ2" s="313" t="s">
        <v>95</v>
      </c>
      <c r="CA2" s="313" t="s">
        <v>96</v>
      </c>
      <c r="CB2" s="96"/>
    </row>
    <row r="3" spans="1:80" s="92" customFormat="1" ht="55.5" customHeight="1" x14ac:dyDescent="0.25">
      <c r="A3" s="312" t="s">
        <v>0</v>
      </c>
      <c r="B3" s="313" t="s">
        <v>97</v>
      </c>
      <c r="C3" s="314">
        <v>201</v>
      </c>
      <c r="D3" s="314" t="s">
        <v>98</v>
      </c>
      <c r="E3" s="313">
        <v>202</v>
      </c>
      <c r="F3" s="314">
        <v>301</v>
      </c>
      <c r="G3" s="313">
        <v>302</v>
      </c>
      <c r="H3" s="313">
        <v>401</v>
      </c>
      <c r="I3" s="313">
        <v>402</v>
      </c>
      <c r="J3" s="313">
        <v>501</v>
      </c>
      <c r="K3" s="313">
        <v>502</v>
      </c>
      <c r="L3" s="313">
        <v>601</v>
      </c>
      <c r="M3" s="313">
        <v>602</v>
      </c>
      <c r="N3" s="314">
        <v>701</v>
      </c>
      <c r="O3" s="313">
        <v>702</v>
      </c>
      <c r="P3" s="313">
        <v>801</v>
      </c>
      <c r="Q3" s="313">
        <v>802</v>
      </c>
      <c r="R3" s="313" t="s">
        <v>99</v>
      </c>
      <c r="S3" s="225"/>
      <c r="T3" s="96"/>
      <c r="U3" s="315" t="s">
        <v>422</v>
      </c>
      <c r="V3" s="316" t="s">
        <v>345</v>
      </c>
      <c r="W3" s="317">
        <v>45866</v>
      </c>
      <c r="X3" s="317">
        <v>45897</v>
      </c>
      <c r="Y3" s="317">
        <v>45928</v>
      </c>
      <c r="Z3" s="317">
        <v>45958</v>
      </c>
      <c r="AA3" s="290">
        <v>45988</v>
      </c>
      <c r="AB3" s="290">
        <v>46019</v>
      </c>
      <c r="AC3" s="457">
        <v>46050</v>
      </c>
      <c r="AD3" s="457">
        <v>46081</v>
      </c>
      <c r="AE3" s="457">
        <v>46109</v>
      </c>
      <c r="AF3" s="317"/>
      <c r="AG3" s="231"/>
      <c r="AI3" s="96"/>
      <c r="AJ3" s="224"/>
      <c r="AK3" s="224"/>
      <c r="AL3" s="222"/>
      <c r="AM3" s="223"/>
      <c r="AN3" s="222"/>
      <c r="AP3" s="318" t="s">
        <v>106</v>
      </c>
      <c r="AQ3" s="313" t="s">
        <v>107</v>
      </c>
      <c r="AR3" s="313" t="s">
        <v>108</v>
      </c>
      <c r="AS3" s="313" t="s">
        <v>109</v>
      </c>
      <c r="AT3" s="313" t="s">
        <v>110</v>
      </c>
      <c r="AU3" s="313" t="s">
        <v>111</v>
      </c>
      <c r="AV3" s="313" t="s">
        <v>112</v>
      </c>
      <c r="AW3" s="313" t="s">
        <v>113</v>
      </c>
      <c r="AX3" s="313" t="s">
        <v>114</v>
      </c>
      <c r="AY3" s="319" t="s">
        <v>112</v>
      </c>
      <c r="AZ3" s="274" t="s">
        <v>50</v>
      </c>
      <c r="BA3" s="1018"/>
      <c r="BB3" s="310" t="s">
        <v>123</v>
      </c>
      <c r="BC3" s="320"/>
      <c r="BD3" s="321"/>
      <c r="BE3" s="320"/>
      <c r="BF3" s="321">
        <v>316.39999999999998</v>
      </c>
      <c r="BG3" s="322"/>
      <c r="BH3" s="321">
        <v>233.94</v>
      </c>
      <c r="BI3" s="321">
        <f>BF3+BH3</f>
        <v>550.33999999999992</v>
      </c>
      <c r="BJ3" s="177"/>
      <c r="BK3" s="320" t="s">
        <v>123</v>
      </c>
      <c r="BL3" s="320"/>
      <c r="BM3" s="321"/>
      <c r="BN3" s="320"/>
      <c r="BO3" s="321">
        <v>316.39999999999998</v>
      </c>
      <c r="BP3" s="322"/>
      <c r="BQ3" s="321">
        <v>233.94</v>
      </c>
      <c r="BR3" s="321">
        <f t="shared" ref="BR3:BR9" si="0">BO3+BQ3</f>
        <v>550.33999999999992</v>
      </c>
      <c r="BS3" s="1018"/>
      <c r="BT3" s="96"/>
      <c r="BU3" s="323">
        <v>2022</v>
      </c>
      <c r="BV3" s="324"/>
      <c r="BW3" s="325">
        <v>14.276</v>
      </c>
      <c r="BX3" s="326"/>
      <c r="BY3" s="326">
        <v>14.27</v>
      </c>
      <c r="BZ3" s="326">
        <v>2.5</v>
      </c>
      <c r="CA3" s="326">
        <f t="shared" ref="CA3:CA10" si="1">BY3*BZ3</f>
        <v>35.674999999999997</v>
      </c>
      <c r="CB3" s="96"/>
    </row>
    <row r="4" spans="1:80" s="96" customFormat="1" ht="15" customHeight="1" x14ac:dyDescent="0.25">
      <c r="A4" s="93">
        <v>44893</v>
      </c>
      <c r="B4" s="94" t="s">
        <v>100</v>
      </c>
      <c r="C4" s="95">
        <v>2234.3049999999998</v>
      </c>
      <c r="D4" s="95">
        <v>0</v>
      </c>
      <c r="E4" s="95">
        <v>5533.6459999999997</v>
      </c>
      <c r="F4" s="95">
        <v>3691.8780000000002</v>
      </c>
      <c r="G4" s="95">
        <v>1620.9939999999999</v>
      </c>
      <c r="H4" s="95">
        <v>1650.5429999999999</v>
      </c>
      <c r="I4" s="95">
        <v>3784.605</v>
      </c>
      <c r="J4" s="95">
        <v>2565.364</v>
      </c>
      <c r="K4" s="95">
        <v>2088.1469999999999</v>
      </c>
      <c r="L4" s="95">
        <v>1940.5309999999999</v>
      </c>
      <c r="M4" s="95">
        <v>1841.097</v>
      </c>
      <c r="N4" s="95">
        <v>2711.44</v>
      </c>
      <c r="O4" s="95">
        <v>841.52800000000002</v>
      </c>
      <c r="P4" s="95">
        <v>5163.8239999999996</v>
      </c>
      <c r="Q4" s="95">
        <v>3048.163</v>
      </c>
      <c r="R4" s="95">
        <f>SUM(C4:Q4)-D4</f>
        <v>38716.065000000002</v>
      </c>
      <c r="S4" s="95"/>
      <c r="U4" s="201" t="s">
        <v>393</v>
      </c>
      <c r="V4" s="327" t="s">
        <v>260</v>
      </c>
      <c r="W4" s="328">
        <v>0</v>
      </c>
      <c r="X4" s="328">
        <v>2.5000000000000001E-2</v>
      </c>
      <c r="Y4" s="328">
        <v>0.13099999999999989</v>
      </c>
      <c r="Z4" s="328">
        <v>0.20399999999999985</v>
      </c>
      <c r="AA4" s="172">
        <v>0.14699999999999969</v>
      </c>
      <c r="AB4" s="172">
        <v>0</v>
      </c>
      <c r="AC4" s="172">
        <v>0</v>
      </c>
      <c r="AD4" s="479">
        <v>0</v>
      </c>
      <c r="AE4" s="479">
        <v>8.0000000000000071E-2</v>
      </c>
      <c r="AF4" s="328"/>
      <c r="AG4" s="231"/>
      <c r="AJ4" s="329" t="s">
        <v>369</v>
      </c>
      <c r="AK4" s="330" t="s">
        <v>369</v>
      </c>
      <c r="AL4" s="330" t="s">
        <v>369</v>
      </c>
      <c r="AM4" s="330" t="s">
        <v>369</v>
      </c>
      <c r="AN4" s="330" t="s">
        <v>369</v>
      </c>
      <c r="AP4" s="331">
        <v>44915</v>
      </c>
      <c r="AQ4" s="331">
        <v>44972</v>
      </c>
      <c r="AR4" s="331">
        <v>44937</v>
      </c>
      <c r="AS4" s="324">
        <v>225</v>
      </c>
      <c r="AT4" s="326">
        <f>AU4+AV4+AX4+AY4</f>
        <v>2077.63</v>
      </c>
      <c r="AU4" s="326">
        <v>1190.9000000000001</v>
      </c>
      <c r="AV4" s="326">
        <v>4.75</v>
      </c>
      <c r="AW4" s="326">
        <f>ROUNDUP((AU4+AV4)/AS4,2)</f>
        <v>5.3199999999999994</v>
      </c>
      <c r="AX4" s="326">
        <v>881.49</v>
      </c>
      <c r="AY4" s="326">
        <v>0.49</v>
      </c>
      <c r="AZ4" s="275"/>
      <c r="BA4" s="1018"/>
      <c r="BB4" s="310" t="s">
        <v>124</v>
      </c>
      <c r="BC4" s="332">
        <v>1.4285699999999999</v>
      </c>
      <c r="BD4" s="321">
        <v>20</v>
      </c>
      <c r="BE4" s="320">
        <v>2.34</v>
      </c>
      <c r="BF4" s="321">
        <f>ROUND(BD4*BE4,2)</f>
        <v>46.8</v>
      </c>
      <c r="BG4" s="320">
        <v>1.73</v>
      </c>
      <c r="BH4" s="321">
        <f>BD4*BG4</f>
        <v>34.6</v>
      </c>
      <c r="BI4" s="321">
        <f>BF4+BH4</f>
        <v>81.400000000000006</v>
      </c>
      <c r="BJ4" s="177"/>
      <c r="BK4" s="332" t="s">
        <v>124</v>
      </c>
      <c r="BL4" s="332">
        <v>5</v>
      </c>
      <c r="BM4" s="321">
        <v>70</v>
      </c>
      <c r="BN4" s="320">
        <v>2.34</v>
      </c>
      <c r="BO4" s="321">
        <f t="shared" ref="BO4:BO9" si="2">ROUND(BM4*BN4,2)</f>
        <v>163.80000000000001</v>
      </c>
      <c r="BP4" s="320">
        <v>1.73</v>
      </c>
      <c r="BQ4" s="321">
        <f t="shared" ref="BQ4:BQ9" si="3">BM4*BP4</f>
        <v>121.1</v>
      </c>
      <c r="BR4" s="321">
        <f t="shared" si="0"/>
        <v>284.89999999999998</v>
      </c>
      <c r="BS4" s="1018"/>
      <c r="BU4" s="331">
        <v>44930</v>
      </c>
      <c r="BV4" s="324">
        <f>90.43+80.67</f>
        <v>171.10000000000002</v>
      </c>
      <c r="BW4" s="325">
        <v>13.315823999999999</v>
      </c>
      <c r="BX4" s="326">
        <f t="shared" ref="BX4:BX10" si="4">ROUND(BV4*BW4,2)</f>
        <v>2278.34</v>
      </c>
      <c r="BY4" s="326">
        <f t="shared" ref="BY4:BY10" si="5">ROUND(BW4,2)</f>
        <v>13.32</v>
      </c>
      <c r="BZ4" s="326">
        <v>2.5</v>
      </c>
      <c r="CA4" s="326">
        <f t="shared" si="1"/>
        <v>33.299999999999997</v>
      </c>
    </row>
    <row r="5" spans="1:80" s="96" customFormat="1" ht="15" customHeight="1" x14ac:dyDescent="0.25">
      <c r="A5" s="93">
        <v>44923</v>
      </c>
      <c r="B5" s="94" t="s">
        <v>100</v>
      </c>
      <c r="C5" s="95">
        <v>2251.9560000000001</v>
      </c>
      <c r="D5" s="95">
        <v>0</v>
      </c>
      <c r="E5" s="95">
        <v>5574.7269999999999</v>
      </c>
      <c r="F5" s="95">
        <v>3711.6869999999999</v>
      </c>
      <c r="G5" s="95">
        <v>1629.279</v>
      </c>
      <c r="H5" s="95">
        <v>1664.855</v>
      </c>
      <c r="I5" s="95">
        <v>3803.942</v>
      </c>
      <c r="J5" s="95">
        <v>2576.6379999999999</v>
      </c>
      <c r="K5" s="95">
        <v>2100.9810000000002</v>
      </c>
      <c r="L5" s="95">
        <v>1946.4490000000001</v>
      </c>
      <c r="M5" s="95">
        <v>1851.4459999999999</v>
      </c>
      <c r="N5" s="95">
        <v>2718.3649999999998</v>
      </c>
      <c r="O5" s="95">
        <v>845.46799999999996</v>
      </c>
      <c r="P5" s="95">
        <v>5175.4260000000004</v>
      </c>
      <c r="Q5" s="95">
        <v>3067.4749999999999</v>
      </c>
      <c r="R5" s="95">
        <f t="shared" ref="R5:R19" si="6">SUM(C5:Q5)</f>
        <v>38918.693999999996</v>
      </c>
      <c r="S5" s="95"/>
      <c r="U5" s="291" t="s">
        <v>424</v>
      </c>
      <c r="V5" s="333">
        <v>201</v>
      </c>
      <c r="W5" s="334">
        <v>5.0999999999999997E-2</v>
      </c>
      <c r="X5" s="334">
        <v>7.3999999999999996E-2</v>
      </c>
      <c r="Y5" s="334">
        <v>6.9000000000000006E-2</v>
      </c>
      <c r="Z5" s="334">
        <v>6.8000000000000005E-2</v>
      </c>
      <c r="AA5" s="173">
        <v>7.1999999999999995E-2</v>
      </c>
      <c r="AB5" s="173">
        <v>8.2000000000000003E-2</v>
      </c>
      <c r="AC5" s="485">
        <v>7.5999999999999998E-2</v>
      </c>
      <c r="AD5" s="485">
        <v>8.4000000000000005E-2</v>
      </c>
      <c r="AE5" s="485">
        <v>9.6000000000000002E-2</v>
      </c>
      <c r="AF5" s="334"/>
      <c r="AG5" s="231"/>
      <c r="AJ5" s="329" t="s">
        <v>369</v>
      </c>
      <c r="AK5" s="330" t="s">
        <v>369</v>
      </c>
      <c r="AL5" s="330" t="s">
        <v>369</v>
      </c>
      <c r="AM5" s="330" t="s">
        <v>369</v>
      </c>
      <c r="AN5" s="330" t="s">
        <v>369</v>
      </c>
      <c r="AP5" s="331">
        <v>44944</v>
      </c>
      <c r="AQ5" s="331">
        <v>45000</v>
      </c>
      <c r="AR5" s="331">
        <v>45000</v>
      </c>
      <c r="AS5" s="324">
        <v>226</v>
      </c>
      <c r="AT5" s="326">
        <f>AU5+AV5+AX5+AY5</f>
        <v>2295.67</v>
      </c>
      <c r="AU5" s="326">
        <v>1316.08</v>
      </c>
      <c r="AV5" s="326">
        <v>5.19</v>
      </c>
      <c r="AW5" s="326">
        <f t="shared" ref="AW5:AW46" si="7">ROUND((AU5+AV5)/AS5,2)</f>
        <v>5.85</v>
      </c>
      <c r="AX5" s="326">
        <v>973.87</v>
      </c>
      <c r="AY5" s="326">
        <v>0.53</v>
      </c>
      <c r="AZ5" s="275"/>
      <c r="BA5" s="1018"/>
      <c r="BB5" s="310" t="s">
        <v>311</v>
      </c>
      <c r="BC5" s="332"/>
      <c r="BD5" s="321"/>
      <c r="BE5" s="320"/>
      <c r="BF5" s="321"/>
      <c r="BG5" s="320"/>
      <c r="BH5" s="321"/>
      <c r="BI5" s="321"/>
      <c r="BJ5" s="177"/>
      <c r="BK5" s="332" t="s">
        <v>311</v>
      </c>
      <c r="BL5" s="332">
        <v>5</v>
      </c>
      <c r="BM5" s="321">
        <v>70</v>
      </c>
      <c r="BN5" s="320">
        <v>4.9870000000000001</v>
      </c>
      <c r="BO5" s="321">
        <f t="shared" si="2"/>
        <v>349.09</v>
      </c>
      <c r="BP5" s="320">
        <v>3.69</v>
      </c>
      <c r="BQ5" s="321">
        <f t="shared" si="3"/>
        <v>258.3</v>
      </c>
      <c r="BR5" s="321">
        <f t="shared" si="0"/>
        <v>607.39</v>
      </c>
      <c r="BS5" s="1018"/>
      <c r="BU5" s="331">
        <v>45098</v>
      </c>
      <c r="BV5" s="324">
        <v>300.73</v>
      </c>
      <c r="BW5" s="325">
        <v>12.741595</v>
      </c>
      <c r="BX5" s="326">
        <f t="shared" si="4"/>
        <v>3831.78</v>
      </c>
      <c r="BY5" s="326">
        <f t="shared" si="5"/>
        <v>12.74</v>
      </c>
      <c r="BZ5" s="326">
        <v>2.5</v>
      </c>
      <c r="CA5" s="326">
        <f t="shared" si="1"/>
        <v>31.85</v>
      </c>
    </row>
    <row r="6" spans="1:80" s="96" customFormat="1" ht="66" x14ac:dyDescent="0.25">
      <c r="A6" s="93">
        <v>44954</v>
      </c>
      <c r="B6" s="94" t="s">
        <v>100</v>
      </c>
      <c r="C6" s="95">
        <v>2272.8969999999999</v>
      </c>
      <c r="D6" s="95">
        <v>0</v>
      </c>
      <c r="E6" s="95">
        <v>5608.5290000000005</v>
      </c>
      <c r="F6" s="95">
        <v>3732.1610000000001</v>
      </c>
      <c r="G6" s="95">
        <v>1640.201</v>
      </c>
      <c r="H6" s="95">
        <v>1685.537</v>
      </c>
      <c r="I6" s="95">
        <v>3827.2849999999999</v>
      </c>
      <c r="J6" s="95">
        <v>2587.6550000000002</v>
      </c>
      <c r="K6" s="95">
        <v>2114.0970000000002</v>
      </c>
      <c r="L6" s="95">
        <v>1951.375</v>
      </c>
      <c r="M6" s="95">
        <v>1855.796</v>
      </c>
      <c r="N6" s="95">
        <v>2727.694</v>
      </c>
      <c r="O6" s="95">
        <v>850.33500000000004</v>
      </c>
      <c r="P6" s="95">
        <v>5182.3720000000003</v>
      </c>
      <c r="Q6" s="95">
        <v>3087.5279999999998</v>
      </c>
      <c r="R6" s="95">
        <f t="shared" si="6"/>
        <v>39123.462</v>
      </c>
      <c r="S6" s="95"/>
      <c r="U6" s="291" t="s">
        <v>423</v>
      </c>
      <c r="V6" s="335" t="s">
        <v>259</v>
      </c>
      <c r="W6" s="336">
        <v>0</v>
      </c>
      <c r="X6" s="336">
        <v>0</v>
      </c>
      <c r="Y6" s="336">
        <v>0</v>
      </c>
      <c r="Z6" s="336">
        <v>0</v>
      </c>
      <c r="AA6" s="174">
        <v>0</v>
      </c>
      <c r="AB6" s="174">
        <v>0</v>
      </c>
      <c r="AC6" s="487">
        <v>0</v>
      </c>
      <c r="AD6" s="487">
        <v>0</v>
      </c>
      <c r="AE6" s="487">
        <v>0</v>
      </c>
      <c r="AF6" s="336"/>
      <c r="AG6" s="133"/>
      <c r="AJ6" s="329" t="s">
        <v>369</v>
      </c>
      <c r="AK6" s="330" t="s">
        <v>369</v>
      </c>
      <c r="AL6" s="330" t="s">
        <v>369</v>
      </c>
      <c r="AM6" s="330" t="s">
        <v>369</v>
      </c>
      <c r="AN6" s="330" t="s">
        <v>369</v>
      </c>
      <c r="AP6" s="331">
        <v>44972</v>
      </c>
      <c r="AQ6" s="331">
        <v>45033</v>
      </c>
      <c r="AR6" s="331">
        <v>45033</v>
      </c>
      <c r="AS6" s="324">
        <v>218</v>
      </c>
      <c r="AT6" s="326">
        <v>2287.06</v>
      </c>
      <c r="AU6" s="326">
        <v>1311.45</v>
      </c>
      <c r="AV6" s="326">
        <v>4.82</v>
      </c>
      <c r="AW6" s="326">
        <f t="shared" si="7"/>
        <v>6.04</v>
      </c>
      <c r="AX6" s="326">
        <v>970.3</v>
      </c>
      <c r="AY6" s="326">
        <v>0.49</v>
      </c>
      <c r="AZ6" s="275"/>
      <c r="BA6" s="1018"/>
      <c r="BB6" s="310" t="s">
        <v>312</v>
      </c>
      <c r="BC6" s="332"/>
      <c r="BD6" s="321"/>
      <c r="BE6" s="320"/>
      <c r="BF6" s="321"/>
      <c r="BG6" s="320"/>
      <c r="BH6" s="321"/>
      <c r="BI6" s="321"/>
      <c r="BJ6" s="177"/>
      <c r="BK6" s="332" t="s">
        <v>312</v>
      </c>
      <c r="BL6" s="332">
        <v>5</v>
      </c>
      <c r="BM6" s="321">
        <v>70</v>
      </c>
      <c r="BN6" s="320">
        <v>7.7270000000000003</v>
      </c>
      <c r="BO6" s="321">
        <f t="shared" si="2"/>
        <v>540.89</v>
      </c>
      <c r="BP6" s="320">
        <v>5.718</v>
      </c>
      <c r="BQ6" s="321">
        <f t="shared" si="3"/>
        <v>400.26</v>
      </c>
      <c r="BR6" s="321">
        <f t="shared" si="0"/>
        <v>941.15</v>
      </c>
      <c r="BS6" s="1018"/>
      <c r="BU6" s="331">
        <v>45296</v>
      </c>
      <c r="BV6" s="324">
        <v>280.22000000000003</v>
      </c>
      <c r="BW6" s="337" t="s">
        <v>101</v>
      </c>
      <c r="BX6" s="326">
        <f t="shared" si="4"/>
        <v>3589.42</v>
      </c>
      <c r="BY6" s="326">
        <f t="shared" si="5"/>
        <v>12.81</v>
      </c>
      <c r="BZ6" s="326">
        <v>2.5</v>
      </c>
      <c r="CA6" s="326">
        <f t="shared" si="1"/>
        <v>32.024999999999999</v>
      </c>
    </row>
    <row r="7" spans="1:80" s="96" customFormat="1" ht="15" customHeight="1" x14ac:dyDescent="0.25">
      <c r="A7" s="93">
        <v>44985</v>
      </c>
      <c r="B7" s="94" t="s">
        <v>100</v>
      </c>
      <c r="C7" s="95">
        <v>2291.5970000000002</v>
      </c>
      <c r="D7" s="95">
        <v>0</v>
      </c>
      <c r="E7" s="95">
        <v>5642.3019999999997</v>
      </c>
      <c r="F7" s="95">
        <v>3753.569</v>
      </c>
      <c r="G7" s="95">
        <v>1649.999</v>
      </c>
      <c r="H7" s="95">
        <v>1703.0150000000001</v>
      </c>
      <c r="I7" s="95">
        <v>3846.37</v>
      </c>
      <c r="J7" s="95">
        <v>2599.0479999999998</v>
      </c>
      <c r="K7" s="95">
        <v>2127.7440000000001</v>
      </c>
      <c r="L7" s="95">
        <v>1956.14</v>
      </c>
      <c r="M7" s="95">
        <v>1862.2719999999999</v>
      </c>
      <c r="N7" s="95">
        <v>2739.3029999999999</v>
      </c>
      <c r="O7" s="95">
        <v>855.38300000000004</v>
      </c>
      <c r="P7" s="95">
        <v>5194.2700000000004</v>
      </c>
      <c r="Q7" s="95">
        <v>3109.1579999999999</v>
      </c>
      <c r="R7" s="95">
        <f t="shared" si="6"/>
        <v>39330.170000000006</v>
      </c>
      <c r="S7" s="95"/>
      <c r="U7" s="232"/>
      <c r="V7" s="333">
        <v>202</v>
      </c>
      <c r="W7" s="334">
        <v>0.105</v>
      </c>
      <c r="X7" s="334">
        <v>8.1000000000000003E-2</v>
      </c>
      <c r="Y7" s="334">
        <v>9.2999999999999999E-2</v>
      </c>
      <c r="Z7" s="334">
        <v>3.5000000000000003E-2</v>
      </c>
      <c r="AA7" s="173">
        <v>7.8E-2</v>
      </c>
      <c r="AB7" s="173">
        <v>0.10100000000000001</v>
      </c>
      <c r="AC7" s="485">
        <v>0.11</v>
      </c>
      <c r="AD7" s="485">
        <v>9.7000000000000003E-2</v>
      </c>
      <c r="AE7" s="485">
        <v>7.2999999999999995E-2</v>
      </c>
      <c r="AF7" s="334"/>
      <c r="AG7" s="227"/>
      <c r="AJ7" s="329" t="s">
        <v>369</v>
      </c>
      <c r="AK7" s="330" t="s">
        <v>369</v>
      </c>
      <c r="AL7" s="330" t="s">
        <v>369</v>
      </c>
      <c r="AM7" s="330" t="s">
        <v>369</v>
      </c>
      <c r="AN7" s="330" t="s">
        <v>369</v>
      </c>
      <c r="AP7" s="331">
        <v>45005</v>
      </c>
      <c r="AQ7" s="331">
        <v>45061</v>
      </c>
      <c r="AR7" s="331">
        <v>45061</v>
      </c>
      <c r="AS7" s="324">
        <v>271</v>
      </c>
      <c r="AT7" s="326">
        <v>3164.51</v>
      </c>
      <c r="AU7" s="326">
        <v>1815.59</v>
      </c>
      <c r="AV7" s="326">
        <v>5.04</v>
      </c>
      <c r="AW7" s="326">
        <f t="shared" si="7"/>
        <v>6.72</v>
      </c>
      <c r="AX7" s="326">
        <v>1343.37</v>
      </c>
      <c r="AY7" s="326">
        <v>0.51</v>
      </c>
      <c r="AZ7" s="275"/>
      <c r="BA7" s="1018"/>
      <c r="BB7" s="310" t="s">
        <v>313</v>
      </c>
      <c r="BC7" s="332"/>
      <c r="BD7" s="321"/>
      <c r="BE7" s="320"/>
      <c r="BF7" s="321"/>
      <c r="BG7" s="320"/>
      <c r="BH7" s="321"/>
      <c r="BI7" s="321"/>
      <c r="BJ7" s="177"/>
      <c r="BK7" s="332" t="s">
        <v>313</v>
      </c>
      <c r="BL7" s="332">
        <v>5</v>
      </c>
      <c r="BM7" s="321">
        <v>70</v>
      </c>
      <c r="BN7" s="320">
        <v>10.548999999999999</v>
      </c>
      <c r="BO7" s="321">
        <f t="shared" si="2"/>
        <v>738.43</v>
      </c>
      <c r="BP7" s="320">
        <v>7.806</v>
      </c>
      <c r="BQ7" s="321">
        <f t="shared" si="3"/>
        <v>546.41999999999996</v>
      </c>
      <c r="BR7" s="321">
        <f t="shared" si="0"/>
        <v>1284.8499999999999</v>
      </c>
      <c r="BS7" s="1018"/>
      <c r="BU7" s="331">
        <v>45477</v>
      </c>
      <c r="BV7" s="324">
        <v>271.38</v>
      </c>
      <c r="BW7" s="337">
        <v>13.550888</v>
      </c>
      <c r="BX7" s="326">
        <f t="shared" si="4"/>
        <v>3677.44</v>
      </c>
      <c r="BY7" s="326">
        <f t="shared" si="5"/>
        <v>13.55</v>
      </c>
      <c r="BZ7" s="326">
        <v>2.5</v>
      </c>
      <c r="CA7" s="326">
        <f t="shared" si="1"/>
        <v>33.875</v>
      </c>
    </row>
    <row r="8" spans="1:80" s="96" customFormat="1" ht="15" customHeight="1" x14ac:dyDescent="0.25">
      <c r="A8" s="93">
        <v>45013</v>
      </c>
      <c r="B8" s="94" t="s">
        <v>100</v>
      </c>
      <c r="C8" s="95">
        <v>2309.1669999999999</v>
      </c>
      <c r="D8" s="95">
        <v>0</v>
      </c>
      <c r="E8" s="95">
        <v>5681.3649999999998</v>
      </c>
      <c r="F8" s="95">
        <v>3770.9949999999999</v>
      </c>
      <c r="G8" s="95">
        <v>1659.162</v>
      </c>
      <c r="H8" s="95">
        <v>1713.0039999999999</v>
      </c>
      <c r="I8" s="95">
        <v>3861.9470000000001</v>
      </c>
      <c r="J8" s="95">
        <v>2608.1320000000001</v>
      </c>
      <c r="K8" s="95">
        <v>2139.578</v>
      </c>
      <c r="L8" s="95">
        <v>1959.9860000000001</v>
      </c>
      <c r="M8" s="95">
        <v>1866.6379999999999</v>
      </c>
      <c r="N8" s="95">
        <v>2746.4659999999999</v>
      </c>
      <c r="O8" s="95">
        <v>860.005</v>
      </c>
      <c r="P8" s="95">
        <v>5207.21</v>
      </c>
      <c r="Q8" s="95">
        <v>3127.6909999999998</v>
      </c>
      <c r="R8" s="95">
        <f t="shared" si="6"/>
        <v>39511.346000000005</v>
      </c>
      <c r="S8" s="95"/>
      <c r="U8" s="232"/>
      <c r="V8" s="333">
        <v>301</v>
      </c>
      <c r="W8" s="334">
        <v>6.6000000000000003E-2</v>
      </c>
      <c r="X8" s="334">
        <v>7.5999999999999998E-2</v>
      </c>
      <c r="Y8" s="334">
        <v>7.1999999999999995E-2</v>
      </c>
      <c r="Z8" s="334">
        <v>6.3E-2</v>
      </c>
      <c r="AA8" s="173">
        <v>6.8000000000000005E-2</v>
      </c>
      <c r="AB8" s="173">
        <v>8.5999999999999993E-2</v>
      </c>
      <c r="AC8" s="485">
        <v>9.2999999999999999E-2</v>
      </c>
      <c r="AD8" s="485">
        <v>8.5999999999999993E-2</v>
      </c>
      <c r="AE8" s="485">
        <v>8.5999999999999993E-2</v>
      </c>
      <c r="AF8" s="334"/>
      <c r="AG8" s="227"/>
      <c r="AJ8" s="329" t="s">
        <v>369</v>
      </c>
      <c r="AK8" s="330" t="s">
        <v>369</v>
      </c>
      <c r="AL8" s="330" t="s">
        <v>369</v>
      </c>
      <c r="AM8" s="330" t="s">
        <v>369</v>
      </c>
      <c r="AN8" s="330" t="s">
        <v>369</v>
      </c>
      <c r="AP8" s="331">
        <v>45034</v>
      </c>
      <c r="AQ8" s="331">
        <v>45092</v>
      </c>
      <c r="AR8" s="331">
        <v>45092</v>
      </c>
      <c r="AS8" s="324">
        <v>219</v>
      </c>
      <c r="AT8" s="326">
        <v>2304.0100000000002</v>
      </c>
      <c r="AU8" s="326">
        <v>1320.97</v>
      </c>
      <c r="AV8" s="326">
        <v>5.17</v>
      </c>
      <c r="AW8" s="326">
        <f t="shared" si="7"/>
        <v>6.06</v>
      </c>
      <c r="AX8" s="326">
        <v>977.34</v>
      </c>
      <c r="AY8" s="326">
        <v>0.53</v>
      </c>
      <c r="AZ8" s="275"/>
      <c r="BA8" s="1018"/>
      <c r="BB8" s="310" t="s">
        <v>314</v>
      </c>
      <c r="BC8" s="338"/>
      <c r="BD8" s="321"/>
      <c r="BE8" s="320"/>
      <c r="BF8" s="321"/>
      <c r="BG8" s="320"/>
      <c r="BH8" s="321"/>
      <c r="BI8" s="321"/>
      <c r="BJ8" s="177"/>
      <c r="BK8" s="338" t="s">
        <v>314</v>
      </c>
      <c r="BL8" s="338">
        <v>20</v>
      </c>
      <c r="BM8" s="321">
        <v>280</v>
      </c>
      <c r="BN8" s="320">
        <v>13.417999999999999</v>
      </c>
      <c r="BO8" s="321">
        <f t="shared" si="2"/>
        <v>3757.04</v>
      </c>
      <c r="BP8" s="320">
        <v>9.9290000000000003</v>
      </c>
      <c r="BQ8" s="321">
        <f t="shared" si="3"/>
        <v>2780.12</v>
      </c>
      <c r="BR8" s="321">
        <f t="shared" si="0"/>
        <v>6537.16</v>
      </c>
      <c r="BS8" s="1018"/>
      <c r="BU8" s="331">
        <v>45645</v>
      </c>
      <c r="BV8" s="324">
        <v>300.56</v>
      </c>
      <c r="BW8" s="337">
        <v>13.889373000000001</v>
      </c>
      <c r="BX8" s="326">
        <f t="shared" si="4"/>
        <v>4174.59</v>
      </c>
      <c r="BY8" s="326">
        <f t="shared" si="5"/>
        <v>13.89</v>
      </c>
      <c r="BZ8" s="326">
        <v>2.5</v>
      </c>
      <c r="CA8" s="326">
        <f t="shared" si="1"/>
        <v>34.725000000000001</v>
      </c>
    </row>
    <row r="9" spans="1:80" s="96" customFormat="1" ht="15" customHeight="1" x14ac:dyDescent="0.25">
      <c r="A9" s="93">
        <v>45044</v>
      </c>
      <c r="B9" s="94" t="s">
        <v>100</v>
      </c>
      <c r="C9" s="95">
        <v>2323.1590000000001</v>
      </c>
      <c r="D9" s="95">
        <v>0</v>
      </c>
      <c r="E9" s="95">
        <v>5724.9870000000001</v>
      </c>
      <c r="F9" s="95">
        <v>3788.4810000000002</v>
      </c>
      <c r="G9" s="95">
        <v>1673.075</v>
      </c>
      <c r="H9" s="95">
        <v>1726.402</v>
      </c>
      <c r="I9" s="95">
        <v>3879.6</v>
      </c>
      <c r="J9" s="95">
        <v>2619.1729999999998</v>
      </c>
      <c r="K9" s="95">
        <v>2149.0990000000002</v>
      </c>
      <c r="L9" s="95">
        <v>1967.14</v>
      </c>
      <c r="M9" s="95">
        <v>1873.5350000000001</v>
      </c>
      <c r="N9" s="95">
        <v>2756.556</v>
      </c>
      <c r="O9" s="95">
        <v>864.36300000000006</v>
      </c>
      <c r="P9" s="95">
        <v>5215.2449999999999</v>
      </c>
      <c r="Q9" s="95">
        <v>3149.1610000000001</v>
      </c>
      <c r="R9" s="95">
        <f t="shared" si="6"/>
        <v>39709.976000000002</v>
      </c>
      <c r="S9" s="95"/>
      <c r="U9" s="232"/>
      <c r="V9" s="333">
        <v>302</v>
      </c>
      <c r="W9" s="334">
        <v>9.6000000000000002E-2</v>
      </c>
      <c r="X9" s="334">
        <v>0.1</v>
      </c>
      <c r="Y9" s="334">
        <v>0.11</v>
      </c>
      <c r="Z9" s="334">
        <v>0.114</v>
      </c>
      <c r="AA9" s="173">
        <v>0.115</v>
      </c>
      <c r="AB9" s="173">
        <v>0.109</v>
      </c>
      <c r="AC9" s="485">
        <v>0.09</v>
      </c>
      <c r="AD9" s="485">
        <v>7.0000000000000007E-2</v>
      </c>
      <c r="AE9" s="485">
        <v>8.6999999999999994E-2</v>
      </c>
      <c r="AF9" s="334"/>
      <c r="AG9" s="228"/>
      <c r="AJ9" s="329" t="s">
        <v>369</v>
      </c>
      <c r="AK9" s="330" t="s">
        <v>369</v>
      </c>
      <c r="AL9" s="330" t="s">
        <v>369</v>
      </c>
      <c r="AM9" s="330" t="s">
        <v>369</v>
      </c>
      <c r="AN9" s="330" t="s">
        <v>369</v>
      </c>
      <c r="AP9" s="331">
        <v>45064</v>
      </c>
      <c r="AQ9" s="331">
        <v>45124</v>
      </c>
      <c r="AR9" s="331">
        <v>45124</v>
      </c>
      <c r="AS9" s="324">
        <v>238</v>
      </c>
      <c r="AT9" s="326">
        <v>2618.81</v>
      </c>
      <c r="AU9" s="326">
        <v>1501.7</v>
      </c>
      <c r="AV9" s="326">
        <v>5.47</v>
      </c>
      <c r="AW9" s="326">
        <f t="shared" si="7"/>
        <v>6.33</v>
      </c>
      <c r="AX9" s="326">
        <v>1111.08</v>
      </c>
      <c r="AY9" s="326">
        <v>0.56000000000000005</v>
      </c>
      <c r="AZ9" s="275"/>
      <c r="BA9" s="1018"/>
      <c r="BB9" s="310" t="s">
        <v>315</v>
      </c>
      <c r="BC9" s="338"/>
      <c r="BD9" s="321"/>
      <c r="BE9" s="320"/>
      <c r="BF9" s="321"/>
      <c r="BG9" s="320"/>
      <c r="BH9" s="321"/>
      <c r="BI9" s="321"/>
      <c r="BJ9" s="177"/>
      <c r="BK9" s="338" t="s">
        <v>315</v>
      </c>
      <c r="BL9" s="338">
        <v>5.4285699999999997</v>
      </c>
      <c r="BM9" s="321">
        <v>76</v>
      </c>
      <c r="BN9" s="320">
        <v>16.370999999999999</v>
      </c>
      <c r="BO9" s="321">
        <f t="shared" si="2"/>
        <v>1244.2</v>
      </c>
      <c r="BP9" s="320">
        <v>12.112</v>
      </c>
      <c r="BQ9" s="321">
        <f t="shared" si="3"/>
        <v>920.51200000000006</v>
      </c>
      <c r="BR9" s="321">
        <f t="shared" si="0"/>
        <v>2164.712</v>
      </c>
      <c r="BS9" s="1018"/>
      <c r="BU9" s="317">
        <v>45815</v>
      </c>
      <c r="BV9" s="339">
        <v>283.91000000000003</v>
      </c>
      <c r="BW9" s="340">
        <v>15.065302000000001</v>
      </c>
      <c r="BX9" s="341">
        <f t="shared" si="4"/>
        <v>4277.1899999999996</v>
      </c>
      <c r="BY9" s="341">
        <f t="shared" si="5"/>
        <v>15.07</v>
      </c>
      <c r="BZ9" s="341">
        <v>2.5</v>
      </c>
      <c r="CA9" s="341">
        <f t="shared" si="1"/>
        <v>37.674999999999997</v>
      </c>
    </row>
    <row r="10" spans="1:80" s="96" customFormat="1" ht="15" customHeight="1" x14ac:dyDescent="0.25">
      <c r="A10" s="93">
        <v>45074</v>
      </c>
      <c r="B10" s="94" t="s">
        <v>100</v>
      </c>
      <c r="C10" s="95">
        <v>2343.6590000000001</v>
      </c>
      <c r="D10" s="95">
        <v>0</v>
      </c>
      <c r="E10" s="95">
        <v>5772.0379999999996</v>
      </c>
      <c r="F10" s="95">
        <v>3804.1610000000001</v>
      </c>
      <c r="G10" s="95">
        <v>1681.8679999999999</v>
      </c>
      <c r="H10" s="95">
        <v>1744.873</v>
      </c>
      <c r="I10" s="95">
        <v>3895.201</v>
      </c>
      <c r="J10" s="95">
        <v>2632.1610000000001</v>
      </c>
      <c r="K10" s="95">
        <v>2161.866</v>
      </c>
      <c r="L10" s="95">
        <v>1973.59</v>
      </c>
      <c r="M10" s="95">
        <v>1881.3430000000001</v>
      </c>
      <c r="N10" s="95">
        <v>2765.982</v>
      </c>
      <c r="O10" s="95">
        <v>868.77700000000004</v>
      </c>
      <c r="P10" s="95">
        <v>5221.6180000000004</v>
      </c>
      <c r="Q10" s="95">
        <v>3160.1950000000002</v>
      </c>
      <c r="R10" s="95">
        <f t="shared" si="6"/>
        <v>39907.332000000002</v>
      </c>
      <c r="S10" s="95"/>
      <c r="U10" s="201"/>
      <c r="V10" s="333">
        <v>401</v>
      </c>
      <c r="W10" s="334">
        <v>9.5000000000000001E-2</v>
      </c>
      <c r="X10" s="334">
        <v>0.10100000000000001</v>
      </c>
      <c r="Y10" s="334">
        <v>0.113</v>
      </c>
      <c r="Z10" s="334">
        <v>0.11700000000000001</v>
      </c>
      <c r="AA10" s="173">
        <v>0.127</v>
      </c>
      <c r="AB10" s="173">
        <v>0.127</v>
      </c>
      <c r="AC10" s="485">
        <v>0.14099999999999999</v>
      </c>
      <c r="AD10" s="485">
        <v>0.13600000000000001</v>
      </c>
      <c r="AE10" s="485">
        <v>0.112</v>
      </c>
      <c r="AF10" s="334"/>
      <c r="AG10" s="227"/>
      <c r="AJ10" s="329" t="s">
        <v>369</v>
      </c>
      <c r="AK10" s="330" t="s">
        <v>369</v>
      </c>
      <c r="AL10" s="330" t="s">
        <v>369</v>
      </c>
      <c r="AM10" s="330" t="s">
        <v>369</v>
      </c>
      <c r="AN10" s="330" t="s">
        <v>369</v>
      </c>
      <c r="AP10" s="331">
        <v>45096</v>
      </c>
      <c r="AQ10" s="331">
        <v>45153</v>
      </c>
      <c r="AR10" s="331">
        <v>45153</v>
      </c>
      <c r="AS10" s="324">
        <v>263</v>
      </c>
      <c r="AT10" s="326">
        <v>3031.13</v>
      </c>
      <c r="AU10" s="326">
        <v>1739.5</v>
      </c>
      <c r="AV10" s="326">
        <v>4.1100000000000003</v>
      </c>
      <c r="AW10" s="326">
        <f t="shared" si="7"/>
        <v>6.63</v>
      </c>
      <c r="AX10" s="326">
        <v>1287.06</v>
      </c>
      <c r="AY10" s="326">
        <v>0.46</v>
      </c>
      <c r="AZ10" s="275"/>
      <c r="BA10" s="1018"/>
      <c r="BB10" s="310" t="s">
        <v>126</v>
      </c>
      <c r="BC10" s="338">
        <f>SUM(BC4:BC8)</f>
        <v>1.4285699999999999</v>
      </c>
      <c r="BD10" s="342">
        <f>SUM(BD4:BD8)</f>
        <v>20</v>
      </c>
      <c r="BE10" s="320"/>
      <c r="BF10" s="321">
        <f>SUM(BF3:BF8)</f>
        <v>363.2</v>
      </c>
      <c r="BG10" s="320"/>
      <c r="BH10" s="321">
        <f>SUM(BH3:BH8)</f>
        <v>268.54000000000002</v>
      </c>
      <c r="BI10" s="321">
        <f>SUM(BI3:BI8)</f>
        <v>631.7399999999999</v>
      </c>
      <c r="BJ10" s="177"/>
      <c r="BK10" s="338" t="s">
        <v>126</v>
      </c>
      <c r="BL10" s="338">
        <f>SUM(BL4:BL9)</f>
        <v>45.428570000000001</v>
      </c>
      <c r="BM10" s="342">
        <f>SUM(BM4:BM9)</f>
        <v>636</v>
      </c>
      <c r="BN10" s="320"/>
      <c r="BO10" s="321">
        <f>SUM(BO3:BO9)</f>
        <v>7109.8499999999995</v>
      </c>
      <c r="BP10" s="320"/>
      <c r="BQ10" s="321">
        <f>SUM(BQ3:BQ9)</f>
        <v>5260.6519999999991</v>
      </c>
      <c r="BR10" s="321">
        <f>SUM(BR3:BR9)</f>
        <v>12370.501999999999</v>
      </c>
      <c r="BS10" s="1018"/>
      <c r="BU10" s="134">
        <v>46025</v>
      </c>
      <c r="BV10" s="145">
        <v>320</v>
      </c>
      <c r="BW10" s="146">
        <v>15.145313</v>
      </c>
      <c r="BX10" s="144">
        <f t="shared" si="4"/>
        <v>4846.5</v>
      </c>
      <c r="BY10" s="144">
        <f t="shared" si="5"/>
        <v>15.15</v>
      </c>
      <c r="BZ10" s="144">
        <v>2.5</v>
      </c>
      <c r="CA10" s="144">
        <f t="shared" si="1"/>
        <v>37.875</v>
      </c>
    </row>
    <row r="11" spans="1:80" s="96" customFormat="1" ht="16.5" x14ac:dyDescent="0.25">
      <c r="A11" s="93">
        <v>45105</v>
      </c>
      <c r="B11" s="94" t="s">
        <v>100</v>
      </c>
      <c r="C11" s="95">
        <v>2361.768</v>
      </c>
      <c r="D11" s="95">
        <v>0</v>
      </c>
      <c r="E11" s="95">
        <v>5827.643</v>
      </c>
      <c r="F11" s="95">
        <v>3822.973</v>
      </c>
      <c r="G11" s="95">
        <v>1695.4459999999999</v>
      </c>
      <c r="H11" s="95">
        <v>1763.1769999999999</v>
      </c>
      <c r="I11" s="95">
        <v>3911.7620000000002</v>
      </c>
      <c r="J11" s="95">
        <v>2644.027</v>
      </c>
      <c r="K11" s="95">
        <v>2174.502</v>
      </c>
      <c r="L11" s="95">
        <v>1981.5989999999999</v>
      </c>
      <c r="M11" s="95">
        <v>1899.9269999999999</v>
      </c>
      <c r="N11" s="95">
        <v>2775.9169999999999</v>
      </c>
      <c r="O11" s="95">
        <v>873.95600000000002</v>
      </c>
      <c r="P11" s="95">
        <v>5229.375</v>
      </c>
      <c r="Q11" s="95">
        <v>3177.4290000000001</v>
      </c>
      <c r="R11" s="95">
        <f t="shared" si="6"/>
        <v>40139.501000000004</v>
      </c>
      <c r="S11" s="95"/>
      <c r="U11" s="201"/>
      <c r="V11" s="333">
        <v>402</v>
      </c>
      <c r="W11" s="334">
        <v>0.19600000000000001</v>
      </c>
      <c r="X11" s="334">
        <v>0.20100000000000001</v>
      </c>
      <c r="Y11" s="334">
        <v>7.5999999999999998E-2</v>
      </c>
      <c r="Z11" s="334">
        <v>7.3999999999999996E-2</v>
      </c>
      <c r="AA11" s="173">
        <v>7.8E-2</v>
      </c>
      <c r="AB11" s="173">
        <v>7.2999999999999995E-2</v>
      </c>
      <c r="AC11" s="485">
        <v>8.5999999999999993E-2</v>
      </c>
      <c r="AD11" s="485">
        <v>9.4E-2</v>
      </c>
      <c r="AE11" s="485">
        <v>0.104</v>
      </c>
      <c r="AF11" s="334"/>
      <c r="AG11" s="227"/>
      <c r="AJ11" s="329" t="s">
        <v>369</v>
      </c>
      <c r="AK11" s="330" t="s">
        <v>369</v>
      </c>
      <c r="AL11" s="330" t="s">
        <v>369</v>
      </c>
      <c r="AM11" s="330" t="s">
        <v>369</v>
      </c>
      <c r="AN11" s="330" t="s">
        <v>369</v>
      </c>
      <c r="AP11" s="331">
        <v>45126</v>
      </c>
      <c r="AQ11" s="331">
        <v>45185</v>
      </c>
      <c r="AR11" s="331">
        <v>45185</v>
      </c>
      <c r="AS11" s="324">
        <v>274</v>
      </c>
      <c r="AT11" s="326">
        <v>3213.33</v>
      </c>
      <c r="AU11" s="326">
        <v>1844.13</v>
      </c>
      <c r="AV11" s="326">
        <v>4.2300000000000004</v>
      </c>
      <c r="AW11" s="326">
        <f t="shared" si="7"/>
        <v>6.75</v>
      </c>
      <c r="AX11" s="326">
        <v>1364.49</v>
      </c>
      <c r="AY11" s="326">
        <v>0.48</v>
      </c>
      <c r="AZ11" s="275"/>
      <c r="BA11" s="1018"/>
      <c r="BB11" s="343" t="s">
        <v>128</v>
      </c>
      <c r="BC11" s="332"/>
      <c r="BD11" s="321"/>
      <c r="BE11" s="320"/>
      <c r="BF11" s="321"/>
      <c r="BG11" s="320"/>
      <c r="BH11" s="321"/>
      <c r="BI11" s="321">
        <v>15.61</v>
      </c>
      <c r="BJ11" s="177"/>
      <c r="BK11" s="343" t="s">
        <v>128</v>
      </c>
      <c r="BL11" s="332"/>
      <c r="BM11" s="321"/>
      <c r="BN11" s="320"/>
      <c r="BO11" s="321"/>
      <c r="BP11" s="320"/>
      <c r="BQ11" s="321"/>
      <c r="BR11" s="321">
        <v>15.28</v>
      </c>
      <c r="BS11" s="1018"/>
      <c r="BU11" s="143"/>
      <c r="BV11" s="135"/>
      <c r="BW11" s="135"/>
      <c r="BX11" s="135"/>
      <c r="BY11" s="135"/>
      <c r="BZ11" s="135"/>
      <c r="CA11" s="135"/>
    </row>
    <row r="12" spans="1:80" s="96" customFormat="1" ht="16.5" x14ac:dyDescent="0.25">
      <c r="A12" s="93">
        <v>45138</v>
      </c>
      <c r="B12" s="94" t="s">
        <v>100</v>
      </c>
      <c r="C12" s="95">
        <v>2376.0430000000001</v>
      </c>
      <c r="D12" s="95">
        <v>0</v>
      </c>
      <c r="E12" s="95">
        <v>5881.0280000000002</v>
      </c>
      <c r="F12" s="95">
        <v>3839.2379999999998</v>
      </c>
      <c r="G12" s="95">
        <v>1709.97</v>
      </c>
      <c r="H12" s="95">
        <v>1780.7950000000001</v>
      </c>
      <c r="I12" s="95">
        <v>3933.364</v>
      </c>
      <c r="J12" s="95">
        <v>2655.5859999999998</v>
      </c>
      <c r="K12" s="95">
        <v>2189.0830000000001</v>
      </c>
      <c r="L12" s="95">
        <v>1992.42</v>
      </c>
      <c r="M12" s="95">
        <v>1929.1110000000001</v>
      </c>
      <c r="N12" s="95">
        <v>2786.0309999999999</v>
      </c>
      <c r="O12" s="95">
        <v>877.04200000000003</v>
      </c>
      <c r="P12" s="95">
        <v>5236.8059999999996</v>
      </c>
      <c r="Q12" s="95">
        <v>3193.116</v>
      </c>
      <c r="R12" s="95">
        <f t="shared" si="6"/>
        <v>40379.632999999994</v>
      </c>
      <c r="S12" s="95"/>
      <c r="U12" s="201"/>
      <c r="V12" s="333">
        <v>501</v>
      </c>
      <c r="W12" s="334">
        <v>5.2999999999999999E-2</v>
      </c>
      <c r="X12" s="334">
        <v>5.3999999999999999E-2</v>
      </c>
      <c r="Y12" s="334">
        <v>5.3999999999999999E-2</v>
      </c>
      <c r="Z12" s="334">
        <v>4.8000000000000001E-2</v>
      </c>
      <c r="AA12" s="173">
        <v>4.9000000000000002E-2</v>
      </c>
      <c r="AB12" s="173">
        <v>0.06</v>
      </c>
      <c r="AC12" s="485">
        <v>0.128</v>
      </c>
      <c r="AD12" s="485">
        <v>0.185</v>
      </c>
      <c r="AE12" s="485">
        <v>0.111</v>
      </c>
      <c r="AF12" s="334"/>
      <c r="AG12" s="227"/>
      <c r="AJ12" s="329" t="s">
        <v>369</v>
      </c>
      <c r="AK12" s="330" t="s">
        <v>369</v>
      </c>
      <c r="AL12" s="330" t="s">
        <v>369</v>
      </c>
      <c r="AM12" s="330" t="s">
        <v>369</v>
      </c>
      <c r="AN12" s="330" t="s">
        <v>369</v>
      </c>
      <c r="AP12" s="331">
        <v>45159</v>
      </c>
      <c r="AQ12" s="331">
        <v>45215</v>
      </c>
      <c r="AR12" s="331">
        <v>45215</v>
      </c>
      <c r="AS12" s="324">
        <v>261</v>
      </c>
      <c r="AT12" s="326">
        <v>2998.76</v>
      </c>
      <c r="AU12" s="326">
        <v>1720.47</v>
      </c>
      <c r="AV12" s="326">
        <v>4.7699999999999996</v>
      </c>
      <c r="AW12" s="326">
        <f t="shared" si="7"/>
        <v>6.61</v>
      </c>
      <c r="AX12" s="326">
        <v>1272.98</v>
      </c>
      <c r="AY12" s="326">
        <v>0.54</v>
      </c>
      <c r="AZ12" s="275"/>
      <c r="BA12" s="1018"/>
      <c r="BB12" s="343" t="s">
        <v>130</v>
      </c>
      <c r="BC12" s="332"/>
      <c r="BD12" s="321"/>
      <c r="BE12" s="320"/>
      <c r="BF12" s="321"/>
      <c r="BG12" s="320"/>
      <c r="BH12" s="321"/>
      <c r="BI12" s="321">
        <v>3.43</v>
      </c>
      <c r="BJ12" s="177"/>
      <c r="BK12" s="343" t="s">
        <v>130</v>
      </c>
      <c r="BL12" s="332"/>
      <c r="BM12" s="321"/>
      <c r="BN12" s="320"/>
      <c r="BO12" s="321"/>
      <c r="BP12" s="320"/>
      <c r="BQ12" s="321"/>
      <c r="BR12" s="321">
        <v>3.36</v>
      </c>
      <c r="BS12" s="1018"/>
      <c r="BU12" s="143" t="s">
        <v>326</v>
      </c>
      <c r="BV12" s="135"/>
      <c r="BW12" s="135"/>
      <c r="BX12" s="135"/>
      <c r="BY12" s="135"/>
      <c r="BZ12" s="135"/>
      <c r="CA12" s="135"/>
    </row>
    <row r="13" spans="1:80" s="96" customFormat="1" x14ac:dyDescent="0.25">
      <c r="A13" s="93">
        <v>45166</v>
      </c>
      <c r="B13" s="94" t="s">
        <v>100</v>
      </c>
      <c r="C13" s="95">
        <v>2396.08</v>
      </c>
      <c r="D13" s="95">
        <v>0</v>
      </c>
      <c r="E13" s="95">
        <v>5923.7250000000004</v>
      </c>
      <c r="F13" s="95">
        <v>3855.3119999999999</v>
      </c>
      <c r="G13" s="95">
        <v>1721.4559999999999</v>
      </c>
      <c r="H13" s="95">
        <v>1799.713</v>
      </c>
      <c r="I13" s="95">
        <v>3950.6909999999998</v>
      </c>
      <c r="J13" s="95">
        <v>2666.4009999999998</v>
      </c>
      <c r="K13" s="95">
        <v>2201.556</v>
      </c>
      <c r="L13" s="95">
        <v>2001.809</v>
      </c>
      <c r="M13" s="95">
        <v>1933.433</v>
      </c>
      <c r="N13" s="95">
        <v>2795.1010000000001</v>
      </c>
      <c r="O13" s="95">
        <v>879.56100000000004</v>
      </c>
      <c r="P13" s="95">
        <v>5244.1220000000003</v>
      </c>
      <c r="Q13" s="95">
        <v>3209.97</v>
      </c>
      <c r="R13" s="95">
        <f t="shared" si="6"/>
        <v>40578.93</v>
      </c>
      <c r="S13" s="95"/>
      <c r="U13" s="201"/>
      <c r="V13" s="333">
        <v>502</v>
      </c>
      <c r="W13" s="334">
        <v>5.0999999999999997E-2</v>
      </c>
      <c r="X13" s="334">
        <v>4.7E-2</v>
      </c>
      <c r="Y13" s="334">
        <v>5.0999999999999997E-2</v>
      </c>
      <c r="Z13" s="334">
        <v>4.4999999999999998E-2</v>
      </c>
      <c r="AA13" s="173">
        <v>4.7E-2</v>
      </c>
      <c r="AB13" s="173">
        <v>5.6000000000000001E-2</v>
      </c>
      <c r="AC13" s="485">
        <v>6.9000000000000006E-2</v>
      </c>
      <c r="AD13" s="485">
        <v>5.7000000000000002E-2</v>
      </c>
      <c r="AE13" s="485">
        <v>5.8999999999999997E-2</v>
      </c>
      <c r="AF13" s="334"/>
      <c r="AG13" s="227"/>
      <c r="AJ13" s="329" t="s">
        <v>369</v>
      </c>
      <c r="AK13" s="330" t="s">
        <v>369</v>
      </c>
      <c r="AL13" s="330" t="s">
        <v>369</v>
      </c>
      <c r="AM13" s="330" t="s">
        <v>369</v>
      </c>
      <c r="AN13" s="330" t="s">
        <v>369</v>
      </c>
      <c r="AP13" s="331">
        <v>45189</v>
      </c>
      <c r="AQ13" s="331">
        <v>45245</v>
      </c>
      <c r="AR13" s="331">
        <v>45245</v>
      </c>
      <c r="AS13" s="324">
        <v>242</v>
      </c>
      <c r="AT13" s="326">
        <f t="shared" ref="AT13:AT46" si="8">AU13+AV13+AX13+AY13</f>
        <v>2684.4</v>
      </c>
      <c r="AU13" s="326">
        <v>1539.74</v>
      </c>
      <c r="AV13" s="326">
        <v>4.87</v>
      </c>
      <c r="AW13" s="326">
        <f t="shared" si="7"/>
        <v>6.38</v>
      </c>
      <c r="AX13" s="326">
        <v>1139.24</v>
      </c>
      <c r="AY13" s="326">
        <v>0.55000000000000004</v>
      </c>
      <c r="AZ13" s="275"/>
      <c r="BA13" s="1018"/>
      <c r="BB13" s="343" t="s">
        <v>99</v>
      </c>
      <c r="BC13" s="332"/>
      <c r="BD13" s="321"/>
      <c r="BE13" s="320"/>
      <c r="BF13" s="321"/>
      <c r="BG13" s="320"/>
      <c r="BH13" s="321"/>
      <c r="BI13" s="344">
        <f>BI10+BI11+BI12</f>
        <v>650.77999999999986</v>
      </c>
      <c r="BJ13" s="177"/>
      <c r="BK13" s="332" t="s">
        <v>99</v>
      </c>
      <c r="BL13" s="332"/>
      <c r="BM13" s="321"/>
      <c r="BN13" s="320"/>
      <c r="BO13" s="321"/>
      <c r="BP13" s="320"/>
      <c r="BQ13" s="321"/>
      <c r="BR13" s="344">
        <f>BR10+BR11+BR12</f>
        <v>12389.142</v>
      </c>
      <c r="BS13" s="1018"/>
      <c r="BU13" s="132" t="s">
        <v>327</v>
      </c>
      <c r="BV13" s="135"/>
      <c r="BW13" s="135"/>
      <c r="BX13" s="135"/>
      <c r="BY13" s="135"/>
      <c r="BZ13" s="135"/>
      <c r="CA13" s="135"/>
    </row>
    <row r="14" spans="1:80" s="96" customFormat="1" x14ac:dyDescent="0.25">
      <c r="A14" s="93">
        <v>45197</v>
      </c>
      <c r="B14" s="94" t="s">
        <v>100</v>
      </c>
      <c r="C14" s="95">
        <v>2416.7820000000002</v>
      </c>
      <c r="D14" s="95">
        <v>0</v>
      </c>
      <c r="E14" s="95">
        <v>5955.0739999999996</v>
      </c>
      <c r="F14" s="95">
        <v>3872.337</v>
      </c>
      <c r="G14" s="95">
        <v>1736.355</v>
      </c>
      <c r="H14" s="95">
        <v>1818.171</v>
      </c>
      <c r="I14" s="95">
        <v>3967.6669999999999</v>
      </c>
      <c r="J14" s="95">
        <v>2678.9810000000002</v>
      </c>
      <c r="K14" s="95">
        <v>2211.8220000000001</v>
      </c>
      <c r="L14" s="95">
        <v>2017.308</v>
      </c>
      <c r="M14" s="95">
        <v>1938.5709999999999</v>
      </c>
      <c r="N14" s="95">
        <v>2804.4560000000001</v>
      </c>
      <c r="O14" s="95">
        <v>882.83900000000006</v>
      </c>
      <c r="P14" s="95">
        <v>5251.34</v>
      </c>
      <c r="Q14" s="95">
        <v>3227.3719999999998</v>
      </c>
      <c r="R14" s="95">
        <f t="shared" si="6"/>
        <v>40779.074999999997</v>
      </c>
      <c r="S14" s="95"/>
      <c r="U14" s="201"/>
      <c r="V14" s="333">
        <v>601</v>
      </c>
      <c r="W14" s="334">
        <v>1.2999999999999999E-2</v>
      </c>
      <c r="X14" s="334">
        <v>1.6E-2</v>
      </c>
      <c r="Y14" s="334">
        <v>1.4E-2</v>
      </c>
      <c r="Z14" s="334">
        <v>1.0999999999999999E-2</v>
      </c>
      <c r="AA14" s="173">
        <v>1.0999999999999999E-2</v>
      </c>
      <c r="AB14" s="173">
        <v>2.1999999999999999E-2</v>
      </c>
      <c r="AC14" s="485">
        <v>2.5000000000000001E-2</v>
      </c>
      <c r="AD14" s="485">
        <v>1.4E-2</v>
      </c>
      <c r="AE14" s="485">
        <v>1.7000000000000001E-2</v>
      </c>
      <c r="AF14" s="334"/>
      <c r="AG14" s="227"/>
      <c r="AJ14" s="329" t="s">
        <v>369</v>
      </c>
      <c r="AK14" s="330" t="s">
        <v>369</v>
      </c>
      <c r="AL14" s="330" t="s">
        <v>369</v>
      </c>
      <c r="AM14" s="330" t="s">
        <v>369</v>
      </c>
      <c r="AN14" s="330" t="s">
        <v>369</v>
      </c>
      <c r="AP14" s="345">
        <v>45222</v>
      </c>
      <c r="AQ14" s="331">
        <v>45275</v>
      </c>
      <c r="AR14" s="331">
        <v>45275</v>
      </c>
      <c r="AS14" s="324">
        <v>239</v>
      </c>
      <c r="AT14" s="326">
        <f t="shared" si="8"/>
        <v>2634.4900000000002</v>
      </c>
      <c r="AU14" s="326">
        <v>1511.21</v>
      </c>
      <c r="AV14" s="326">
        <v>4.6399999999999997</v>
      </c>
      <c r="AW14" s="326">
        <f t="shared" si="7"/>
        <v>6.34</v>
      </c>
      <c r="AX14" s="326">
        <v>1118.1199999999999</v>
      </c>
      <c r="AY14" s="326">
        <v>0.52</v>
      </c>
      <c r="AZ14" s="275"/>
      <c r="BA14" s="1018"/>
      <c r="BB14" s="298" t="s">
        <v>316</v>
      </c>
      <c r="BC14" s="346"/>
      <c r="BD14" s="347"/>
      <c r="BE14" s="348"/>
      <c r="BF14" s="347"/>
      <c r="BG14" s="349"/>
      <c r="BH14" s="298">
        <v>5021</v>
      </c>
      <c r="BI14" s="350" t="s">
        <v>317</v>
      </c>
      <c r="BJ14" s="178"/>
      <c r="BK14" s="298" t="s">
        <v>325</v>
      </c>
      <c r="BL14" s="346"/>
      <c r="BM14" s="347"/>
      <c r="BN14" s="348"/>
      <c r="BO14" s="347"/>
      <c r="BP14" s="349"/>
      <c r="BQ14" s="351">
        <v>5657</v>
      </c>
      <c r="BR14" s="352" t="s">
        <v>317</v>
      </c>
      <c r="BS14" s="1018"/>
      <c r="BU14" s="143" t="s">
        <v>137</v>
      </c>
      <c r="BV14" s="135"/>
      <c r="BW14" s="135"/>
      <c r="BX14" s="135"/>
      <c r="BY14" s="135"/>
      <c r="BZ14" s="135"/>
      <c r="CA14" s="135"/>
    </row>
    <row r="15" spans="1:80" s="96" customFormat="1" x14ac:dyDescent="0.25">
      <c r="A15" s="93">
        <v>45227</v>
      </c>
      <c r="B15" s="94" t="s">
        <v>100</v>
      </c>
      <c r="C15" s="95">
        <v>2436.8310000000001</v>
      </c>
      <c r="D15" s="95">
        <v>0</v>
      </c>
      <c r="E15" s="95">
        <v>5972.8209999999999</v>
      </c>
      <c r="F15" s="95">
        <v>3892.0279999999998</v>
      </c>
      <c r="G15" s="95">
        <v>1750.664</v>
      </c>
      <c r="H15" s="95">
        <v>1835.107</v>
      </c>
      <c r="I15" s="95">
        <v>3987.57</v>
      </c>
      <c r="J15" s="95">
        <v>2690.9560000000001</v>
      </c>
      <c r="K15" s="95">
        <v>2223.174</v>
      </c>
      <c r="L15" s="95">
        <v>2028.3520000000001</v>
      </c>
      <c r="M15" s="95">
        <v>1943.7570000000001</v>
      </c>
      <c r="N15" s="95">
        <v>2814.3679999999999</v>
      </c>
      <c r="O15" s="95">
        <v>885.62900000000002</v>
      </c>
      <c r="P15" s="95">
        <v>5260.2439999999997</v>
      </c>
      <c r="Q15" s="95">
        <v>3243.3870000000002</v>
      </c>
      <c r="R15" s="95">
        <f t="shared" si="6"/>
        <v>40964.887999999999</v>
      </c>
      <c r="S15" s="95"/>
      <c r="U15" s="201"/>
      <c r="V15" s="333">
        <v>602</v>
      </c>
      <c r="W15" s="334">
        <v>4.4999999999999998E-2</v>
      </c>
      <c r="X15" s="334">
        <v>7.5999999999999998E-2</v>
      </c>
      <c r="Y15" s="334">
        <v>7.4999999999999997E-2</v>
      </c>
      <c r="Z15" s="334">
        <v>8.6999999999999994E-2</v>
      </c>
      <c r="AA15" s="173">
        <v>5.8999999999999997E-2</v>
      </c>
      <c r="AB15" s="173">
        <v>9.2999999999999999E-2</v>
      </c>
      <c r="AC15" s="485">
        <v>6.0000000000000001E-3</v>
      </c>
      <c r="AD15" s="485">
        <v>2.1000000000000001E-2</v>
      </c>
      <c r="AE15" s="485">
        <v>3.0000000000000001E-3</v>
      </c>
      <c r="AF15" s="334"/>
      <c r="AG15" s="227"/>
      <c r="AJ15" s="329" t="s">
        <v>369</v>
      </c>
      <c r="AK15" s="330" t="s">
        <v>369</v>
      </c>
      <c r="AL15" s="330" t="s">
        <v>369</v>
      </c>
      <c r="AM15" s="330" t="s">
        <v>369</v>
      </c>
      <c r="AN15" s="330" t="s">
        <v>369</v>
      </c>
      <c r="AP15" s="317">
        <v>45253</v>
      </c>
      <c r="AQ15" s="317">
        <v>45306</v>
      </c>
      <c r="AR15" s="317">
        <v>45306</v>
      </c>
      <c r="AS15" s="339">
        <v>246</v>
      </c>
      <c r="AT15" s="341">
        <f t="shared" si="8"/>
        <v>2749.9100000000003</v>
      </c>
      <c r="AU15" s="341">
        <v>1577.79</v>
      </c>
      <c r="AV15" s="341">
        <v>4.25</v>
      </c>
      <c r="AW15" s="341">
        <f t="shared" si="7"/>
        <v>6.43</v>
      </c>
      <c r="AX15" s="341">
        <v>1167.3900000000001</v>
      </c>
      <c r="AY15" s="341">
        <v>0.48</v>
      </c>
      <c r="AZ15" s="276"/>
      <c r="BA15" s="1018"/>
      <c r="BB15" s="298" t="s">
        <v>318</v>
      </c>
      <c r="BC15" s="346"/>
      <c r="BD15" s="347"/>
      <c r="BE15" s="348"/>
      <c r="BF15" s="347"/>
      <c r="BG15" s="349"/>
      <c r="BH15" s="351">
        <v>5362</v>
      </c>
      <c r="BI15" s="352" t="s">
        <v>317</v>
      </c>
      <c r="BJ15" s="178"/>
      <c r="BK15" s="298" t="s">
        <v>319</v>
      </c>
      <c r="BL15" s="346"/>
      <c r="BM15" s="347"/>
      <c r="BN15" s="348"/>
      <c r="BO15" s="347"/>
      <c r="BP15" s="349"/>
      <c r="BQ15" s="351">
        <f>BH15</f>
        <v>5362</v>
      </c>
      <c r="BR15" s="352" t="s">
        <v>317</v>
      </c>
      <c r="BS15" s="1018"/>
      <c r="BU15" s="143" t="s">
        <v>138</v>
      </c>
      <c r="BV15" s="135"/>
      <c r="BW15" s="135"/>
      <c r="BX15" s="135"/>
      <c r="BY15" s="135"/>
      <c r="BZ15" s="135"/>
      <c r="CA15" s="135"/>
    </row>
    <row r="16" spans="1:80" s="96" customFormat="1" ht="15" customHeight="1" x14ac:dyDescent="0.25">
      <c r="A16" s="93">
        <v>45258</v>
      </c>
      <c r="B16" s="94" t="s">
        <v>100</v>
      </c>
      <c r="C16" s="95">
        <v>2455.7269999999999</v>
      </c>
      <c r="D16" s="95">
        <v>0</v>
      </c>
      <c r="E16" s="95">
        <v>6004.3680000000004</v>
      </c>
      <c r="F16" s="95">
        <v>3909.5880000000002</v>
      </c>
      <c r="G16" s="95">
        <v>1769.3610000000001</v>
      </c>
      <c r="H16" s="95">
        <v>1854.2080000000001</v>
      </c>
      <c r="I16" s="95">
        <v>4010.335</v>
      </c>
      <c r="J16" s="95">
        <v>2703.9059999999999</v>
      </c>
      <c r="K16" s="95">
        <v>2237.7080000000001</v>
      </c>
      <c r="L16" s="95">
        <v>2043.8820000000001</v>
      </c>
      <c r="M16" s="95">
        <v>1952.1559999999999</v>
      </c>
      <c r="N16" s="95">
        <v>2825.2109999999998</v>
      </c>
      <c r="O16" s="95">
        <v>888.71900000000005</v>
      </c>
      <c r="P16" s="95">
        <v>5262.0309999999999</v>
      </c>
      <c r="Q16" s="95">
        <v>3262.1619999999998</v>
      </c>
      <c r="R16" s="95">
        <f t="shared" si="6"/>
        <v>41179.362000000001</v>
      </c>
      <c r="S16" s="95"/>
      <c r="U16" s="201"/>
      <c r="V16" s="333">
        <v>701</v>
      </c>
      <c r="W16" s="334">
        <v>5.7000000000000002E-2</v>
      </c>
      <c r="X16" s="334">
        <v>5.6000000000000001E-2</v>
      </c>
      <c r="Y16" s="334">
        <v>6.0999999999999999E-2</v>
      </c>
      <c r="Z16" s="334">
        <v>5.7000000000000002E-2</v>
      </c>
      <c r="AA16" s="173">
        <v>6.4000000000000001E-2</v>
      </c>
      <c r="AB16" s="173">
        <v>7.0000000000000007E-2</v>
      </c>
      <c r="AC16" s="485">
        <v>5.8999999999999997E-2</v>
      </c>
      <c r="AD16" s="485">
        <v>5.6000000000000001E-2</v>
      </c>
      <c r="AE16" s="485">
        <v>5.8999999999999997E-2</v>
      </c>
      <c r="AF16" s="334"/>
      <c r="AG16" s="227"/>
      <c r="AJ16" s="329" t="s">
        <v>369</v>
      </c>
      <c r="AK16" s="330" t="s">
        <v>369</v>
      </c>
      <c r="AL16" s="330" t="s">
        <v>369</v>
      </c>
      <c r="AM16" s="330" t="s">
        <v>369</v>
      </c>
      <c r="AN16" s="330" t="s">
        <v>369</v>
      </c>
      <c r="AP16" s="317">
        <v>45281</v>
      </c>
      <c r="AQ16" s="317">
        <v>45337</v>
      </c>
      <c r="AR16" s="317">
        <v>45337</v>
      </c>
      <c r="AS16" s="339">
        <v>243</v>
      </c>
      <c r="AT16" s="341">
        <f t="shared" si="8"/>
        <v>2699.88</v>
      </c>
      <c r="AU16" s="341">
        <v>1549.26</v>
      </c>
      <c r="AV16" s="341">
        <v>3.9</v>
      </c>
      <c r="AW16" s="341">
        <f t="shared" si="7"/>
        <v>6.39</v>
      </c>
      <c r="AX16" s="341">
        <v>1146.28</v>
      </c>
      <c r="AY16" s="341">
        <v>0.44</v>
      </c>
      <c r="AZ16" s="276"/>
      <c r="BA16" s="1018"/>
      <c r="BB16" s="298" t="s">
        <v>320</v>
      </c>
      <c r="BC16" s="346"/>
      <c r="BD16" s="347"/>
      <c r="BE16" s="348"/>
      <c r="BF16" s="347"/>
      <c r="BG16" s="349"/>
      <c r="BH16" s="351">
        <v>5001</v>
      </c>
      <c r="BI16" s="352" t="s">
        <v>317</v>
      </c>
      <c r="BJ16" s="178"/>
      <c r="BK16" s="353" t="s">
        <v>321</v>
      </c>
      <c r="BL16" s="354"/>
      <c r="BM16" s="354"/>
      <c r="BN16" s="354"/>
      <c r="BO16" s="354"/>
      <c r="BP16" s="355"/>
      <c r="BQ16" s="351">
        <f>BQ14-BQ15</f>
        <v>295</v>
      </c>
      <c r="BR16" s="352" t="s">
        <v>317</v>
      </c>
      <c r="BS16" s="1018"/>
      <c r="BU16" s="138" t="s">
        <v>139</v>
      </c>
      <c r="BV16" s="135"/>
      <c r="BW16" s="135"/>
      <c r="BX16" s="135"/>
      <c r="BY16" s="135"/>
      <c r="BZ16" s="135"/>
      <c r="CA16" s="135"/>
    </row>
    <row r="17" spans="1:71" s="96" customFormat="1" ht="22.5" customHeight="1" x14ac:dyDescent="0.25">
      <c r="A17" s="93">
        <v>45288</v>
      </c>
      <c r="B17" s="94" t="s">
        <v>100</v>
      </c>
      <c r="C17" s="95">
        <v>2474.42</v>
      </c>
      <c r="D17" s="95">
        <v>0</v>
      </c>
      <c r="E17" s="95">
        <v>6053.424</v>
      </c>
      <c r="F17" s="95">
        <v>3931.0770000000002</v>
      </c>
      <c r="G17" s="95">
        <v>1784.135</v>
      </c>
      <c r="H17" s="95">
        <v>1871.797</v>
      </c>
      <c r="I17" s="95">
        <v>4032.6309999999999</v>
      </c>
      <c r="J17" s="95">
        <v>2715.0529999999999</v>
      </c>
      <c r="K17" s="95">
        <v>2250.8440000000001</v>
      </c>
      <c r="L17" s="95">
        <v>2059.5680000000002</v>
      </c>
      <c r="M17" s="95">
        <v>1968.0129999999999</v>
      </c>
      <c r="N17" s="95">
        <v>2836.3789999999999</v>
      </c>
      <c r="O17" s="95">
        <v>891.61800000000005</v>
      </c>
      <c r="P17" s="95">
        <v>5265.8549999999996</v>
      </c>
      <c r="Q17" s="95">
        <v>3281.0349999999999</v>
      </c>
      <c r="R17" s="95">
        <f t="shared" si="6"/>
        <v>41415.849000000002</v>
      </c>
      <c r="S17" s="95"/>
      <c r="U17" s="201"/>
      <c r="V17" s="333">
        <v>702</v>
      </c>
      <c r="W17" s="334">
        <v>2.3E-2</v>
      </c>
      <c r="X17" s="334">
        <v>2.5999999999999999E-2</v>
      </c>
      <c r="Y17" s="334">
        <v>2.9000000000000001E-2</v>
      </c>
      <c r="Z17" s="334">
        <v>2.7E-2</v>
      </c>
      <c r="AA17" s="173">
        <v>2.8000000000000001E-2</v>
      </c>
      <c r="AB17" s="173">
        <v>3.1E-2</v>
      </c>
      <c r="AC17" s="485">
        <v>3.4000000000000002E-2</v>
      </c>
      <c r="AD17" s="485">
        <v>2.5999999999999999E-2</v>
      </c>
      <c r="AE17" s="485">
        <v>3.1E-2</v>
      </c>
      <c r="AF17" s="334"/>
      <c r="AG17" s="227"/>
      <c r="AJ17" s="329" t="s">
        <v>369</v>
      </c>
      <c r="AK17" s="330" t="s">
        <v>369</v>
      </c>
      <c r="AL17" s="330" t="s">
        <v>369</v>
      </c>
      <c r="AM17" s="330" t="s">
        <v>369</v>
      </c>
      <c r="AN17" s="330" t="s">
        <v>369</v>
      </c>
      <c r="AP17" s="317">
        <v>45313</v>
      </c>
      <c r="AQ17" s="317">
        <v>45366</v>
      </c>
      <c r="AR17" s="317">
        <v>45366</v>
      </c>
      <c r="AS17" s="339">
        <v>293</v>
      </c>
      <c r="AT17" s="341">
        <f t="shared" si="8"/>
        <v>3689.8399999999997</v>
      </c>
      <c r="AU17" s="341">
        <v>2117.9899999999998</v>
      </c>
      <c r="AV17" s="341">
        <v>4.1500000000000004</v>
      </c>
      <c r="AW17" s="341">
        <f t="shared" si="7"/>
        <v>7.24</v>
      </c>
      <c r="AX17" s="341">
        <v>1567.23</v>
      </c>
      <c r="AY17" s="341">
        <v>0.47</v>
      </c>
      <c r="AZ17" s="276"/>
      <c r="BA17" s="1018"/>
      <c r="BB17" s="353" t="s">
        <v>321</v>
      </c>
      <c r="BC17" s="354"/>
      <c r="BD17" s="354"/>
      <c r="BE17" s="354"/>
      <c r="BF17" s="354"/>
      <c r="BG17" s="355"/>
      <c r="BH17" s="351">
        <f>BH15-BH16</f>
        <v>361</v>
      </c>
      <c r="BI17" s="352" t="s">
        <v>317</v>
      </c>
      <c r="BJ17" s="131"/>
      <c r="BK17" s="130"/>
      <c r="BL17" s="130"/>
      <c r="BM17" s="130"/>
      <c r="BN17" s="130"/>
      <c r="BO17" s="130"/>
      <c r="BP17" s="130"/>
      <c r="BQ17" s="130"/>
      <c r="BR17" s="130"/>
      <c r="BS17" s="1018"/>
    </row>
    <row r="18" spans="1:71" s="96" customFormat="1" x14ac:dyDescent="0.25">
      <c r="A18" s="93">
        <v>45319</v>
      </c>
      <c r="B18" s="94" t="s">
        <v>100</v>
      </c>
      <c r="C18" s="95">
        <v>2491.8209999999999</v>
      </c>
      <c r="D18" s="95">
        <v>0</v>
      </c>
      <c r="E18" s="95">
        <v>6102.3680000000004</v>
      </c>
      <c r="F18" s="95">
        <v>3953.12</v>
      </c>
      <c r="G18" s="95">
        <v>1800.569</v>
      </c>
      <c r="H18" s="95">
        <v>1885.7239999999999</v>
      </c>
      <c r="I18" s="95">
        <v>4058.1370000000002</v>
      </c>
      <c r="J18" s="95">
        <v>2726.8609999999999</v>
      </c>
      <c r="K18" s="95">
        <v>2265.9140000000002</v>
      </c>
      <c r="L18" s="95">
        <v>2075.5909999999999</v>
      </c>
      <c r="M18" s="95">
        <v>1994.2719999999999</v>
      </c>
      <c r="N18" s="95">
        <v>2850.0349999999999</v>
      </c>
      <c r="O18" s="95">
        <v>894.55799999999999</v>
      </c>
      <c r="P18" s="95">
        <v>5267.9960000000001</v>
      </c>
      <c r="Q18" s="95">
        <v>3300.08</v>
      </c>
      <c r="R18" s="95">
        <f t="shared" si="6"/>
        <v>41667.046000000002</v>
      </c>
      <c r="S18" s="95"/>
      <c r="U18" s="201"/>
      <c r="V18" s="333">
        <v>801</v>
      </c>
      <c r="W18" s="334">
        <v>0.02</v>
      </c>
      <c r="X18" s="334">
        <v>1.7000000000000001E-2</v>
      </c>
      <c r="Y18" s="334">
        <v>1.4999999999999999E-2</v>
      </c>
      <c r="Z18" s="334">
        <v>1.4E-2</v>
      </c>
      <c r="AA18" s="173">
        <v>1.6E-2</v>
      </c>
      <c r="AB18" s="173">
        <v>2.4E-2</v>
      </c>
      <c r="AC18" s="485">
        <v>2.1000000000000001E-2</v>
      </c>
      <c r="AD18" s="485">
        <v>2.1999999999999999E-2</v>
      </c>
      <c r="AE18" s="485">
        <v>0.02</v>
      </c>
      <c r="AF18" s="334"/>
      <c r="AG18" s="227"/>
      <c r="AJ18" s="329" t="s">
        <v>369</v>
      </c>
      <c r="AK18" s="330" t="s">
        <v>369</v>
      </c>
      <c r="AL18" s="330" t="s">
        <v>369</v>
      </c>
      <c r="AM18" s="330" t="s">
        <v>369</v>
      </c>
      <c r="AN18" s="330" t="s">
        <v>369</v>
      </c>
      <c r="AP18" s="317">
        <v>45342</v>
      </c>
      <c r="AQ18" s="317">
        <v>45397</v>
      </c>
      <c r="AR18" s="317">
        <v>45397</v>
      </c>
      <c r="AS18" s="339">
        <v>251</v>
      </c>
      <c r="AT18" s="341">
        <f t="shared" si="8"/>
        <v>2951.83</v>
      </c>
      <c r="AU18" s="341">
        <v>1693.72</v>
      </c>
      <c r="AV18" s="341">
        <v>4.3</v>
      </c>
      <c r="AW18" s="341">
        <f t="shared" si="7"/>
        <v>6.77</v>
      </c>
      <c r="AX18" s="341">
        <v>1253.32</v>
      </c>
      <c r="AY18" s="341">
        <v>0.49</v>
      </c>
      <c r="AZ18" s="276"/>
      <c r="BA18" s="1018"/>
      <c r="BB18" s="179"/>
      <c r="BC18" s="130"/>
      <c r="BD18" s="130"/>
      <c r="BE18" s="130"/>
      <c r="BF18" s="130"/>
      <c r="BG18" s="131"/>
      <c r="BH18" s="139"/>
      <c r="BI18" s="139"/>
      <c r="BJ18" s="131"/>
      <c r="BK18" s="179"/>
      <c r="BL18" s="130"/>
      <c r="BM18" s="130"/>
      <c r="BN18" s="130"/>
      <c r="BO18" s="130"/>
      <c r="BP18" s="131"/>
      <c r="BQ18" s="139"/>
      <c r="BR18" s="139"/>
      <c r="BS18" s="1018"/>
    </row>
    <row r="19" spans="1:71" s="96" customFormat="1" ht="15" customHeight="1" x14ac:dyDescent="0.2">
      <c r="A19" s="93">
        <v>45350</v>
      </c>
      <c r="B19" s="94" t="s">
        <v>100</v>
      </c>
      <c r="C19" s="95">
        <v>2505.8090000000002</v>
      </c>
      <c r="D19" s="95">
        <v>0</v>
      </c>
      <c r="E19" s="95">
        <v>6151.25</v>
      </c>
      <c r="F19" s="95">
        <v>3971.944</v>
      </c>
      <c r="G19" s="95">
        <v>1815.415</v>
      </c>
      <c r="H19" s="95">
        <v>1905.788</v>
      </c>
      <c r="I19" s="95">
        <v>4084.6030000000001</v>
      </c>
      <c r="J19" s="95">
        <v>2737.65</v>
      </c>
      <c r="K19" s="95">
        <v>2281.4659999999999</v>
      </c>
      <c r="L19" s="95">
        <v>2090.5509999999999</v>
      </c>
      <c r="M19" s="95">
        <v>2001.2760000000001</v>
      </c>
      <c r="N19" s="95">
        <v>2861.248</v>
      </c>
      <c r="O19" s="95">
        <v>898.34799999999996</v>
      </c>
      <c r="P19" s="95">
        <v>5268.2420000000002</v>
      </c>
      <c r="Q19" s="95">
        <v>3317.7550000000001</v>
      </c>
      <c r="R19" s="95">
        <f t="shared" si="6"/>
        <v>41891.345000000001</v>
      </c>
      <c r="S19" s="95"/>
      <c r="U19" s="201"/>
      <c r="V19" s="333">
        <v>802</v>
      </c>
      <c r="W19" s="334">
        <v>5.6000000000000001E-2</v>
      </c>
      <c r="X19" s="334">
        <v>4.9000000000000002E-2</v>
      </c>
      <c r="Y19" s="334">
        <v>3.6999999999999998E-2</v>
      </c>
      <c r="Z19" s="334">
        <v>3.5999999999999997E-2</v>
      </c>
      <c r="AA19" s="173">
        <v>4.1000000000000002E-2</v>
      </c>
      <c r="AB19" s="173">
        <v>6.6000000000000003E-2</v>
      </c>
      <c r="AC19" s="485">
        <v>6.2E-2</v>
      </c>
      <c r="AD19" s="485">
        <v>5.1999999999999998E-2</v>
      </c>
      <c r="AE19" s="485">
        <v>6.2E-2</v>
      </c>
      <c r="AF19" s="334"/>
      <c r="AG19" s="227"/>
      <c r="AJ19" s="329" t="s">
        <v>369</v>
      </c>
      <c r="AK19" s="330" t="s">
        <v>369</v>
      </c>
      <c r="AL19" s="330" t="s">
        <v>369</v>
      </c>
      <c r="AM19" s="330" t="s">
        <v>369</v>
      </c>
      <c r="AN19" s="330" t="s">
        <v>369</v>
      </c>
      <c r="AP19" s="317">
        <v>45370</v>
      </c>
      <c r="AQ19" s="317">
        <v>45427</v>
      </c>
      <c r="AR19" s="317">
        <v>45427</v>
      </c>
      <c r="AS19" s="339">
        <v>256</v>
      </c>
      <c r="AT19" s="341">
        <f t="shared" si="8"/>
        <v>3039.1699999999996</v>
      </c>
      <c r="AU19" s="341">
        <v>1743.28</v>
      </c>
      <c r="AV19" s="341">
        <v>5.3</v>
      </c>
      <c r="AW19" s="341">
        <f t="shared" si="7"/>
        <v>6.83</v>
      </c>
      <c r="AX19" s="341">
        <v>1289.99</v>
      </c>
      <c r="AY19" s="341">
        <v>0.6</v>
      </c>
      <c r="AZ19" s="276"/>
      <c r="BA19" s="1018"/>
      <c r="BB19" s="356" t="s">
        <v>323</v>
      </c>
      <c r="BC19" s="299"/>
      <c r="BD19" s="299"/>
      <c r="BE19" s="299"/>
      <c r="BF19" s="299"/>
      <c r="BG19" s="299"/>
      <c r="BH19" s="299"/>
      <c r="BI19" s="300"/>
      <c r="BJ19" s="131"/>
      <c r="BK19" s="357" t="s">
        <v>324</v>
      </c>
      <c r="BL19" s="301"/>
      <c r="BM19" s="301"/>
      <c r="BN19" s="301"/>
      <c r="BO19" s="301"/>
      <c r="BP19" s="301"/>
      <c r="BQ19" s="358"/>
      <c r="BR19" s="359"/>
      <c r="BS19" s="1018"/>
    </row>
    <row r="20" spans="1:71" s="96" customFormat="1" ht="15" customHeight="1" x14ac:dyDescent="0.2">
      <c r="A20" s="93">
        <v>45379</v>
      </c>
      <c r="B20" s="94" t="s">
        <v>100</v>
      </c>
      <c r="C20" s="95">
        <v>2523.9079999999999</v>
      </c>
      <c r="D20" s="95">
        <v>0</v>
      </c>
      <c r="E20" s="95">
        <v>6192.33</v>
      </c>
      <c r="F20" s="95">
        <v>3991.9189999999999</v>
      </c>
      <c r="G20" s="95">
        <v>1830.7170000000001</v>
      </c>
      <c r="H20" s="95">
        <v>1918.385</v>
      </c>
      <c r="I20" s="95">
        <v>4101.951</v>
      </c>
      <c r="J20" s="95">
        <v>2748.7530000000002</v>
      </c>
      <c r="K20" s="95">
        <v>2297.261</v>
      </c>
      <c r="L20" s="95">
        <v>2101.5160000000001</v>
      </c>
      <c r="M20" s="95">
        <v>2023.6420000000001</v>
      </c>
      <c r="N20" s="95">
        <v>2874.74</v>
      </c>
      <c r="O20" s="95">
        <v>903.36500000000001</v>
      </c>
      <c r="P20" s="95">
        <v>5269.7560000000003</v>
      </c>
      <c r="Q20" s="95">
        <v>3336.855</v>
      </c>
      <c r="R20" s="95">
        <f t="shared" ref="R20:R28" si="9">SUM(C20:Q20)</f>
        <v>42115.097999999998</v>
      </c>
      <c r="S20" s="95"/>
      <c r="T20" s="89"/>
      <c r="U20" s="201"/>
      <c r="V20" s="360" t="s">
        <v>99</v>
      </c>
      <c r="W20" s="361">
        <f t="shared" ref="W20:AD20" si="10">SUM(W4:W19)</f>
        <v>0.92700000000000027</v>
      </c>
      <c r="X20" s="361">
        <f t="shared" si="10"/>
        <v>0.99900000000000011</v>
      </c>
      <c r="Y20" s="361">
        <f t="shared" si="10"/>
        <v>1</v>
      </c>
      <c r="Z20" s="361">
        <f t="shared" si="10"/>
        <v>1</v>
      </c>
      <c r="AA20" s="361">
        <f t="shared" si="10"/>
        <v>0.99999999999999989</v>
      </c>
      <c r="AB20" s="152">
        <f t="shared" si="10"/>
        <v>1</v>
      </c>
      <c r="AC20" s="525">
        <f t="shared" si="10"/>
        <v>1</v>
      </c>
      <c r="AD20" s="525">
        <f t="shared" si="10"/>
        <v>1.0000000000000002</v>
      </c>
      <c r="AE20" s="525">
        <f t="shared" ref="AE20:AF20" si="11">SUM(AE4:AE19)</f>
        <v>1</v>
      </c>
      <c r="AF20" s="361">
        <f t="shared" si="11"/>
        <v>0</v>
      </c>
      <c r="AG20" s="227"/>
      <c r="AJ20" s="329" t="s">
        <v>369</v>
      </c>
      <c r="AK20" s="330" t="s">
        <v>369</v>
      </c>
      <c r="AL20" s="330" t="s">
        <v>369</v>
      </c>
      <c r="AM20" s="330" t="s">
        <v>369</v>
      </c>
      <c r="AN20" s="330" t="s">
        <v>369</v>
      </c>
      <c r="AP20" s="317">
        <v>45400</v>
      </c>
      <c r="AQ20" s="317">
        <v>45460</v>
      </c>
      <c r="AR20" s="317">
        <v>45460</v>
      </c>
      <c r="AS20" s="339">
        <v>289</v>
      </c>
      <c r="AT20" s="341">
        <f t="shared" si="8"/>
        <v>3649.8999999999996</v>
      </c>
      <c r="AU20" s="341">
        <v>2094.6</v>
      </c>
      <c r="AV20" s="341">
        <v>4.79</v>
      </c>
      <c r="AW20" s="341">
        <f t="shared" si="7"/>
        <v>7.26</v>
      </c>
      <c r="AX20" s="341">
        <v>1549.97</v>
      </c>
      <c r="AY20" s="341">
        <v>0.54</v>
      </c>
      <c r="AZ20" s="276"/>
      <c r="BA20" s="1018"/>
      <c r="BB20" s="310" t="s">
        <v>115</v>
      </c>
      <c r="BC20" s="310" t="s">
        <v>116</v>
      </c>
      <c r="BD20" s="310" t="s">
        <v>117</v>
      </c>
      <c r="BE20" s="310" t="s">
        <v>118</v>
      </c>
      <c r="BF20" s="310" t="s">
        <v>119</v>
      </c>
      <c r="BG20" s="310" t="s">
        <v>120</v>
      </c>
      <c r="BH20" s="310" t="s">
        <v>121</v>
      </c>
      <c r="BI20" s="310" t="s">
        <v>122</v>
      </c>
      <c r="BJ20" s="176"/>
      <c r="BK20" s="310" t="s">
        <v>115</v>
      </c>
      <c r="BL20" s="310" t="s">
        <v>116</v>
      </c>
      <c r="BM20" s="310" t="s">
        <v>117</v>
      </c>
      <c r="BN20" s="310" t="s">
        <v>118</v>
      </c>
      <c r="BO20" s="310" t="s">
        <v>119</v>
      </c>
      <c r="BP20" s="310" t="s">
        <v>120</v>
      </c>
      <c r="BQ20" s="310" t="s">
        <v>121</v>
      </c>
      <c r="BR20" s="310" t="s">
        <v>122</v>
      </c>
      <c r="BS20" s="1018"/>
    </row>
    <row r="21" spans="1:71" s="96" customFormat="1" ht="15" customHeight="1" x14ac:dyDescent="0.2">
      <c r="A21" s="93">
        <v>45411</v>
      </c>
      <c r="B21" s="94" t="s">
        <v>100</v>
      </c>
      <c r="C21" s="95">
        <v>2546.9760000000001</v>
      </c>
      <c r="D21" s="95">
        <v>0</v>
      </c>
      <c r="E21" s="95">
        <v>6237.3</v>
      </c>
      <c r="F21" s="95">
        <v>4018.7280000000001</v>
      </c>
      <c r="G21" s="95">
        <v>1849.796</v>
      </c>
      <c r="H21" s="95">
        <v>1928.6030000000001</v>
      </c>
      <c r="I21" s="95">
        <v>4117.2240000000002</v>
      </c>
      <c r="J21" s="95">
        <v>2758.828</v>
      </c>
      <c r="K21" s="95">
        <v>2320.0940000000001</v>
      </c>
      <c r="L21" s="95">
        <v>2124.2669999999998</v>
      </c>
      <c r="M21" s="95">
        <v>2052.4549999999999</v>
      </c>
      <c r="N21" s="95">
        <v>2893.0320000000002</v>
      </c>
      <c r="O21" s="95">
        <v>909.32</v>
      </c>
      <c r="P21" s="95">
        <v>5269.9440000000004</v>
      </c>
      <c r="Q21" s="95">
        <v>3353.9029999999998</v>
      </c>
      <c r="R21" s="95">
        <f t="shared" si="9"/>
        <v>42380.47</v>
      </c>
      <c r="S21" s="95"/>
      <c r="T21" s="89"/>
      <c r="U21" s="201"/>
      <c r="V21" s="362" t="s">
        <v>273</v>
      </c>
      <c r="W21" s="361">
        <v>1</v>
      </c>
      <c r="X21" s="361">
        <v>1</v>
      </c>
      <c r="Y21" s="361">
        <v>1</v>
      </c>
      <c r="Z21" s="361">
        <v>1</v>
      </c>
      <c r="AA21" s="361">
        <v>1</v>
      </c>
      <c r="AB21" s="152">
        <v>1</v>
      </c>
      <c r="AC21" s="525">
        <v>1</v>
      </c>
      <c r="AD21" s="525">
        <v>1</v>
      </c>
      <c r="AE21" s="525">
        <v>1</v>
      </c>
      <c r="AF21" s="361">
        <v>1</v>
      </c>
      <c r="AG21" s="227"/>
      <c r="AJ21" s="329" t="s">
        <v>369</v>
      </c>
      <c r="AK21" s="330" t="s">
        <v>369</v>
      </c>
      <c r="AL21" s="330" t="s">
        <v>369</v>
      </c>
      <c r="AM21" s="330" t="s">
        <v>369</v>
      </c>
      <c r="AN21" s="330" t="s">
        <v>369</v>
      </c>
      <c r="AP21" s="317">
        <v>45433</v>
      </c>
      <c r="AQ21" s="317">
        <v>45488</v>
      </c>
      <c r="AR21" s="317">
        <v>45488</v>
      </c>
      <c r="AS21" s="339">
        <v>302</v>
      </c>
      <c r="AT21" s="341">
        <f t="shared" si="8"/>
        <v>3935.17</v>
      </c>
      <c r="AU21" s="341">
        <v>2258.4899999999998</v>
      </c>
      <c r="AV21" s="341">
        <v>4.88</v>
      </c>
      <c r="AW21" s="341">
        <f t="shared" si="7"/>
        <v>7.49</v>
      </c>
      <c r="AX21" s="341">
        <v>1671.25</v>
      </c>
      <c r="AY21" s="341">
        <v>0.55000000000000004</v>
      </c>
      <c r="AZ21" s="276"/>
      <c r="BA21" s="1018"/>
      <c r="BB21" s="310" t="s">
        <v>123</v>
      </c>
      <c r="BC21" s="320"/>
      <c r="BD21" s="321"/>
      <c r="BE21" s="320"/>
      <c r="BF21" s="321">
        <v>316.39999999999998</v>
      </c>
      <c r="BG21" s="322"/>
      <c r="BH21" s="321">
        <v>233.94</v>
      </c>
      <c r="BI21" s="321">
        <f t="shared" ref="BI21:BI26" si="12">BF21+BH21</f>
        <v>550.33999999999992</v>
      </c>
      <c r="BJ21" s="177"/>
      <c r="BK21" s="320" t="s">
        <v>123</v>
      </c>
      <c r="BL21" s="320"/>
      <c r="BM21" s="321"/>
      <c r="BN21" s="320"/>
      <c r="BO21" s="321">
        <v>316.39999999999998</v>
      </c>
      <c r="BP21" s="322"/>
      <c r="BQ21" s="321">
        <v>233.94</v>
      </c>
      <c r="BR21" s="321">
        <f t="shared" ref="BR21:BR26" si="13">BO21+BQ21</f>
        <v>550.33999999999992</v>
      </c>
      <c r="BS21" s="1018"/>
    </row>
    <row r="22" spans="1:71" s="96" customFormat="1" ht="15" customHeight="1" x14ac:dyDescent="0.2">
      <c r="A22" s="93">
        <v>45441</v>
      </c>
      <c r="B22" s="94" t="s">
        <v>100</v>
      </c>
      <c r="C22" s="95">
        <v>2567.9259999999999</v>
      </c>
      <c r="D22" s="95">
        <v>0</v>
      </c>
      <c r="E22" s="95">
        <v>6280.3620000000001</v>
      </c>
      <c r="F22" s="95">
        <v>4045.1509999999998</v>
      </c>
      <c r="G22" s="95">
        <v>1871.71</v>
      </c>
      <c r="H22" s="95">
        <v>1943.2249999999999</v>
      </c>
      <c r="I22" s="95">
        <v>4138.4430000000002</v>
      </c>
      <c r="J22" s="95">
        <v>2765.393</v>
      </c>
      <c r="K22" s="95">
        <v>2329.7020000000002</v>
      </c>
      <c r="L22" s="95">
        <v>2140.0970000000002</v>
      </c>
      <c r="M22" s="95">
        <v>2061.5309999999999</v>
      </c>
      <c r="N22" s="95">
        <v>2916.9450000000002</v>
      </c>
      <c r="O22" s="95">
        <v>914.48400000000004</v>
      </c>
      <c r="P22" s="95">
        <v>5274.5940000000001</v>
      </c>
      <c r="Q22" s="95">
        <v>3368.6709999999998</v>
      </c>
      <c r="R22" s="95">
        <f t="shared" si="9"/>
        <v>42618.233999999997</v>
      </c>
      <c r="S22" s="95"/>
      <c r="T22" s="89"/>
      <c r="U22" s="202"/>
      <c r="V22" s="362" t="s">
        <v>273</v>
      </c>
      <c r="W22" s="363">
        <f t="shared" ref="W22:AD22" si="14">W20-W21</f>
        <v>-7.2999999999999732E-2</v>
      </c>
      <c r="X22" s="363">
        <f t="shared" si="14"/>
        <v>-9.9999999999988987E-4</v>
      </c>
      <c r="Y22" s="363">
        <f t="shared" si="14"/>
        <v>0</v>
      </c>
      <c r="Z22" s="363">
        <f t="shared" si="14"/>
        <v>0</v>
      </c>
      <c r="AA22" s="363">
        <f t="shared" si="14"/>
        <v>0</v>
      </c>
      <c r="AB22" s="175">
        <f t="shared" si="14"/>
        <v>0</v>
      </c>
      <c r="AC22" s="535">
        <f t="shared" si="14"/>
        <v>0</v>
      </c>
      <c r="AD22" s="535">
        <f t="shared" si="14"/>
        <v>0</v>
      </c>
      <c r="AE22" s="535">
        <f t="shared" ref="AE22:AF22" si="15">AE20-AE21</f>
        <v>0</v>
      </c>
      <c r="AF22" s="363">
        <f t="shared" si="15"/>
        <v>-1</v>
      </c>
      <c r="AG22" s="227"/>
      <c r="AJ22" s="329" t="s">
        <v>369</v>
      </c>
      <c r="AK22" s="330" t="s">
        <v>369</v>
      </c>
      <c r="AL22" s="330" t="s">
        <v>369</v>
      </c>
      <c r="AM22" s="330" t="s">
        <v>369</v>
      </c>
      <c r="AN22" s="330" t="s">
        <v>369</v>
      </c>
      <c r="AP22" s="317">
        <v>45463</v>
      </c>
      <c r="AQ22" s="317">
        <v>45519</v>
      </c>
      <c r="AR22" s="317">
        <v>45519</v>
      </c>
      <c r="AS22" s="339">
        <v>287</v>
      </c>
      <c r="AT22" s="341">
        <f t="shared" si="8"/>
        <v>3238.7200000000003</v>
      </c>
      <c r="AU22" s="341">
        <v>1852.3</v>
      </c>
      <c r="AV22" s="341">
        <v>12.45</v>
      </c>
      <c r="AW22" s="341">
        <f t="shared" si="7"/>
        <v>6.5</v>
      </c>
      <c r="AX22" s="341">
        <v>1370.67</v>
      </c>
      <c r="AY22" s="341">
        <v>3.3</v>
      </c>
      <c r="AZ22" s="276"/>
      <c r="BA22" s="1018"/>
      <c r="BB22" s="310" t="s">
        <v>124</v>
      </c>
      <c r="BC22" s="332">
        <v>5</v>
      </c>
      <c r="BD22" s="321">
        <v>70</v>
      </c>
      <c r="BE22" s="320">
        <v>2.34</v>
      </c>
      <c r="BF22" s="321">
        <f>ROUND(BD22*BE22,2)</f>
        <v>163.80000000000001</v>
      </c>
      <c r="BG22" s="320">
        <v>1.73</v>
      </c>
      <c r="BH22" s="321">
        <f>BD22*BG22</f>
        <v>121.1</v>
      </c>
      <c r="BI22" s="321">
        <f t="shared" si="12"/>
        <v>284.89999999999998</v>
      </c>
      <c r="BJ22" s="177"/>
      <c r="BK22" s="332" t="s">
        <v>124</v>
      </c>
      <c r="BL22" s="332">
        <v>5</v>
      </c>
      <c r="BM22" s="321">
        <v>70</v>
      </c>
      <c r="BN22" s="320">
        <v>2.34</v>
      </c>
      <c r="BO22" s="321">
        <f>ROUND(BM22*BN22,2)</f>
        <v>163.80000000000001</v>
      </c>
      <c r="BP22" s="320">
        <v>1.73</v>
      </c>
      <c r="BQ22" s="321">
        <f>BM22*BP22</f>
        <v>121.1</v>
      </c>
      <c r="BR22" s="321">
        <f t="shared" si="13"/>
        <v>284.89999999999998</v>
      </c>
      <c r="BS22" s="1018"/>
    </row>
    <row r="23" spans="1:71" s="96" customFormat="1" ht="15" customHeight="1" x14ac:dyDescent="0.25">
      <c r="A23" s="93">
        <v>45471</v>
      </c>
      <c r="B23" s="94" t="s">
        <v>100</v>
      </c>
      <c r="C23" s="95">
        <v>2587.6610000000001</v>
      </c>
      <c r="D23" s="95">
        <v>0</v>
      </c>
      <c r="E23" s="95">
        <v>6316.7650000000003</v>
      </c>
      <c r="F23" s="95">
        <v>4075.0569999999998</v>
      </c>
      <c r="G23" s="95">
        <v>1898.116</v>
      </c>
      <c r="H23" s="95">
        <v>1962.961</v>
      </c>
      <c r="I23" s="95">
        <v>4159.1130000000003</v>
      </c>
      <c r="J23" s="95">
        <v>2774.9140000000002</v>
      </c>
      <c r="K23" s="95">
        <v>2342.3609999999999</v>
      </c>
      <c r="L23" s="95">
        <v>2156.0880000000002</v>
      </c>
      <c r="M23" s="95">
        <v>2065.768</v>
      </c>
      <c r="N23" s="95">
        <v>2930.5770000000002</v>
      </c>
      <c r="O23" s="95">
        <v>918.50400000000002</v>
      </c>
      <c r="P23" s="95">
        <v>5278.0609999999997</v>
      </c>
      <c r="Q23" s="95">
        <v>3382.2089999999998</v>
      </c>
      <c r="R23" s="95">
        <f t="shared" si="9"/>
        <v>42848.155000000006</v>
      </c>
      <c r="S23" s="95"/>
      <c r="AF23" s="229"/>
      <c r="AG23" s="229"/>
      <c r="AJ23" s="329" t="s">
        <v>369</v>
      </c>
      <c r="AK23" s="330" t="s">
        <v>369</v>
      </c>
      <c r="AL23" s="330" t="s">
        <v>369</v>
      </c>
      <c r="AM23" s="330" t="s">
        <v>369</v>
      </c>
      <c r="AN23" s="330" t="s">
        <v>369</v>
      </c>
      <c r="AP23" s="364">
        <v>45495</v>
      </c>
      <c r="AQ23" s="364">
        <v>45551</v>
      </c>
      <c r="AR23" s="364">
        <v>45551</v>
      </c>
      <c r="AS23" s="365">
        <v>276</v>
      </c>
      <c r="AT23" s="366">
        <f t="shared" si="8"/>
        <v>3395.64</v>
      </c>
      <c r="AU23" s="366">
        <v>1941.5</v>
      </c>
      <c r="AV23" s="366">
        <v>13.81</v>
      </c>
      <c r="AW23" s="366">
        <f t="shared" si="7"/>
        <v>7.08</v>
      </c>
      <c r="AX23" s="366">
        <v>1436.67</v>
      </c>
      <c r="AY23" s="366">
        <v>3.66</v>
      </c>
      <c r="AZ23" s="277" t="s">
        <v>132</v>
      </c>
      <c r="BA23" s="1018"/>
      <c r="BB23" s="310" t="s">
        <v>311</v>
      </c>
      <c r="BC23" s="332">
        <v>5</v>
      </c>
      <c r="BD23" s="321">
        <v>70</v>
      </c>
      <c r="BE23" s="320">
        <v>4.9870000000000001</v>
      </c>
      <c r="BF23" s="321">
        <f>ROUND(BD23*BE23,2)</f>
        <v>349.09</v>
      </c>
      <c r="BG23" s="320">
        <v>3.69</v>
      </c>
      <c r="BH23" s="321">
        <f>BD23*BG23</f>
        <v>258.3</v>
      </c>
      <c r="BI23" s="321">
        <f t="shared" si="12"/>
        <v>607.39</v>
      </c>
      <c r="BJ23" s="177"/>
      <c r="BK23" s="332" t="s">
        <v>311</v>
      </c>
      <c r="BL23" s="332">
        <v>5</v>
      </c>
      <c r="BM23" s="321">
        <v>70</v>
      </c>
      <c r="BN23" s="320">
        <v>4.9870000000000001</v>
      </c>
      <c r="BO23" s="321">
        <f>ROUND(BM23*BN23,2)</f>
        <v>349.09</v>
      </c>
      <c r="BP23" s="320">
        <v>3.69</v>
      </c>
      <c r="BQ23" s="321">
        <f>BM23*BP23</f>
        <v>258.3</v>
      </c>
      <c r="BR23" s="321">
        <f t="shared" si="13"/>
        <v>607.39</v>
      </c>
      <c r="BS23" s="1018"/>
    </row>
    <row r="24" spans="1:71" s="96" customFormat="1" ht="15" customHeight="1" x14ac:dyDescent="0.25">
      <c r="A24" s="93">
        <v>45501</v>
      </c>
      <c r="B24" s="94" t="s">
        <v>100</v>
      </c>
      <c r="C24" s="95">
        <v>2606.6080000000002</v>
      </c>
      <c r="D24" s="95">
        <v>0</v>
      </c>
      <c r="E24" s="95">
        <v>6367.5349999999999</v>
      </c>
      <c r="F24" s="95">
        <v>4100.6809999999996</v>
      </c>
      <c r="G24" s="95">
        <v>1917.329</v>
      </c>
      <c r="H24" s="95">
        <v>1980.374</v>
      </c>
      <c r="I24" s="95">
        <v>4187.7510000000002</v>
      </c>
      <c r="J24" s="95">
        <v>2789.2139999999999</v>
      </c>
      <c r="K24" s="95">
        <v>2356.703</v>
      </c>
      <c r="L24" s="95">
        <v>2188.6610000000001</v>
      </c>
      <c r="M24" s="95">
        <v>2069.694</v>
      </c>
      <c r="N24" s="95">
        <v>2942.1680000000001</v>
      </c>
      <c r="O24" s="95">
        <v>922.149</v>
      </c>
      <c r="P24" s="95">
        <v>5281.6660000000002</v>
      </c>
      <c r="Q24" s="95">
        <v>3394.5709999999999</v>
      </c>
      <c r="R24" s="95">
        <f t="shared" si="9"/>
        <v>43105.103999999992</v>
      </c>
      <c r="S24" s="95"/>
      <c r="AF24" s="229"/>
      <c r="AG24" s="229"/>
      <c r="AJ24" s="329" t="s">
        <v>369</v>
      </c>
      <c r="AK24" s="330" t="s">
        <v>369</v>
      </c>
      <c r="AL24" s="330" t="s">
        <v>369</v>
      </c>
      <c r="AM24" s="330" t="s">
        <v>369</v>
      </c>
      <c r="AN24" s="330" t="s">
        <v>369</v>
      </c>
      <c r="AP24" s="317">
        <v>45526</v>
      </c>
      <c r="AQ24" s="317">
        <v>45580</v>
      </c>
      <c r="AR24" s="317">
        <v>45580</v>
      </c>
      <c r="AS24" s="339">
        <v>287</v>
      </c>
      <c r="AT24" s="341">
        <f t="shared" si="8"/>
        <v>3616.1099999999997</v>
      </c>
      <c r="AU24" s="341">
        <v>2069.39</v>
      </c>
      <c r="AV24" s="341">
        <v>12.18</v>
      </c>
      <c r="AW24" s="341">
        <f t="shared" si="7"/>
        <v>7.25</v>
      </c>
      <c r="AX24" s="341">
        <v>1531.31</v>
      </c>
      <c r="AY24" s="341">
        <v>3.23</v>
      </c>
      <c r="AZ24" s="276"/>
      <c r="BA24" s="1018"/>
      <c r="BB24" s="310" t="s">
        <v>312</v>
      </c>
      <c r="BC24" s="332">
        <v>5</v>
      </c>
      <c r="BD24" s="321">
        <v>70</v>
      </c>
      <c r="BE24" s="320">
        <v>7.7270000000000003</v>
      </c>
      <c r="BF24" s="321">
        <f>ROUND(BD24*BE24,2)</f>
        <v>540.89</v>
      </c>
      <c r="BG24" s="320">
        <v>5.718</v>
      </c>
      <c r="BH24" s="321">
        <f>BD24*BG24</f>
        <v>400.26</v>
      </c>
      <c r="BI24" s="321">
        <f t="shared" si="12"/>
        <v>941.15</v>
      </c>
      <c r="BJ24" s="177"/>
      <c r="BK24" s="332" t="s">
        <v>312</v>
      </c>
      <c r="BL24" s="332">
        <v>5</v>
      </c>
      <c r="BM24" s="321">
        <v>70</v>
      </c>
      <c r="BN24" s="320">
        <v>7.7270000000000003</v>
      </c>
      <c r="BO24" s="321">
        <f>ROUND(BM24*BN24,2)</f>
        <v>540.89</v>
      </c>
      <c r="BP24" s="320">
        <v>5.718</v>
      </c>
      <c r="BQ24" s="321">
        <f>BM24*BP24</f>
        <v>400.26</v>
      </c>
      <c r="BR24" s="321">
        <f t="shared" si="13"/>
        <v>941.15</v>
      </c>
      <c r="BS24" s="1018"/>
    </row>
    <row r="25" spans="1:71" s="96" customFormat="1" ht="15" customHeight="1" x14ac:dyDescent="0.25">
      <c r="A25" s="93">
        <v>45532</v>
      </c>
      <c r="B25" s="94" t="s">
        <v>100</v>
      </c>
      <c r="C25" s="95">
        <v>2626.5239999999999</v>
      </c>
      <c r="D25" s="95">
        <v>0</v>
      </c>
      <c r="E25" s="95">
        <v>6414.4229999999998</v>
      </c>
      <c r="F25" s="95">
        <v>4134.3230000000003</v>
      </c>
      <c r="G25" s="95">
        <v>1939.8630000000001</v>
      </c>
      <c r="H25" s="95">
        <v>1998.7270000000001</v>
      </c>
      <c r="I25" s="95">
        <v>4218.2619999999997</v>
      </c>
      <c r="J25" s="95">
        <v>2808.3150000000001</v>
      </c>
      <c r="K25" s="95">
        <v>2372.4119999999998</v>
      </c>
      <c r="L25" s="95">
        <v>2225.998</v>
      </c>
      <c r="M25" s="95">
        <v>2074.3969999999999</v>
      </c>
      <c r="N25" s="95">
        <v>2956.7220000000002</v>
      </c>
      <c r="O25" s="95">
        <v>925.67499999999995</v>
      </c>
      <c r="P25" s="95">
        <v>5288.84</v>
      </c>
      <c r="Q25" s="95">
        <v>3407.6170000000002</v>
      </c>
      <c r="R25" s="95">
        <f t="shared" si="9"/>
        <v>43392.097999999998</v>
      </c>
      <c r="S25" s="95"/>
      <c r="AF25" s="230"/>
      <c r="AG25" s="230"/>
      <c r="AJ25" s="329" t="s">
        <v>369</v>
      </c>
      <c r="AK25" s="330" t="s">
        <v>369</v>
      </c>
      <c r="AL25" s="330" t="s">
        <v>369</v>
      </c>
      <c r="AM25" s="330" t="s">
        <v>369</v>
      </c>
      <c r="AN25" s="330" t="s">
        <v>369</v>
      </c>
      <c r="AP25" s="364">
        <v>45495</v>
      </c>
      <c r="AQ25" s="364">
        <v>45551</v>
      </c>
      <c r="AR25" s="364">
        <v>45551</v>
      </c>
      <c r="AS25" s="365">
        <v>297</v>
      </c>
      <c r="AT25" s="366">
        <f t="shared" si="8"/>
        <v>3837.5299999999997</v>
      </c>
      <c r="AU25" s="366">
        <v>2195.46</v>
      </c>
      <c r="AV25" s="366">
        <v>13.81</v>
      </c>
      <c r="AW25" s="366">
        <f t="shared" si="7"/>
        <v>7.44</v>
      </c>
      <c r="AX25" s="366">
        <v>1624.6</v>
      </c>
      <c r="AY25" s="366">
        <v>3.66</v>
      </c>
      <c r="AZ25" s="277" t="s">
        <v>134</v>
      </c>
      <c r="BA25" s="1018"/>
      <c r="BB25" s="310" t="s">
        <v>313</v>
      </c>
      <c r="BC25" s="332">
        <v>5</v>
      </c>
      <c r="BD25" s="321">
        <v>70</v>
      </c>
      <c r="BE25" s="320">
        <v>10.548999999999999</v>
      </c>
      <c r="BF25" s="321">
        <f>ROUND(BD25*BE25,2)</f>
        <v>738.43</v>
      </c>
      <c r="BG25" s="320">
        <v>7.806</v>
      </c>
      <c r="BH25" s="321">
        <f>BD25*BG25</f>
        <v>546.41999999999996</v>
      </c>
      <c r="BI25" s="321">
        <f t="shared" si="12"/>
        <v>1284.8499999999999</v>
      </c>
      <c r="BJ25" s="177"/>
      <c r="BK25" s="332" t="s">
        <v>313</v>
      </c>
      <c r="BL25" s="332">
        <v>5</v>
      </c>
      <c r="BM25" s="321">
        <v>70</v>
      </c>
      <c r="BN25" s="320">
        <v>10.548999999999999</v>
      </c>
      <c r="BO25" s="321">
        <f>ROUND(BM25*BN25,2)</f>
        <v>738.43</v>
      </c>
      <c r="BP25" s="320">
        <v>7.806</v>
      </c>
      <c r="BQ25" s="321">
        <f>BM25*BP25</f>
        <v>546.41999999999996</v>
      </c>
      <c r="BR25" s="321">
        <f t="shared" si="13"/>
        <v>1284.8499999999999</v>
      </c>
      <c r="BS25" s="1018"/>
    </row>
    <row r="26" spans="1:71" s="96" customFormat="1" ht="15" customHeight="1" x14ac:dyDescent="0.25">
      <c r="A26" s="93">
        <v>45563</v>
      </c>
      <c r="B26" s="94" t="s">
        <v>100</v>
      </c>
      <c r="C26" s="95">
        <v>2651.145</v>
      </c>
      <c r="D26" s="95">
        <v>0</v>
      </c>
      <c r="E26" s="95">
        <v>6460.2449999999999</v>
      </c>
      <c r="F26" s="95">
        <v>4165.1490000000003</v>
      </c>
      <c r="G26" s="95">
        <v>1967.6659999999999</v>
      </c>
      <c r="H26" s="95">
        <v>2017.377</v>
      </c>
      <c r="I26" s="95">
        <v>4243.84</v>
      </c>
      <c r="J26" s="95">
        <v>2831.7289999999998</v>
      </c>
      <c r="K26" s="95">
        <v>2387.4540000000002</v>
      </c>
      <c r="L26" s="95">
        <v>2241.4969999999998</v>
      </c>
      <c r="M26" s="95">
        <v>2079.7570000000001</v>
      </c>
      <c r="N26" s="95">
        <v>2967.4369999999999</v>
      </c>
      <c r="O26" s="95">
        <v>929.33399999999995</v>
      </c>
      <c r="P26" s="95">
        <v>5295.1809999999996</v>
      </c>
      <c r="Q26" s="95">
        <v>3421.9160000000002</v>
      </c>
      <c r="R26" s="95">
        <f t="shared" si="9"/>
        <v>43659.726999999999</v>
      </c>
      <c r="S26" s="95"/>
      <c r="AJ26" s="329" t="s">
        <v>369</v>
      </c>
      <c r="AK26" s="330" t="s">
        <v>369</v>
      </c>
      <c r="AL26" s="330" t="s">
        <v>369</v>
      </c>
      <c r="AM26" s="330" t="s">
        <v>369</v>
      </c>
      <c r="AN26" s="330" t="s">
        <v>369</v>
      </c>
      <c r="AP26" s="317">
        <v>45555</v>
      </c>
      <c r="AQ26" s="317">
        <v>45614</v>
      </c>
      <c r="AR26" s="317">
        <v>45614</v>
      </c>
      <c r="AS26" s="339">
        <v>191</v>
      </c>
      <c r="AT26" s="341">
        <f t="shared" si="8"/>
        <v>2015.8</v>
      </c>
      <c r="AU26" s="341">
        <v>1149.43</v>
      </c>
      <c r="AV26" s="341">
        <v>12.5</v>
      </c>
      <c r="AW26" s="341">
        <f t="shared" si="7"/>
        <v>6.08</v>
      </c>
      <c r="AX26" s="341">
        <v>850.56</v>
      </c>
      <c r="AY26" s="341">
        <v>3.31</v>
      </c>
      <c r="AZ26" s="276"/>
      <c r="BA26" s="1018"/>
      <c r="BB26" s="310" t="s">
        <v>314</v>
      </c>
      <c r="BC26" s="338" t="s">
        <v>322</v>
      </c>
      <c r="BD26" s="321">
        <f>361-280</f>
        <v>81</v>
      </c>
      <c r="BE26" s="320">
        <v>13.417999999999999</v>
      </c>
      <c r="BF26" s="321">
        <f>ROUND(BD26*BE26,2)</f>
        <v>1086.8599999999999</v>
      </c>
      <c r="BG26" s="320">
        <v>9.9290000000000003</v>
      </c>
      <c r="BH26" s="321">
        <f>BD26*BG26</f>
        <v>804.24900000000002</v>
      </c>
      <c r="BI26" s="321">
        <f t="shared" si="12"/>
        <v>1891.1089999999999</v>
      </c>
      <c r="BJ26" s="177"/>
      <c r="BK26" s="338" t="s">
        <v>314</v>
      </c>
      <c r="BL26" s="338" t="s">
        <v>322</v>
      </c>
      <c r="BM26" s="321">
        <v>15</v>
      </c>
      <c r="BN26" s="320">
        <v>13.417999999999999</v>
      </c>
      <c r="BO26" s="321">
        <f>ROUND(BM26*BN26,2)</f>
        <v>201.27</v>
      </c>
      <c r="BP26" s="320">
        <v>9.9290000000000003</v>
      </c>
      <c r="BQ26" s="321">
        <f>BM26*BP26</f>
        <v>148.935</v>
      </c>
      <c r="BR26" s="321">
        <f t="shared" si="13"/>
        <v>350.20500000000004</v>
      </c>
      <c r="BS26" s="1018"/>
    </row>
    <row r="27" spans="1:71" s="96" customFormat="1" ht="15" customHeight="1" x14ac:dyDescent="0.25">
      <c r="A27" s="93">
        <v>45593</v>
      </c>
      <c r="B27" s="94" t="s">
        <v>100</v>
      </c>
      <c r="C27" s="95">
        <v>2674.4940000000001</v>
      </c>
      <c r="D27" s="95">
        <v>0</v>
      </c>
      <c r="E27" s="95">
        <v>6502.8959999999997</v>
      </c>
      <c r="F27" s="95">
        <v>4197.01</v>
      </c>
      <c r="G27" s="95">
        <v>1993.943</v>
      </c>
      <c r="H27" s="95">
        <v>2037.885</v>
      </c>
      <c r="I27" s="95">
        <v>4268.1779999999999</v>
      </c>
      <c r="J27" s="95">
        <v>2853.4050000000002</v>
      </c>
      <c r="K27" s="95">
        <v>2401.4229999999998</v>
      </c>
      <c r="L27" s="95">
        <v>2245.1329999999998</v>
      </c>
      <c r="M27" s="95">
        <v>2084.6410000000001</v>
      </c>
      <c r="N27" s="95">
        <v>2978.578</v>
      </c>
      <c r="O27" s="95">
        <v>933.19</v>
      </c>
      <c r="P27" s="95">
        <v>5300.14</v>
      </c>
      <c r="Q27" s="95">
        <v>3435.194</v>
      </c>
      <c r="R27" s="95">
        <f t="shared" si="9"/>
        <v>43906.11</v>
      </c>
      <c r="S27" s="95"/>
      <c r="AJ27" s="329" t="s">
        <v>369</v>
      </c>
      <c r="AK27" s="330" t="s">
        <v>369</v>
      </c>
      <c r="AL27" s="330" t="s">
        <v>369</v>
      </c>
      <c r="AM27" s="330" t="s">
        <v>369</v>
      </c>
      <c r="AN27" s="330" t="s">
        <v>369</v>
      </c>
      <c r="AP27" s="317">
        <v>45587</v>
      </c>
      <c r="AQ27" s="317">
        <v>45642</v>
      </c>
      <c r="AR27" s="317">
        <v>45642</v>
      </c>
      <c r="AS27" s="339">
        <v>294</v>
      </c>
      <c r="AT27" s="341">
        <f t="shared" si="8"/>
        <v>3789.2099999999996</v>
      </c>
      <c r="AU27" s="341">
        <v>2157.64</v>
      </c>
      <c r="AV27" s="341">
        <v>28.18</v>
      </c>
      <c r="AW27" s="341">
        <f t="shared" si="7"/>
        <v>7.43</v>
      </c>
      <c r="AX27" s="341">
        <v>1596.62</v>
      </c>
      <c r="AY27" s="341">
        <v>6.77</v>
      </c>
      <c r="AZ27" s="276"/>
      <c r="BA27" s="1018"/>
      <c r="BB27" s="310" t="s">
        <v>315</v>
      </c>
      <c r="BC27" s="338"/>
      <c r="BD27" s="321"/>
      <c r="BE27" s="320"/>
      <c r="BF27" s="321"/>
      <c r="BG27" s="320"/>
      <c r="BH27" s="321"/>
      <c r="BI27" s="321"/>
      <c r="BJ27" s="177"/>
      <c r="BK27" s="338" t="s">
        <v>315</v>
      </c>
      <c r="BL27" s="338"/>
      <c r="BM27" s="321"/>
      <c r="BN27" s="320"/>
      <c r="BO27" s="321"/>
      <c r="BP27" s="320"/>
      <c r="BQ27" s="321"/>
      <c r="BR27" s="321"/>
      <c r="BS27" s="1018"/>
    </row>
    <row r="28" spans="1:71" s="96" customFormat="1" ht="15" customHeight="1" x14ac:dyDescent="0.25">
      <c r="A28" s="93">
        <v>45624</v>
      </c>
      <c r="B28" s="94" t="s">
        <v>100</v>
      </c>
      <c r="C28" s="95">
        <v>2694.8310000000001</v>
      </c>
      <c r="D28" s="95">
        <v>0</v>
      </c>
      <c r="E28" s="95">
        <v>6540.4979999999996</v>
      </c>
      <c r="F28" s="95">
        <v>4218.1679999999997</v>
      </c>
      <c r="G28" s="95">
        <v>2018.7950000000001</v>
      </c>
      <c r="H28" s="95">
        <v>2058.8980000000001</v>
      </c>
      <c r="I28" s="95">
        <v>4289.1260000000002</v>
      </c>
      <c r="J28" s="95">
        <v>2873.857</v>
      </c>
      <c r="K28" s="95">
        <v>2416.056</v>
      </c>
      <c r="L28" s="95">
        <v>2249.8069999999998</v>
      </c>
      <c r="M28" s="95">
        <v>2089.6559999999999</v>
      </c>
      <c r="N28" s="95">
        <v>2989.712</v>
      </c>
      <c r="O28" s="95">
        <v>936.58900000000006</v>
      </c>
      <c r="P28" s="95">
        <v>5302.4920000000002</v>
      </c>
      <c r="Q28" s="95">
        <v>3464.0050000000001</v>
      </c>
      <c r="R28" s="95">
        <f t="shared" si="9"/>
        <v>44142.49</v>
      </c>
      <c r="S28" s="95"/>
      <c r="AJ28" s="329" t="s">
        <v>369</v>
      </c>
      <c r="AK28" s="330" t="s">
        <v>369</v>
      </c>
      <c r="AL28" s="330" t="s">
        <v>369</v>
      </c>
      <c r="AM28" s="330" t="s">
        <v>369</v>
      </c>
      <c r="AN28" s="330" t="s">
        <v>369</v>
      </c>
      <c r="AP28" s="317">
        <v>45618</v>
      </c>
      <c r="AQ28" s="317">
        <v>45672</v>
      </c>
      <c r="AR28" s="317">
        <v>45672</v>
      </c>
      <c r="AS28" s="339">
        <v>274</v>
      </c>
      <c r="AT28" s="341">
        <f t="shared" si="8"/>
        <v>3366.67</v>
      </c>
      <c r="AU28" s="341">
        <v>1921.67</v>
      </c>
      <c r="AV28" s="341">
        <v>18.54</v>
      </c>
      <c r="AW28" s="341">
        <f t="shared" si="7"/>
        <v>7.08</v>
      </c>
      <c r="AX28" s="341">
        <v>1422.01</v>
      </c>
      <c r="AY28" s="341">
        <v>4.45</v>
      </c>
      <c r="AZ28" s="276"/>
      <c r="BA28" s="1018"/>
      <c r="BB28" s="310" t="s">
        <v>126</v>
      </c>
      <c r="BC28" s="338" t="s">
        <v>322</v>
      </c>
      <c r="BD28" s="342">
        <f>SUM(BD22:BD27)</f>
        <v>361</v>
      </c>
      <c r="BE28" s="320"/>
      <c r="BF28" s="321">
        <f>SUM(BF21:BF27)</f>
        <v>3195.4699999999993</v>
      </c>
      <c r="BG28" s="320"/>
      <c r="BH28" s="321">
        <f>SUM(BH21:BH27)</f>
        <v>2364.2690000000002</v>
      </c>
      <c r="BI28" s="344">
        <f>SUM(BI21:BI27)</f>
        <v>5559.7389999999996</v>
      </c>
      <c r="BJ28" s="177"/>
      <c r="BK28" s="338" t="s">
        <v>126</v>
      </c>
      <c r="BL28" s="338" t="s">
        <v>322</v>
      </c>
      <c r="BM28" s="342">
        <f>SUM(BM22:BM27)</f>
        <v>295</v>
      </c>
      <c r="BN28" s="320"/>
      <c r="BO28" s="321">
        <f>SUM(BO21:BO27)</f>
        <v>2309.8799999999997</v>
      </c>
      <c r="BP28" s="320"/>
      <c r="BQ28" s="321">
        <f>SUM(BQ21:BQ27)</f>
        <v>1708.9549999999999</v>
      </c>
      <c r="BR28" s="344">
        <f>SUM(BR21:BR27)</f>
        <v>4018.8349999999996</v>
      </c>
      <c r="BS28" s="1018"/>
    </row>
    <row r="29" spans="1:71" s="96" customFormat="1" ht="15" customHeight="1" x14ac:dyDescent="0.25">
      <c r="A29" s="93">
        <v>45654</v>
      </c>
      <c r="B29" s="94" t="s">
        <v>100</v>
      </c>
      <c r="C29" s="95">
        <v>2714.7660000000001</v>
      </c>
      <c r="D29" s="95">
        <v>0</v>
      </c>
      <c r="E29" s="95">
        <v>6586.8639999999996</v>
      </c>
      <c r="F29" s="95">
        <v>4237.0370000000003</v>
      </c>
      <c r="G29" s="95">
        <v>2045.3230000000001</v>
      </c>
      <c r="H29" s="95">
        <v>2081.3420000000001</v>
      </c>
      <c r="I29" s="95">
        <v>4311.6530000000002</v>
      </c>
      <c r="J29" s="95">
        <v>2888.8890000000001</v>
      </c>
      <c r="K29" s="95">
        <v>2430.4520000000002</v>
      </c>
      <c r="L29" s="95">
        <v>2256.9009999999998</v>
      </c>
      <c r="M29" s="95">
        <v>2093.5909999999999</v>
      </c>
      <c r="N29" s="95">
        <v>2999.6570000000002</v>
      </c>
      <c r="O29" s="95">
        <v>940.24300000000005</v>
      </c>
      <c r="P29" s="95">
        <v>5309.7510000000002</v>
      </c>
      <c r="Q29" s="95">
        <v>3475.7240000000002</v>
      </c>
      <c r="R29" s="95">
        <f t="shared" ref="R29:R37" si="16">SUM(C29:Q29)</f>
        <v>44372.192999999999</v>
      </c>
      <c r="S29" s="95"/>
      <c r="U29" s="375" t="s">
        <v>433</v>
      </c>
      <c r="V29" s="376"/>
      <c r="W29" s="376"/>
      <c r="X29" s="376"/>
      <c r="Y29" s="376"/>
      <c r="AJ29" s="329" t="s">
        <v>369</v>
      </c>
      <c r="AK29" s="330" t="s">
        <v>369</v>
      </c>
      <c r="AL29" s="330" t="s">
        <v>369</v>
      </c>
      <c r="AM29" s="330" t="s">
        <v>369</v>
      </c>
      <c r="AN29" s="330" t="s">
        <v>369</v>
      </c>
      <c r="AP29" s="317">
        <v>45647</v>
      </c>
      <c r="AQ29" s="317">
        <v>45705</v>
      </c>
      <c r="AR29" s="317">
        <v>45705</v>
      </c>
      <c r="AS29" s="339">
        <v>220</v>
      </c>
      <c r="AT29" s="341">
        <f t="shared" si="8"/>
        <v>2446.3999999999996</v>
      </c>
      <c r="AU29" s="341">
        <v>1386.48</v>
      </c>
      <c r="AV29" s="341">
        <v>27.37</v>
      </c>
      <c r="AW29" s="341">
        <f t="shared" si="7"/>
        <v>6.43</v>
      </c>
      <c r="AX29" s="341">
        <v>1025.97</v>
      </c>
      <c r="AY29" s="341">
        <v>6.58</v>
      </c>
      <c r="AZ29" s="276"/>
      <c r="BA29" s="1018"/>
      <c r="BB29" s="343" t="s">
        <v>128</v>
      </c>
      <c r="BC29" s="332"/>
      <c r="BD29" s="321"/>
      <c r="BE29" s="320"/>
      <c r="BF29" s="321"/>
      <c r="BG29" s="320"/>
      <c r="BH29" s="321"/>
      <c r="BI29" s="321" t="s">
        <v>322</v>
      </c>
      <c r="BJ29" s="177"/>
      <c r="BK29" s="343" t="s">
        <v>128</v>
      </c>
      <c r="BL29" s="332"/>
      <c r="BM29" s="321"/>
      <c r="BN29" s="320"/>
      <c r="BO29" s="321"/>
      <c r="BP29" s="320"/>
      <c r="BQ29" s="321"/>
      <c r="BR29" s="321" t="s">
        <v>322</v>
      </c>
      <c r="BS29" s="1018"/>
    </row>
    <row r="30" spans="1:71" s="96" customFormat="1" ht="15" customHeight="1" x14ac:dyDescent="0.25">
      <c r="A30" s="93">
        <v>45686</v>
      </c>
      <c r="B30" s="94" t="s">
        <v>100</v>
      </c>
      <c r="C30" s="95">
        <v>2733.0349999999999</v>
      </c>
      <c r="D30" s="95">
        <v>0</v>
      </c>
      <c r="E30" s="95">
        <v>6634.6109999999999</v>
      </c>
      <c r="F30" s="95">
        <v>4252.1679999999997</v>
      </c>
      <c r="G30" s="95">
        <v>2074.2719999999999</v>
      </c>
      <c r="H30" s="95">
        <v>2102.808</v>
      </c>
      <c r="I30" s="95">
        <v>4339.6229999999996</v>
      </c>
      <c r="J30" s="95">
        <v>2905.5889999999999</v>
      </c>
      <c r="K30" s="95">
        <v>2446.3440000000001</v>
      </c>
      <c r="L30" s="95">
        <v>2261.7179999999998</v>
      </c>
      <c r="M30" s="95">
        <v>2115.9409999999998</v>
      </c>
      <c r="N30" s="95">
        <v>3014.502</v>
      </c>
      <c r="O30" s="95">
        <v>945.55799999999999</v>
      </c>
      <c r="P30" s="95">
        <v>5314.4690000000001</v>
      </c>
      <c r="Q30" s="95">
        <v>3488.5520000000001</v>
      </c>
      <c r="R30" s="95">
        <f t="shared" si="16"/>
        <v>44629.189999999995</v>
      </c>
      <c r="S30" s="95"/>
      <c r="U30" s="374" t="s">
        <v>512</v>
      </c>
      <c r="AJ30" s="329" t="s">
        <v>369</v>
      </c>
      <c r="AK30" s="330" t="s">
        <v>369</v>
      </c>
      <c r="AL30" s="330" t="s">
        <v>369</v>
      </c>
      <c r="AM30" s="330" t="s">
        <v>369</v>
      </c>
      <c r="AN30" s="330" t="s">
        <v>369</v>
      </c>
      <c r="AP30" s="317">
        <v>45679</v>
      </c>
      <c r="AQ30" s="317">
        <v>45733</v>
      </c>
      <c r="AR30" s="317">
        <v>45733</v>
      </c>
      <c r="AS30" s="339">
        <v>292</v>
      </c>
      <c r="AT30" s="341">
        <f t="shared" si="8"/>
        <v>3908.29</v>
      </c>
      <c r="AU30" s="341">
        <v>2226.75</v>
      </c>
      <c r="AV30" s="341">
        <v>27.42</v>
      </c>
      <c r="AW30" s="341">
        <f t="shared" si="7"/>
        <v>7.72</v>
      </c>
      <c r="AX30" s="341">
        <v>1647.53</v>
      </c>
      <c r="AY30" s="341">
        <v>6.59</v>
      </c>
      <c r="AZ30" s="276"/>
      <c r="BA30" s="1018"/>
      <c r="BB30" s="343" t="s">
        <v>130</v>
      </c>
      <c r="BC30" s="332"/>
      <c r="BD30" s="321"/>
      <c r="BE30" s="320"/>
      <c r="BF30" s="321"/>
      <c r="BG30" s="320"/>
      <c r="BH30" s="321"/>
      <c r="BI30" s="321" t="s">
        <v>322</v>
      </c>
      <c r="BJ30" s="177"/>
      <c r="BK30" s="343" t="s">
        <v>130</v>
      </c>
      <c r="BL30" s="332"/>
      <c r="BM30" s="321"/>
      <c r="BN30" s="320"/>
      <c r="BO30" s="321"/>
      <c r="BP30" s="320"/>
      <c r="BQ30" s="321"/>
      <c r="BR30" s="321" t="s">
        <v>322</v>
      </c>
      <c r="BS30" s="1018"/>
    </row>
    <row r="31" spans="1:71" s="96" customFormat="1" ht="15" customHeight="1" x14ac:dyDescent="0.25">
      <c r="A31" s="93">
        <v>45716</v>
      </c>
      <c r="B31" s="94" t="s">
        <v>100</v>
      </c>
      <c r="C31" s="95">
        <v>2750.2220000000002</v>
      </c>
      <c r="D31" s="95">
        <v>0</v>
      </c>
      <c r="E31" s="95">
        <v>6676.777</v>
      </c>
      <c r="F31" s="95">
        <v>4274.1980000000003</v>
      </c>
      <c r="G31" s="95">
        <v>2099.1770000000001</v>
      </c>
      <c r="H31" s="95">
        <v>2124.2660000000001</v>
      </c>
      <c r="I31" s="95">
        <v>4372.04</v>
      </c>
      <c r="J31" s="95">
        <v>2922.6329999999998</v>
      </c>
      <c r="K31" s="95">
        <v>2460.491</v>
      </c>
      <c r="L31" s="95">
        <v>2265.5929999999998</v>
      </c>
      <c r="M31" s="95">
        <v>2139.2190000000001</v>
      </c>
      <c r="N31" s="95">
        <v>3027.3389999999999</v>
      </c>
      <c r="O31" s="95">
        <v>951.56600000000003</v>
      </c>
      <c r="P31" s="95">
        <v>5317.16</v>
      </c>
      <c r="Q31" s="95">
        <v>3500.9650000000001</v>
      </c>
      <c r="R31" s="95">
        <f t="shared" si="16"/>
        <v>44881.645999999993</v>
      </c>
      <c r="S31" s="95"/>
      <c r="U31" s="374" t="s">
        <v>513</v>
      </c>
      <c r="AJ31" s="329" t="s">
        <v>369</v>
      </c>
      <c r="AK31" s="330" t="s">
        <v>369</v>
      </c>
      <c r="AL31" s="330" t="s">
        <v>369</v>
      </c>
      <c r="AM31" s="330" t="s">
        <v>369</v>
      </c>
      <c r="AN31" s="330" t="s">
        <v>369</v>
      </c>
      <c r="AP31" s="317">
        <v>45708</v>
      </c>
      <c r="AQ31" s="317">
        <v>45762</v>
      </c>
      <c r="AR31" s="317">
        <v>45762</v>
      </c>
      <c r="AS31" s="339">
        <v>266</v>
      </c>
      <c r="AT31" s="341">
        <f t="shared" si="8"/>
        <v>3438.61</v>
      </c>
      <c r="AU31" s="341">
        <v>1960.92</v>
      </c>
      <c r="AV31" s="341">
        <v>21.73</v>
      </c>
      <c r="AW31" s="341">
        <f t="shared" si="7"/>
        <v>7.45</v>
      </c>
      <c r="AX31" s="341">
        <v>1450.74</v>
      </c>
      <c r="AY31" s="341">
        <v>5.22</v>
      </c>
      <c r="AZ31" s="276"/>
      <c r="BA31" s="1018"/>
      <c r="BB31" s="343" t="s">
        <v>99</v>
      </c>
      <c r="BC31" s="332"/>
      <c r="BD31" s="321"/>
      <c r="BE31" s="320"/>
      <c r="BF31" s="321"/>
      <c r="BG31" s="320"/>
      <c r="BH31" s="321"/>
      <c r="BI31" s="321">
        <f>BI28</f>
        <v>5559.7389999999996</v>
      </c>
      <c r="BJ31" s="177"/>
      <c r="BK31" s="332" t="s">
        <v>99</v>
      </c>
      <c r="BL31" s="332"/>
      <c r="BM31" s="321"/>
      <c r="BN31" s="320"/>
      <c r="BO31" s="321"/>
      <c r="BP31" s="320"/>
      <c r="BQ31" s="321"/>
      <c r="BR31" s="321">
        <f>BR28</f>
        <v>4018.8349999999996</v>
      </c>
      <c r="BS31" s="1018"/>
    </row>
    <row r="32" spans="1:71" s="96" customFormat="1" ht="15" customHeight="1" x14ac:dyDescent="0.25">
      <c r="A32" s="93">
        <v>45745</v>
      </c>
      <c r="B32" s="94" t="s">
        <v>100</v>
      </c>
      <c r="C32" s="95">
        <v>2769.2550000000001</v>
      </c>
      <c r="D32" s="95">
        <v>0</v>
      </c>
      <c r="E32" s="95">
        <v>6718.4960000000001</v>
      </c>
      <c r="F32" s="95">
        <v>4292.982</v>
      </c>
      <c r="G32" s="95">
        <v>2126.9850000000001</v>
      </c>
      <c r="H32" s="95">
        <v>2142.0160000000001</v>
      </c>
      <c r="I32" s="95">
        <v>4405.9799999999996</v>
      </c>
      <c r="J32" s="95">
        <v>2937.6970000000001</v>
      </c>
      <c r="K32" s="95">
        <v>2471.1010000000001</v>
      </c>
      <c r="L32" s="95">
        <v>2269.2660000000001</v>
      </c>
      <c r="M32" s="95">
        <v>2161.2399999999998</v>
      </c>
      <c r="N32" s="95">
        <v>3039.59</v>
      </c>
      <c r="O32" s="95">
        <v>957.54200000000003</v>
      </c>
      <c r="P32" s="95">
        <v>5321.1360000000004</v>
      </c>
      <c r="Q32" s="95">
        <v>3512.6120000000001</v>
      </c>
      <c r="R32" s="95">
        <f t="shared" si="16"/>
        <v>45125.897999999994</v>
      </c>
      <c r="S32" s="95"/>
      <c r="AJ32" s="329" t="s">
        <v>369</v>
      </c>
      <c r="AK32" s="330" t="s">
        <v>369</v>
      </c>
      <c r="AL32" s="330" t="s">
        <v>369</v>
      </c>
      <c r="AM32" s="330" t="s">
        <v>369</v>
      </c>
      <c r="AN32" s="330" t="s">
        <v>369</v>
      </c>
      <c r="AP32" s="317">
        <v>45740</v>
      </c>
      <c r="AQ32" s="317">
        <v>45792</v>
      </c>
      <c r="AR32" s="317">
        <v>45792</v>
      </c>
      <c r="AS32" s="339">
        <v>289</v>
      </c>
      <c r="AT32" s="341">
        <f t="shared" si="8"/>
        <v>3916.52</v>
      </c>
      <c r="AU32" s="341">
        <v>2229.37</v>
      </c>
      <c r="AV32" s="341">
        <v>30.45</v>
      </c>
      <c r="AW32" s="341">
        <f t="shared" si="7"/>
        <v>7.82</v>
      </c>
      <c r="AX32" s="341">
        <v>1649.38</v>
      </c>
      <c r="AY32" s="341">
        <v>7.32</v>
      </c>
      <c r="AZ32" s="277" t="s">
        <v>135</v>
      </c>
      <c r="BA32" s="1018"/>
      <c r="BB32" s="101"/>
      <c r="BS32" s="1018"/>
    </row>
    <row r="33" spans="1:71" s="96" customFormat="1" ht="15" customHeight="1" x14ac:dyDescent="0.25">
      <c r="A33" s="93">
        <v>45775</v>
      </c>
      <c r="B33" s="94" t="s">
        <v>100</v>
      </c>
      <c r="C33" s="95">
        <v>2792.9749999999999</v>
      </c>
      <c r="D33" s="95">
        <v>0</v>
      </c>
      <c r="E33" s="95">
        <v>6760.5540000000001</v>
      </c>
      <c r="F33" s="95">
        <v>4313.3149999999996</v>
      </c>
      <c r="G33" s="95">
        <v>2154.4349999999999</v>
      </c>
      <c r="H33" s="95">
        <v>2162.2170000000001</v>
      </c>
      <c r="I33" s="95">
        <v>4438.9309999999996</v>
      </c>
      <c r="J33" s="95">
        <v>2952.9250000000002</v>
      </c>
      <c r="K33" s="95">
        <v>2483.2449999999999</v>
      </c>
      <c r="L33" s="95">
        <v>2276.6849999999999</v>
      </c>
      <c r="M33" s="95">
        <v>2184.038</v>
      </c>
      <c r="N33" s="95">
        <v>3055.5479999999998</v>
      </c>
      <c r="O33" s="95">
        <v>964.43600000000004</v>
      </c>
      <c r="P33" s="95">
        <v>5327.134</v>
      </c>
      <c r="Q33" s="95">
        <v>3527.7339999999999</v>
      </c>
      <c r="R33" s="95">
        <f t="shared" si="16"/>
        <v>45394.171999999999</v>
      </c>
      <c r="S33" s="95"/>
      <c r="AJ33" s="329" t="s">
        <v>369</v>
      </c>
      <c r="AK33" s="330" t="s">
        <v>369</v>
      </c>
      <c r="AL33" s="330" t="s">
        <v>369</v>
      </c>
      <c r="AM33" s="330" t="s">
        <v>369</v>
      </c>
      <c r="AN33" s="330" t="s">
        <v>369</v>
      </c>
      <c r="AP33" s="317">
        <v>45771</v>
      </c>
      <c r="AQ33" s="317">
        <v>45824</v>
      </c>
      <c r="AR33" s="317">
        <v>45824</v>
      </c>
      <c r="AS33" s="339">
        <v>244</v>
      </c>
      <c r="AT33" s="341">
        <f t="shared" si="8"/>
        <v>3043.1800000000003</v>
      </c>
      <c r="AU33" s="341">
        <v>1728.85</v>
      </c>
      <c r="AV33" s="341">
        <v>28.49</v>
      </c>
      <c r="AW33" s="341">
        <f t="shared" si="7"/>
        <v>7.2</v>
      </c>
      <c r="AX33" s="341">
        <v>1279</v>
      </c>
      <c r="AY33" s="341">
        <v>6.84</v>
      </c>
      <c r="AZ33" s="276"/>
      <c r="BA33" s="1018"/>
      <c r="BB33" s="101"/>
      <c r="BS33" s="1018"/>
    </row>
    <row r="34" spans="1:71" s="96" customFormat="1" ht="15" customHeight="1" x14ac:dyDescent="0.25">
      <c r="A34" s="133">
        <v>45805</v>
      </c>
      <c r="B34" s="132" t="s">
        <v>100</v>
      </c>
      <c r="C34" s="140">
        <v>2819.3560000000002</v>
      </c>
      <c r="D34" s="140">
        <v>0</v>
      </c>
      <c r="E34" s="140">
        <v>6808.0959999999995</v>
      </c>
      <c r="F34" s="140">
        <v>4333.9089999999997</v>
      </c>
      <c r="G34" s="140">
        <v>2181.3319999999999</v>
      </c>
      <c r="H34" s="140">
        <v>2184.799</v>
      </c>
      <c r="I34" s="140">
        <v>4479.2340000000004</v>
      </c>
      <c r="J34" s="140">
        <v>2966.6770000000001</v>
      </c>
      <c r="K34" s="140">
        <v>2497.3180000000002</v>
      </c>
      <c r="L34" s="140">
        <v>2281.1579999999999</v>
      </c>
      <c r="M34" s="140">
        <v>2201.4110000000001</v>
      </c>
      <c r="N34" s="140">
        <v>3069.0810000000001</v>
      </c>
      <c r="O34" s="140">
        <v>970.58399999999995</v>
      </c>
      <c r="P34" s="140">
        <v>5331.826</v>
      </c>
      <c r="Q34" s="140">
        <v>3541.107</v>
      </c>
      <c r="R34" s="140">
        <f t="shared" si="16"/>
        <v>45665.888000000006</v>
      </c>
      <c r="S34" s="95"/>
      <c r="AJ34" s="329" t="s">
        <v>369</v>
      </c>
      <c r="AK34" s="330" t="s">
        <v>369</v>
      </c>
      <c r="AL34" s="330" t="s">
        <v>369</v>
      </c>
      <c r="AM34" s="330" t="s">
        <v>369</v>
      </c>
      <c r="AN34" s="330" t="s">
        <v>369</v>
      </c>
      <c r="AP34" s="317">
        <v>45800</v>
      </c>
      <c r="AQ34" s="317">
        <v>45853</v>
      </c>
      <c r="AR34" s="317">
        <v>45853</v>
      </c>
      <c r="AS34" s="339">
        <v>309</v>
      </c>
      <c r="AT34" s="341">
        <f t="shared" si="8"/>
        <v>4380.4100000000008</v>
      </c>
      <c r="AU34" s="341">
        <v>2497.73</v>
      </c>
      <c r="AV34" s="341">
        <v>28</v>
      </c>
      <c r="AW34" s="341">
        <f t="shared" si="7"/>
        <v>8.17</v>
      </c>
      <c r="AX34" s="341">
        <v>1847.96</v>
      </c>
      <c r="AY34" s="341">
        <v>6.72</v>
      </c>
      <c r="AZ34" s="277" t="s">
        <v>136</v>
      </c>
      <c r="BA34" s="1018"/>
      <c r="BB34" s="101"/>
      <c r="BS34" s="1018"/>
    </row>
    <row r="35" spans="1:71" s="96" customFormat="1" ht="15" customHeight="1" x14ac:dyDescent="0.25">
      <c r="A35" s="133">
        <v>45836</v>
      </c>
      <c r="B35" s="132" t="s">
        <v>100</v>
      </c>
      <c r="C35" s="140">
        <v>2845.1080000000002</v>
      </c>
      <c r="D35" s="140">
        <v>0</v>
      </c>
      <c r="E35" s="140">
        <v>6853.4870000000001</v>
      </c>
      <c r="F35" s="140">
        <v>4352.74</v>
      </c>
      <c r="G35" s="140">
        <v>2209.4870000000001</v>
      </c>
      <c r="H35" s="140">
        <v>2209.08</v>
      </c>
      <c r="I35" s="140">
        <v>4542.6570000000002</v>
      </c>
      <c r="J35" s="140">
        <v>2982.973</v>
      </c>
      <c r="K35" s="140">
        <v>2511.29</v>
      </c>
      <c r="L35" s="140">
        <v>2286.864</v>
      </c>
      <c r="M35" s="140">
        <v>2220.498</v>
      </c>
      <c r="N35" s="140">
        <v>3084.3820000000001</v>
      </c>
      <c r="O35" s="140">
        <v>976.98</v>
      </c>
      <c r="P35" s="140">
        <v>5335.1170000000002</v>
      </c>
      <c r="Q35" s="140">
        <v>3551.9209999999998</v>
      </c>
      <c r="R35" s="140">
        <f t="shared" si="16"/>
        <v>45962.584000000003</v>
      </c>
      <c r="S35" s="95"/>
      <c r="AJ35" s="329" t="s">
        <v>369</v>
      </c>
      <c r="AK35" s="330" t="s">
        <v>369</v>
      </c>
      <c r="AL35" s="330" t="s">
        <v>369</v>
      </c>
      <c r="AM35" s="330" t="s">
        <v>369</v>
      </c>
      <c r="AN35" s="330" t="s">
        <v>369</v>
      </c>
      <c r="AP35" s="317">
        <v>45832</v>
      </c>
      <c r="AQ35" s="317">
        <v>45887</v>
      </c>
      <c r="AR35" s="317">
        <v>45887</v>
      </c>
      <c r="AS35" s="339">
        <v>288</v>
      </c>
      <c r="AT35" s="341">
        <f t="shared" si="8"/>
        <v>3870.3299999999995</v>
      </c>
      <c r="AU35" s="341">
        <v>2215.9499999999998</v>
      </c>
      <c r="AV35" s="341">
        <v>12.24</v>
      </c>
      <c r="AW35" s="341">
        <f t="shared" si="7"/>
        <v>7.74</v>
      </c>
      <c r="AX35" s="341">
        <v>1639.45</v>
      </c>
      <c r="AY35" s="341">
        <v>2.69</v>
      </c>
      <c r="AZ35" s="279" t="s">
        <v>261</v>
      </c>
      <c r="BA35" s="1018"/>
      <c r="BB35" s="101"/>
      <c r="BS35" s="1018"/>
    </row>
    <row r="36" spans="1:71" s="96" customFormat="1" ht="20.25" customHeight="1" x14ac:dyDescent="0.25">
      <c r="A36" s="133">
        <v>45866</v>
      </c>
      <c r="B36" s="132" t="s">
        <v>100</v>
      </c>
      <c r="C36" s="140">
        <v>2859.6579999999999</v>
      </c>
      <c r="D36" s="140">
        <v>0</v>
      </c>
      <c r="E36" s="140">
        <v>6883.8059999999996</v>
      </c>
      <c r="F36" s="140">
        <v>4371.6639999999998</v>
      </c>
      <c r="G36" s="140">
        <v>2237.09</v>
      </c>
      <c r="H36" s="140">
        <v>2236.4749999999999</v>
      </c>
      <c r="I36" s="140">
        <v>4599.0429999999997</v>
      </c>
      <c r="J36" s="140">
        <v>2998.2069999999999</v>
      </c>
      <c r="K36" s="140">
        <v>2526.018</v>
      </c>
      <c r="L36" s="140">
        <v>2290.7249999999999</v>
      </c>
      <c r="M36" s="140">
        <v>2233.4589999999998</v>
      </c>
      <c r="N36" s="140">
        <v>3100.83</v>
      </c>
      <c r="O36" s="140">
        <v>983.73199999999997</v>
      </c>
      <c r="P36" s="140">
        <v>5340.9840000000004</v>
      </c>
      <c r="Q36" s="140">
        <v>3567.9609999999998</v>
      </c>
      <c r="R36" s="140">
        <f t="shared" si="16"/>
        <v>46229.651999999995</v>
      </c>
      <c r="S36" s="95"/>
      <c r="AJ36" s="329" t="s">
        <v>369</v>
      </c>
      <c r="AK36" s="330" t="s">
        <v>369</v>
      </c>
      <c r="AL36" s="330" t="s">
        <v>369</v>
      </c>
      <c r="AM36" s="330" t="s">
        <v>369</v>
      </c>
      <c r="AN36" s="330" t="s">
        <v>369</v>
      </c>
      <c r="AP36" s="367">
        <v>45860</v>
      </c>
      <c r="AQ36" s="317">
        <v>45915</v>
      </c>
      <c r="AR36" s="368" t="s">
        <v>356</v>
      </c>
      <c r="AS36" s="339">
        <v>20</v>
      </c>
      <c r="AT36" s="341">
        <f t="shared" si="8"/>
        <v>650.78</v>
      </c>
      <c r="AU36" s="341">
        <v>363.2</v>
      </c>
      <c r="AV36" s="341">
        <v>15.61</v>
      </c>
      <c r="AW36" s="341">
        <f t="shared" si="7"/>
        <v>18.940000000000001</v>
      </c>
      <c r="AX36" s="341">
        <v>268.54000000000002</v>
      </c>
      <c r="AY36" s="341">
        <v>3.43</v>
      </c>
      <c r="AZ36" s="277" t="s">
        <v>258</v>
      </c>
      <c r="BA36" s="1018"/>
      <c r="BB36" s="101"/>
      <c r="BS36" s="1018"/>
    </row>
    <row r="37" spans="1:71" s="96" customFormat="1" ht="20.25" customHeight="1" x14ac:dyDescent="0.25">
      <c r="A37" s="133">
        <v>45897</v>
      </c>
      <c r="B37" s="132" t="s">
        <v>100</v>
      </c>
      <c r="C37" s="140">
        <v>2881.5729999999999</v>
      </c>
      <c r="D37" s="140">
        <v>0</v>
      </c>
      <c r="E37" s="140">
        <v>6907.8419999999996</v>
      </c>
      <c r="F37" s="140">
        <v>4394.0789999999997</v>
      </c>
      <c r="G37" s="140">
        <v>2266.6869999999999</v>
      </c>
      <c r="H37" s="140">
        <v>2266.2060000000001</v>
      </c>
      <c r="I37" s="140">
        <v>4658.3249999999998</v>
      </c>
      <c r="J37" s="140">
        <v>3014.01</v>
      </c>
      <c r="K37" s="140">
        <v>2539.9499999999998</v>
      </c>
      <c r="L37" s="140">
        <v>2295.4409999999998</v>
      </c>
      <c r="M37" s="140">
        <v>2255.9380000000001</v>
      </c>
      <c r="N37" s="140">
        <v>3117.38</v>
      </c>
      <c r="O37" s="140">
        <v>991.37699999999995</v>
      </c>
      <c r="P37" s="140">
        <v>5346.02</v>
      </c>
      <c r="Q37" s="140">
        <v>3582.4670000000001</v>
      </c>
      <c r="R37" s="140">
        <f t="shared" si="16"/>
        <v>46517.294999999991</v>
      </c>
      <c r="S37" s="95"/>
      <c r="AJ37" s="369">
        <f>[1]LANÇTºS!R27</f>
        <v>45901</v>
      </c>
      <c r="AK37" s="326">
        <v>102.13</v>
      </c>
      <c r="AL37" s="370"/>
      <c r="AM37" s="326">
        <v>570.55999999999995</v>
      </c>
      <c r="AN37" s="370"/>
      <c r="AP37" s="367">
        <v>45891</v>
      </c>
      <c r="AQ37" s="317">
        <v>45945</v>
      </c>
      <c r="AR37" s="368" t="s">
        <v>356</v>
      </c>
      <c r="AS37" s="339">
        <f>BM28</f>
        <v>295</v>
      </c>
      <c r="AT37" s="341">
        <f t="shared" si="8"/>
        <v>4018.8349999999996</v>
      </c>
      <c r="AU37" s="341">
        <f>BO28</f>
        <v>2309.8799999999997</v>
      </c>
      <c r="AV37" s="341">
        <v>0</v>
      </c>
      <c r="AW37" s="341">
        <f t="shared" si="7"/>
        <v>7.83</v>
      </c>
      <c r="AX37" s="341">
        <f>BQ28</f>
        <v>1708.9549999999999</v>
      </c>
      <c r="AY37" s="341">
        <v>0</v>
      </c>
      <c r="AZ37" s="277" t="s">
        <v>328</v>
      </c>
      <c r="BA37" s="1018"/>
      <c r="BB37" s="101"/>
      <c r="BS37" s="1018"/>
    </row>
    <row r="38" spans="1:71" s="96" customFormat="1" ht="15" customHeight="1" x14ac:dyDescent="0.25">
      <c r="A38" s="133">
        <v>45928</v>
      </c>
      <c r="B38" s="132" t="s">
        <v>100</v>
      </c>
      <c r="C38" s="140">
        <v>2901.9929999999999</v>
      </c>
      <c r="D38" s="140">
        <v>0</v>
      </c>
      <c r="E38" s="140">
        <v>6935.39</v>
      </c>
      <c r="F38" s="140">
        <v>4415.2370000000001</v>
      </c>
      <c r="G38" s="140">
        <v>2299.2570000000001</v>
      </c>
      <c r="H38" s="140">
        <v>2299.6480000000001</v>
      </c>
      <c r="I38" s="140">
        <v>4680.8879999999999</v>
      </c>
      <c r="J38" s="140">
        <v>3029.9760000000001</v>
      </c>
      <c r="K38" s="140">
        <v>2555.0830000000001</v>
      </c>
      <c r="L38" s="140">
        <v>2299.5500000000002</v>
      </c>
      <c r="M38" s="140">
        <v>2277.98</v>
      </c>
      <c r="N38" s="140">
        <v>3135.3649999999998</v>
      </c>
      <c r="O38" s="140">
        <v>999.90800000000002</v>
      </c>
      <c r="P38" s="140">
        <v>5350.3310000000001</v>
      </c>
      <c r="Q38" s="140">
        <v>3593.277</v>
      </c>
      <c r="R38" s="140">
        <f t="shared" ref="R38" si="17">SUM(C38:Q38)</f>
        <v>46773.883000000002</v>
      </c>
      <c r="S38" s="95"/>
      <c r="AJ38" s="369" t="s">
        <v>369</v>
      </c>
      <c r="AK38" s="326" t="s">
        <v>369</v>
      </c>
      <c r="AL38" s="326" t="s">
        <v>369</v>
      </c>
      <c r="AM38" s="326" t="s">
        <v>369</v>
      </c>
      <c r="AN38" s="326" t="s">
        <v>369</v>
      </c>
      <c r="AP38" s="317">
        <v>45860</v>
      </c>
      <c r="AQ38" s="317">
        <v>45915</v>
      </c>
      <c r="AR38" s="317">
        <v>45912</v>
      </c>
      <c r="AS38" s="339">
        <v>311</v>
      </c>
      <c r="AT38" s="341">
        <f t="shared" si="8"/>
        <v>4411.43</v>
      </c>
      <c r="AU38" s="341">
        <v>2524.5700000000002</v>
      </c>
      <c r="AV38" s="341">
        <v>15.61</v>
      </c>
      <c r="AW38" s="341">
        <f t="shared" si="7"/>
        <v>8.17</v>
      </c>
      <c r="AX38" s="341">
        <v>1867.82</v>
      </c>
      <c r="AY38" s="341">
        <v>3.43</v>
      </c>
      <c r="AZ38" s="280" t="s">
        <v>357</v>
      </c>
      <c r="BA38" s="1018"/>
      <c r="BB38" s="101"/>
      <c r="BC38" s="132"/>
      <c r="BS38" s="1018"/>
    </row>
    <row r="39" spans="1:71" s="96" customFormat="1" ht="15" customHeight="1" x14ac:dyDescent="0.25">
      <c r="A39" s="133">
        <v>45958</v>
      </c>
      <c r="B39" s="132" t="s">
        <v>100</v>
      </c>
      <c r="C39" s="140">
        <v>2922.1660000000002</v>
      </c>
      <c r="D39" s="140">
        <v>0</v>
      </c>
      <c r="E39" s="140">
        <v>6945.799</v>
      </c>
      <c r="F39" s="140">
        <v>4433.9449999999997</v>
      </c>
      <c r="G39" s="140">
        <v>2332.998</v>
      </c>
      <c r="H39" s="140">
        <v>2334.0540000000001</v>
      </c>
      <c r="I39" s="140">
        <v>4702.7569999999996</v>
      </c>
      <c r="J39" s="140">
        <v>3044.1329999999998</v>
      </c>
      <c r="K39" s="140">
        <v>2568.2170000000001</v>
      </c>
      <c r="L39" s="140">
        <v>2302.8939999999998</v>
      </c>
      <c r="M39" s="140">
        <v>2303.538</v>
      </c>
      <c r="N39" s="140">
        <v>3152.2570000000001</v>
      </c>
      <c r="O39" s="140">
        <v>1007.78</v>
      </c>
      <c r="P39" s="140">
        <v>5354.3320000000003</v>
      </c>
      <c r="Q39" s="140">
        <v>3603.9070000000002</v>
      </c>
      <c r="R39" s="140">
        <f t="shared" ref="R39:R41" si="18">SUM(C39:Q39)</f>
        <v>47008.776999999995</v>
      </c>
      <c r="S39" s="95"/>
      <c r="U39" s="375" t="s">
        <v>433</v>
      </c>
      <c r="V39" s="376"/>
      <c r="W39" s="376"/>
      <c r="X39" s="376"/>
      <c r="Y39" s="376"/>
      <c r="Z39" s="376"/>
      <c r="AA39" s="376"/>
      <c r="AJ39" s="369" t="s">
        <v>369</v>
      </c>
      <c r="AK39" s="326" t="s">
        <v>369</v>
      </c>
      <c r="AL39" s="326" t="s">
        <v>369</v>
      </c>
      <c r="AM39" s="326" t="s">
        <v>369</v>
      </c>
      <c r="AN39" s="326" t="s">
        <v>369</v>
      </c>
      <c r="AP39" s="134">
        <v>45891</v>
      </c>
      <c r="AQ39" s="134">
        <v>45945</v>
      </c>
      <c r="AR39" s="134">
        <v>45945</v>
      </c>
      <c r="AS39" s="145">
        <v>345</v>
      </c>
      <c r="AT39" s="144">
        <f t="shared" si="8"/>
        <v>5204.8200000000006</v>
      </c>
      <c r="AU39" s="144">
        <v>2980.78</v>
      </c>
      <c r="AV39" s="144">
        <v>15.28</v>
      </c>
      <c r="AW39" s="144">
        <f t="shared" si="7"/>
        <v>8.68</v>
      </c>
      <c r="AX39" s="144">
        <v>2205.4</v>
      </c>
      <c r="AY39" s="144">
        <v>3.36</v>
      </c>
      <c r="AZ39" s="280" t="s">
        <v>357</v>
      </c>
      <c r="BA39" s="1018"/>
      <c r="BS39" s="1018"/>
    </row>
    <row r="40" spans="1:71" s="96" customFormat="1" ht="15" customHeight="1" x14ac:dyDescent="0.25">
      <c r="A40" s="133">
        <v>45988</v>
      </c>
      <c r="B40" s="132" t="s">
        <v>100</v>
      </c>
      <c r="C40" s="140">
        <v>2943.5120000000002</v>
      </c>
      <c r="D40" s="140">
        <v>0</v>
      </c>
      <c r="E40" s="140">
        <v>6968.7520000000004</v>
      </c>
      <c r="F40" s="140">
        <v>4454.1090000000004</v>
      </c>
      <c r="G40" s="140">
        <v>2367.0149999999999</v>
      </c>
      <c r="H40" s="140">
        <v>2371.5309999999999</v>
      </c>
      <c r="I40" s="140">
        <v>4725.6549999999997</v>
      </c>
      <c r="J40" s="140">
        <v>3058.5250000000001</v>
      </c>
      <c r="K40" s="140">
        <v>2582.0619999999999</v>
      </c>
      <c r="L40" s="140">
        <v>2306.1149999999998</v>
      </c>
      <c r="M40" s="140">
        <v>2320.8020000000001</v>
      </c>
      <c r="N40" s="140">
        <v>3171.152</v>
      </c>
      <c r="O40" s="140">
        <v>1015.9349999999999</v>
      </c>
      <c r="P40" s="140">
        <v>5359.1480000000001</v>
      </c>
      <c r="Q40" s="140">
        <v>3615.8719999999998</v>
      </c>
      <c r="R40" s="140">
        <f t="shared" si="18"/>
        <v>47260.185000000005</v>
      </c>
      <c r="S40" s="95"/>
      <c r="U40" s="374" t="s">
        <v>511</v>
      </c>
      <c r="AJ40" s="369">
        <v>45931</v>
      </c>
      <c r="AK40" s="326">
        <v>348.46</v>
      </c>
      <c r="AL40" s="370"/>
      <c r="AM40" s="326">
        <v>478.07</v>
      </c>
      <c r="AN40" s="370"/>
      <c r="AP40" s="134">
        <v>45923</v>
      </c>
      <c r="AQ40" s="134">
        <v>45978</v>
      </c>
      <c r="AR40" s="134">
        <v>45978</v>
      </c>
      <c r="AS40" s="145">
        <v>274</v>
      </c>
      <c r="AT40" s="283">
        <f t="shared" si="8"/>
        <v>3715.8899999999994</v>
      </c>
      <c r="AU40" s="144">
        <v>2045.31</v>
      </c>
      <c r="AV40" s="144">
        <v>1.1000000000000001</v>
      </c>
      <c r="AW40" s="144">
        <f t="shared" si="7"/>
        <v>7.47</v>
      </c>
      <c r="AX40" s="283">
        <v>1669.24</v>
      </c>
      <c r="AY40" s="144">
        <v>0.24</v>
      </c>
      <c r="AZ40" s="281" t="s">
        <v>357</v>
      </c>
      <c r="BA40" s="1019"/>
      <c r="BS40" s="1019"/>
    </row>
    <row r="41" spans="1:71" s="96" customFormat="1" ht="15" customHeight="1" x14ac:dyDescent="0.25">
      <c r="A41" s="133">
        <v>46019</v>
      </c>
      <c r="B41" s="132" t="s">
        <v>100</v>
      </c>
      <c r="C41" s="140">
        <v>2965.83</v>
      </c>
      <c r="D41" s="140">
        <v>0</v>
      </c>
      <c r="E41" s="140">
        <v>6996.308</v>
      </c>
      <c r="F41" s="140">
        <v>4477.6980000000003</v>
      </c>
      <c r="G41" s="140">
        <v>2396.634</v>
      </c>
      <c r="H41" s="140">
        <v>2406.0149999999999</v>
      </c>
      <c r="I41" s="140">
        <v>4745.6220000000003</v>
      </c>
      <c r="J41" s="140">
        <v>3074.752</v>
      </c>
      <c r="K41" s="140">
        <v>2597.3780000000002</v>
      </c>
      <c r="L41" s="140">
        <v>2312.2170000000001</v>
      </c>
      <c r="M41" s="140">
        <v>2346.0239999999999</v>
      </c>
      <c r="N41" s="140">
        <v>3190.299</v>
      </c>
      <c r="O41" s="140">
        <v>1024.2539999999999</v>
      </c>
      <c r="P41" s="140">
        <v>5365.7269999999999</v>
      </c>
      <c r="Q41" s="140">
        <v>3633.8330000000001</v>
      </c>
      <c r="R41" s="140">
        <f t="shared" si="18"/>
        <v>47532.591</v>
      </c>
      <c r="S41" s="95"/>
      <c r="U41" s="374" t="s">
        <v>514</v>
      </c>
      <c r="AJ41" s="369">
        <v>45962</v>
      </c>
      <c r="AK41" s="326">
        <v>351.47</v>
      </c>
      <c r="AL41" s="370"/>
      <c r="AM41" s="326">
        <v>435.18</v>
      </c>
      <c r="AN41" s="370"/>
      <c r="AP41" s="134">
        <v>45954</v>
      </c>
      <c r="AQ41" s="134">
        <v>46006</v>
      </c>
      <c r="AR41" s="134">
        <v>46006</v>
      </c>
      <c r="AS41" s="145">
        <v>247</v>
      </c>
      <c r="AT41" s="144">
        <f t="shared" si="8"/>
        <v>3062.91</v>
      </c>
      <c r="AU41" s="144">
        <v>1760.49</v>
      </c>
      <c r="AV41" s="144">
        <v>0</v>
      </c>
      <c r="AW41" s="144">
        <f t="shared" si="7"/>
        <v>7.13</v>
      </c>
      <c r="AX41" s="144">
        <v>1302.42</v>
      </c>
      <c r="AY41" s="144">
        <v>0</v>
      </c>
      <c r="AZ41" s="281" t="s">
        <v>391</v>
      </c>
    </row>
    <row r="42" spans="1:71" s="96" customFormat="1" ht="15" customHeight="1" x14ac:dyDescent="0.25">
      <c r="A42" s="133">
        <v>46050</v>
      </c>
      <c r="B42" s="132" t="s">
        <v>100</v>
      </c>
      <c r="C42" s="140">
        <v>2983.2759999999998</v>
      </c>
      <c r="D42" s="140">
        <v>0</v>
      </c>
      <c r="E42" s="140">
        <v>7021.616</v>
      </c>
      <c r="F42" s="140">
        <v>4499.1760000000004</v>
      </c>
      <c r="G42" s="140">
        <v>2417.2750000000001</v>
      </c>
      <c r="H42" s="140">
        <v>2438.3850000000002</v>
      </c>
      <c r="I42" s="140">
        <v>4765.2439999999997</v>
      </c>
      <c r="J42" s="140">
        <v>3103.9369999999999</v>
      </c>
      <c r="K42" s="140">
        <v>2613.08</v>
      </c>
      <c r="L42" s="140">
        <v>2317.8319999999999</v>
      </c>
      <c r="M42" s="140">
        <v>2347.3649999999998</v>
      </c>
      <c r="N42" s="140">
        <v>3203.7539999999999</v>
      </c>
      <c r="O42" s="140">
        <v>1031.989</v>
      </c>
      <c r="P42" s="140">
        <v>5370.4979999999996</v>
      </c>
      <c r="Q42" s="140">
        <v>3647.9769999999999</v>
      </c>
      <c r="R42" s="140">
        <f t="shared" ref="R42:R44" si="19">SUM(C42:Q42)</f>
        <v>47761.404000000002</v>
      </c>
      <c r="S42" s="95"/>
      <c r="U42" s="374"/>
      <c r="AJ42" s="413"/>
      <c r="AK42" s="414"/>
      <c r="AL42" s="415"/>
      <c r="AM42" s="414"/>
      <c r="AN42" s="415"/>
      <c r="AP42" s="416"/>
      <c r="AQ42" s="416"/>
      <c r="AR42" s="416"/>
      <c r="AS42" s="417"/>
      <c r="AT42" s="418"/>
      <c r="AU42" s="418"/>
      <c r="AV42" s="418"/>
      <c r="AW42" s="418"/>
      <c r="AX42" s="418"/>
      <c r="AY42" s="418"/>
      <c r="AZ42" s="100"/>
    </row>
    <row r="43" spans="1:71" s="96" customFormat="1" ht="15" customHeight="1" x14ac:dyDescent="0.25">
      <c r="A43" s="488">
        <v>46081</v>
      </c>
      <c r="B43" s="511" t="s">
        <v>100</v>
      </c>
      <c r="C43" s="547">
        <v>3004.288</v>
      </c>
      <c r="D43" s="547">
        <v>0</v>
      </c>
      <c r="E43" s="547">
        <v>7046.0720000000001</v>
      </c>
      <c r="F43" s="547">
        <v>4520.8509999999997</v>
      </c>
      <c r="G43" s="547">
        <v>2434.7139999999999</v>
      </c>
      <c r="H43" s="547">
        <v>2472.444</v>
      </c>
      <c r="I43" s="547">
        <v>4788.6710000000003</v>
      </c>
      <c r="J43" s="547">
        <v>3150.2939999999999</v>
      </c>
      <c r="K43" s="547">
        <v>2627.2429999999999</v>
      </c>
      <c r="L43" s="547">
        <v>2321.4259999999999</v>
      </c>
      <c r="M43" s="547">
        <v>2352.7260000000001</v>
      </c>
      <c r="N43" s="547">
        <v>3217.6779999999999</v>
      </c>
      <c r="O43" s="547">
        <v>1038.48</v>
      </c>
      <c r="P43" s="547">
        <v>5375.9049999999997</v>
      </c>
      <c r="Q43" s="547">
        <v>3660.88</v>
      </c>
      <c r="R43" s="547">
        <f t="shared" si="19"/>
        <v>48011.671999999999</v>
      </c>
      <c r="S43" s="95"/>
      <c r="U43" s="374"/>
      <c r="AJ43" s="999"/>
      <c r="AK43" s="1000"/>
      <c r="AL43" s="1001"/>
      <c r="AM43" s="1000"/>
      <c r="AN43" s="1001"/>
      <c r="AP43" s="1002"/>
      <c r="AQ43" s="1002"/>
      <c r="AR43" s="1002"/>
      <c r="AS43" s="1003"/>
      <c r="AT43" s="1004"/>
      <c r="AU43" s="1004"/>
      <c r="AV43" s="1004"/>
      <c r="AW43" s="1004"/>
      <c r="AX43" s="1004"/>
      <c r="AY43" s="1004"/>
      <c r="AZ43" s="100"/>
    </row>
    <row r="44" spans="1:71" s="96" customFormat="1" ht="15" customHeight="1" x14ac:dyDescent="0.25">
      <c r="A44" s="488">
        <v>46109</v>
      </c>
      <c r="B44" s="511" t="s">
        <v>100</v>
      </c>
      <c r="C44" s="547">
        <v>3026.174</v>
      </c>
      <c r="D44" s="547">
        <v>0</v>
      </c>
      <c r="E44" s="547">
        <v>7062.835</v>
      </c>
      <c r="F44" s="547">
        <v>4540.6099999999997</v>
      </c>
      <c r="G44" s="547">
        <v>2454.7020000000002</v>
      </c>
      <c r="H44" s="547">
        <v>2498.0030000000002</v>
      </c>
      <c r="I44" s="547">
        <v>4812.4480000000003</v>
      </c>
      <c r="J44" s="547">
        <v>3175.7150000000001</v>
      </c>
      <c r="K44" s="547">
        <v>2640.6840000000002</v>
      </c>
      <c r="L44" s="547">
        <v>2325.4050000000002</v>
      </c>
      <c r="M44" s="547">
        <v>2353.4079999999999</v>
      </c>
      <c r="N44" s="547">
        <v>3231.136</v>
      </c>
      <c r="O44" s="547">
        <v>1045.67</v>
      </c>
      <c r="P44" s="547">
        <v>5380.4359999999997</v>
      </c>
      <c r="Q44" s="547">
        <v>3674.989</v>
      </c>
      <c r="R44" s="547">
        <f t="shared" si="19"/>
        <v>48222.215000000004</v>
      </c>
      <c r="S44" s="95"/>
      <c r="AJ44" s="212">
        <v>45992</v>
      </c>
      <c r="AK44" s="91">
        <v>346.4</v>
      </c>
      <c r="AL44" s="211"/>
      <c r="AM44" s="91">
        <v>490.06</v>
      </c>
      <c r="AN44" s="211"/>
      <c r="AP44" s="134">
        <v>45987</v>
      </c>
      <c r="AQ44" s="134">
        <v>46037</v>
      </c>
      <c r="AR44" s="560">
        <v>46036</v>
      </c>
      <c r="AS44" s="145">
        <v>269</v>
      </c>
      <c r="AT44" s="144">
        <f t="shared" si="8"/>
        <v>3466.7200000000003</v>
      </c>
      <c r="AU44" s="144">
        <v>1992.57</v>
      </c>
      <c r="AV44" s="144">
        <v>0</v>
      </c>
      <c r="AW44" s="144">
        <f t="shared" si="7"/>
        <v>7.41</v>
      </c>
      <c r="AX44" s="144">
        <v>1474.15</v>
      </c>
      <c r="AY44" s="144">
        <v>0</v>
      </c>
    </row>
    <row r="45" spans="1:71" s="96" customFormat="1" ht="15" customHeight="1" x14ac:dyDescent="0.25">
      <c r="S45" s="95"/>
      <c r="AJ45" s="212">
        <v>46023</v>
      </c>
      <c r="AK45" s="91">
        <v>0</v>
      </c>
      <c r="AL45" s="211"/>
      <c r="AM45" s="91">
        <v>526.57999999999993</v>
      </c>
      <c r="AN45" s="211"/>
      <c r="AP45" s="134">
        <v>46020</v>
      </c>
      <c r="AQ45" s="134">
        <v>46069</v>
      </c>
      <c r="AR45" s="493">
        <v>46071</v>
      </c>
      <c r="AS45" s="145">
        <v>189</v>
      </c>
      <c r="AT45" s="144">
        <f t="shared" si="8"/>
        <v>2101.4300000000003</v>
      </c>
      <c r="AU45" s="144">
        <v>1207.9100000000001</v>
      </c>
      <c r="AV45" s="144">
        <v>0</v>
      </c>
      <c r="AW45" s="144">
        <f t="shared" si="7"/>
        <v>6.39</v>
      </c>
      <c r="AX45" s="144">
        <v>893.52</v>
      </c>
      <c r="AY45" s="144">
        <v>0</v>
      </c>
    </row>
    <row r="46" spans="1:71" s="96" customFormat="1" ht="15" customHeight="1" x14ac:dyDescent="0.25">
      <c r="A46" s="371">
        <v>44893</v>
      </c>
      <c r="B46" s="372" t="s">
        <v>16</v>
      </c>
      <c r="C46" s="373">
        <v>247.339</v>
      </c>
      <c r="D46" s="373">
        <v>23.805</v>
      </c>
      <c r="E46" s="373">
        <v>824.58799999999997</v>
      </c>
      <c r="F46" s="373">
        <v>531.46299999999997</v>
      </c>
      <c r="G46" s="373">
        <v>318.20499999999998</v>
      </c>
      <c r="H46" s="373">
        <v>285.27300000000002</v>
      </c>
      <c r="I46" s="373">
        <v>661.15800000000002</v>
      </c>
      <c r="J46" s="373">
        <v>346.03699999999998</v>
      </c>
      <c r="K46" s="373">
        <v>251.363</v>
      </c>
      <c r="L46" s="373">
        <v>379.53100000000001</v>
      </c>
      <c r="M46" s="373">
        <v>311.73099999999999</v>
      </c>
      <c r="N46" s="373">
        <v>577.23500000000001</v>
      </c>
      <c r="O46" s="373">
        <v>340.32299999999998</v>
      </c>
      <c r="P46" s="373">
        <v>303.42399999999998</v>
      </c>
      <c r="Q46" s="373">
        <v>317.99099999999999</v>
      </c>
      <c r="R46" s="373">
        <f t="shared" ref="R46:R86" si="20">SUM(C46:Q46)</f>
        <v>5719.4659999999994</v>
      </c>
      <c r="S46" s="95"/>
      <c r="AJ46" s="551">
        <v>46054</v>
      </c>
      <c r="AK46" s="471">
        <v>0</v>
      </c>
      <c r="AL46" s="552"/>
      <c r="AM46" s="471">
        <v>463.47999999999996</v>
      </c>
      <c r="AN46" s="552"/>
      <c r="AP46" s="419">
        <v>46050</v>
      </c>
      <c r="AQ46" s="419">
        <v>46096</v>
      </c>
      <c r="AR46" s="560">
        <v>46099</v>
      </c>
      <c r="AS46" s="420">
        <v>83</v>
      </c>
      <c r="AT46" s="421">
        <f t="shared" si="8"/>
        <v>997.74</v>
      </c>
      <c r="AU46" s="421">
        <v>582.15</v>
      </c>
      <c r="AV46" s="421">
        <v>0</v>
      </c>
      <c r="AW46" s="421">
        <f t="shared" si="7"/>
        <v>7.01</v>
      </c>
      <c r="AX46" s="421">
        <v>415.59</v>
      </c>
      <c r="AY46" s="421">
        <v>0</v>
      </c>
    </row>
    <row r="47" spans="1:71" s="96" customFormat="1" ht="15" customHeight="1" x14ac:dyDescent="0.25">
      <c r="A47" s="133">
        <v>44923</v>
      </c>
      <c r="B47" s="132" t="s">
        <v>16</v>
      </c>
      <c r="C47" s="140">
        <v>247.339</v>
      </c>
      <c r="D47" s="140">
        <v>23.805</v>
      </c>
      <c r="E47" s="140">
        <v>828.85299999999995</v>
      </c>
      <c r="F47" s="140">
        <v>535.00900000000001</v>
      </c>
      <c r="G47" s="140">
        <v>319.31400000000002</v>
      </c>
      <c r="H47" s="140">
        <v>287.21300000000002</v>
      </c>
      <c r="I47" s="140">
        <v>664.81700000000001</v>
      </c>
      <c r="J47" s="140">
        <v>346.64699999999999</v>
      </c>
      <c r="K47" s="140">
        <v>252.518</v>
      </c>
      <c r="L47" s="140">
        <v>379.697</v>
      </c>
      <c r="M47" s="140">
        <v>313.77199999999999</v>
      </c>
      <c r="N47" s="140">
        <v>577.85199999999998</v>
      </c>
      <c r="O47" s="140">
        <v>341.88099999999997</v>
      </c>
      <c r="P47" s="140">
        <v>305.18400000000003</v>
      </c>
      <c r="Q47" s="140">
        <v>319.55700000000002</v>
      </c>
      <c r="R47" s="140">
        <f t="shared" si="20"/>
        <v>5743.4580000000005</v>
      </c>
      <c r="S47" s="95"/>
      <c r="AJ47" s="551">
        <v>46082</v>
      </c>
      <c r="AK47" s="471">
        <v>0</v>
      </c>
      <c r="AL47" s="552"/>
      <c r="AM47" s="471">
        <v>454.67</v>
      </c>
      <c r="AN47" s="552"/>
      <c r="AP47" s="493">
        <v>46078</v>
      </c>
      <c r="AQ47" s="493">
        <v>46127</v>
      </c>
      <c r="AR47" s="493"/>
      <c r="AS47" s="494">
        <v>76</v>
      </c>
      <c r="AT47" s="144">
        <f>AU47+AV47+AX47+AY47</f>
        <v>1010.35</v>
      </c>
      <c r="AU47" s="496">
        <v>581.08000000000004</v>
      </c>
      <c r="AV47" s="496">
        <v>0</v>
      </c>
      <c r="AW47" s="144">
        <f>ROUND((AU47+AV47)/AS47,2)</f>
        <v>7.65</v>
      </c>
      <c r="AX47" s="496">
        <v>429.27</v>
      </c>
      <c r="AY47" s="496">
        <v>0</v>
      </c>
    </row>
    <row r="48" spans="1:71" s="96" customFormat="1" ht="15" customHeight="1" x14ac:dyDescent="0.25">
      <c r="A48" s="133">
        <v>44954</v>
      </c>
      <c r="B48" s="132" t="s">
        <v>16</v>
      </c>
      <c r="C48" s="140">
        <v>247.339</v>
      </c>
      <c r="D48" s="140">
        <v>24.419</v>
      </c>
      <c r="E48" s="140">
        <v>832.81100000000004</v>
      </c>
      <c r="F48" s="140">
        <v>539.41800000000001</v>
      </c>
      <c r="G48" s="140">
        <v>320.83699999999999</v>
      </c>
      <c r="H48" s="140">
        <v>289.17700000000002</v>
      </c>
      <c r="I48" s="140">
        <v>669.71500000000003</v>
      </c>
      <c r="J48" s="140">
        <v>347.39299999999997</v>
      </c>
      <c r="K48" s="140">
        <v>253.96199999999999</v>
      </c>
      <c r="L48" s="140">
        <v>379.83300000000003</v>
      </c>
      <c r="M48" s="140">
        <v>315.99799999999999</v>
      </c>
      <c r="N48" s="140">
        <v>578.60199999999998</v>
      </c>
      <c r="O48" s="140">
        <v>343.82600000000002</v>
      </c>
      <c r="P48" s="140">
        <v>306.23</v>
      </c>
      <c r="Q48" s="140">
        <v>322.38099999999997</v>
      </c>
      <c r="R48" s="140">
        <f t="shared" si="20"/>
        <v>5771.9409999999998</v>
      </c>
      <c r="S48" s="95"/>
      <c r="AJ48" s="551">
        <v>46113</v>
      </c>
      <c r="AK48" s="471">
        <v>236.41</v>
      </c>
      <c r="AL48" s="552"/>
      <c r="AM48" s="471">
        <v>564.68000000000006</v>
      </c>
      <c r="AN48" s="552"/>
      <c r="AP48" s="493">
        <v>46097</v>
      </c>
      <c r="AQ48" s="493">
        <v>46157</v>
      </c>
      <c r="AR48" s="493"/>
      <c r="AS48" s="494">
        <v>229</v>
      </c>
      <c r="AT48" s="496">
        <f>AU48+AV48+AX48+AY48</f>
        <v>2943.7</v>
      </c>
      <c r="AU48" s="496">
        <v>1692.15</v>
      </c>
      <c r="AV48" s="496">
        <v>0</v>
      </c>
      <c r="AW48" s="496">
        <f>ROUND((AU48+AV48)/AS48,2)</f>
        <v>7.39</v>
      </c>
      <c r="AX48" s="496">
        <v>1251.55</v>
      </c>
      <c r="AY48" s="496">
        <v>0</v>
      </c>
    </row>
    <row r="49" spans="1:50" s="96" customFormat="1" ht="15" customHeight="1" x14ac:dyDescent="0.25">
      <c r="A49" s="133">
        <v>44985</v>
      </c>
      <c r="B49" s="132" t="s">
        <v>16</v>
      </c>
      <c r="C49" s="140">
        <v>247.339</v>
      </c>
      <c r="D49" s="140">
        <v>24.419</v>
      </c>
      <c r="E49" s="140">
        <v>836.99300000000005</v>
      </c>
      <c r="F49" s="140">
        <v>543.04899999999998</v>
      </c>
      <c r="G49" s="140">
        <v>321.69400000000002</v>
      </c>
      <c r="H49" s="140">
        <v>291.036</v>
      </c>
      <c r="I49" s="140">
        <v>674.31899999999996</v>
      </c>
      <c r="J49" s="140">
        <v>348.97899999999998</v>
      </c>
      <c r="K49" s="140">
        <v>255.71899999999999</v>
      </c>
      <c r="L49" s="140">
        <v>380.01100000000002</v>
      </c>
      <c r="M49" s="140">
        <v>318.90800000000002</v>
      </c>
      <c r="N49" s="140">
        <v>579.47</v>
      </c>
      <c r="O49" s="140">
        <v>345.92599999999999</v>
      </c>
      <c r="P49" s="140">
        <v>308.31799999999998</v>
      </c>
      <c r="Q49" s="140">
        <v>325.34100000000001</v>
      </c>
      <c r="R49" s="140">
        <f t="shared" si="20"/>
        <v>5801.5210000000006</v>
      </c>
      <c r="S49" s="95"/>
    </row>
    <row r="50" spans="1:50" s="96" customFormat="1" ht="15" customHeight="1" x14ac:dyDescent="0.25">
      <c r="A50" s="133">
        <v>45013</v>
      </c>
      <c r="B50" s="132" t="s">
        <v>16</v>
      </c>
      <c r="C50" s="140">
        <v>247.339</v>
      </c>
      <c r="D50" s="140">
        <v>24.419</v>
      </c>
      <c r="E50" s="140">
        <v>840.61800000000005</v>
      </c>
      <c r="F50" s="140">
        <v>546.17100000000005</v>
      </c>
      <c r="G50" s="140">
        <v>322.90600000000001</v>
      </c>
      <c r="H50" s="140">
        <v>292.56099999999998</v>
      </c>
      <c r="I50" s="140">
        <v>678.78099999999995</v>
      </c>
      <c r="J50" s="140">
        <v>349.90600000000001</v>
      </c>
      <c r="K50" s="140">
        <v>256.66800000000001</v>
      </c>
      <c r="L50" s="140">
        <v>380.25200000000001</v>
      </c>
      <c r="M50" s="140">
        <v>320.88799999999998</v>
      </c>
      <c r="N50" s="140">
        <v>580.09100000000001</v>
      </c>
      <c r="O50" s="140">
        <v>347.85700000000003</v>
      </c>
      <c r="P50" s="140">
        <v>310.80700000000002</v>
      </c>
      <c r="Q50" s="140">
        <v>327.75799999999998</v>
      </c>
      <c r="R50" s="140">
        <f t="shared" si="20"/>
        <v>5827.0219999999999</v>
      </c>
      <c r="S50" s="95"/>
    </row>
    <row r="51" spans="1:50" s="96" customFormat="1" ht="15" customHeight="1" x14ac:dyDescent="0.25">
      <c r="A51" s="133">
        <v>45044</v>
      </c>
      <c r="B51" s="132" t="s">
        <v>16</v>
      </c>
      <c r="C51" s="140">
        <v>247.339</v>
      </c>
      <c r="D51" s="140">
        <v>24.434999999999999</v>
      </c>
      <c r="E51" s="140">
        <v>844.35900000000004</v>
      </c>
      <c r="F51" s="140">
        <v>549.4</v>
      </c>
      <c r="G51" s="140">
        <v>324.815</v>
      </c>
      <c r="H51" s="140">
        <v>294.21899999999999</v>
      </c>
      <c r="I51" s="140">
        <v>683.40099999999995</v>
      </c>
      <c r="J51" s="140">
        <v>351.01600000000002</v>
      </c>
      <c r="K51" s="140">
        <v>257.65499999999997</v>
      </c>
      <c r="L51" s="140">
        <v>380.78</v>
      </c>
      <c r="M51" s="140">
        <v>323.32400000000001</v>
      </c>
      <c r="N51" s="140">
        <v>581.12900000000002</v>
      </c>
      <c r="O51" s="140">
        <v>349.495</v>
      </c>
      <c r="P51" s="140">
        <v>312.57100000000003</v>
      </c>
      <c r="Q51" s="140">
        <v>330.21699999999998</v>
      </c>
      <c r="R51" s="140">
        <f t="shared" si="20"/>
        <v>5854.1549999999988</v>
      </c>
      <c r="S51" s="95"/>
    </row>
    <row r="52" spans="1:50" s="96" customFormat="1" ht="15" customHeight="1" x14ac:dyDescent="0.25">
      <c r="A52" s="133">
        <v>45074</v>
      </c>
      <c r="B52" s="132" t="s">
        <v>16</v>
      </c>
      <c r="C52" s="140">
        <v>247.339</v>
      </c>
      <c r="D52" s="140">
        <v>24.434999999999999</v>
      </c>
      <c r="E52" s="140">
        <v>848.57500000000005</v>
      </c>
      <c r="F52" s="140">
        <v>552.61</v>
      </c>
      <c r="G52" s="140">
        <v>326.08600000000001</v>
      </c>
      <c r="H52" s="140">
        <v>296.15499999999997</v>
      </c>
      <c r="I52" s="140">
        <v>687.64599999999996</v>
      </c>
      <c r="J52" s="140">
        <v>351.94200000000001</v>
      </c>
      <c r="K52" s="140">
        <v>259.13299999999998</v>
      </c>
      <c r="L52" s="140">
        <v>381.05599999999998</v>
      </c>
      <c r="M52" s="140">
        <v>326.11700000000002</v>
      </c>
      <c r="N52" s="140">
        <v>581.79999999999995</v>
      </c>
      <c r="O52" s="140">
        <v>351.036</v>
      </c>
      <c r="P52" s="140">
        <v>314.40100000000001</v>
      </c>
      <c r="Q52" s="140">
        <v>331.70100000000002</v>
      </c>
      <c r="R52" s="140">
        <f t="shared" si="20"/>
        <v>5880.0320000000002</v>
      </c>
      <c r="S52" s="95"/>
    </row>
    <row r="53" spans="1:50" s="96" customFormat="1" ht="15" customHeight="1" x14ac:dyDescent="0.25">
      <c r="A53" s="133">
        <v>45105</v>
      </c>
      <c r="B53" s="132" t="s">
        <v>16</v>
      </c>
      <c r="C53" s="140">
        <v>247.339</v>
      </c>
      <c r="D53" s="140">
        <v>24.484000000000002</v>
      </c>
      <c r="E53" s="140">
        <v>852.755</v>
      </c>
      <c r="F53" s="140">
        <v>556.73299999999995</v>
      </c>
      <c r="G53" s="140">
        <v>328.81200000000001</v>
      </c>
      <c r="H53" s="140">
        <v>299.19</v>
      </c>
      <c r="I53" s="140">
        <v>692.10500000000002</v>
      </c>
      <c r="J53" s="140">
        <v>352.98700000000002</v>
      </c>
      <c r="K53" s="140">
        <v>260.97000000000003</v>
      </c>
      <c r="L53" s="140">
        <v>381.23200000000003</v>
      </c>
      <c r="M53" s="140">
        <v>328.74400000000003</v>
      </c>
      <c r="N53" s="140">
        <v>582.73599999999999</v>
      </c>
      <c r="O53" s="140">
        <v>353.01499999999999</v>
      </c>
      <c r="P53" s="140">
        <v>316.60500000000002</v>
      </c>
      <c r="Q53" s="140">
        <v>333.73</v>
      </c>
      <c r="R53" s="140">
        <f t="shared" si="20"/>
        <v>5911.4369999999999</v>
      </c>
      <c r="S53" s="95"/>
    </row>
    <row r="54" spans="1:50" s="96" customFormat="1" ht="15" customHeight="1" x14ac:dyDescent="0.25">
      <c r="A54" s="133">
        <v>45138</v>
      </c>
      <c r="B54" s="132" t="s">
        <v>16</v>
      </c>
      <c r="C54" s="140">
        <v>247.339</v>
      </c>
      <c r="D54" s="140">
        <v>24.503</v>
      </c>
      <c r="E54" s="140">
        <v>857.90200000000004</v>
      </c>
      <c r="F54" s="140">
        <v>559.94000000000005</v>
      </c>
      <c r="G54" s="140">
        <v>331.541</v>
      </c>
      <c r="H54" s="140">
        <v>301.637</v>
      </c>
      <c r="I54" s="140">
        <v>698.41600000000005</v>
      </c>
      <c r="J54" s="140">
        <v>354.38200000000001</v>
      </c>
      <c r="K54" s="140">
        <v>262.63299999999998</v>
      </c>
      <c r="L54" s="140">
        <v>381.39</v>
      </c>
      <c r="M54" s="140">
        <v>331.435</v>
      </c>
      <c r="N54" s="140">
        <v>583.63099999999997</v>
      </c>
      <c r="O54" s="140">
        <v>353.935</v>
      </c>
      <c r="P54" s="140">
        <v>319.37599999999998</v>
      </c>
      <c r="Q54" s="140">
        <v>335.80799999999999</v>
      </c>
      <c r="R54" s="140">
        <f t="shared" si="20"/>
        <v>5943.8680000000013</v>
      </c>
      <c r="S54" s="95"/>
    </row>
    <row r="55" spans="1:50" s="96" customFormat="1" ht="15" customHeight="1" x14ac:dyDescent="0.25">
      <c r="A55" s="133">
        <v>45166</v>
      </c>
      <c r="B55" s="132" t="s">
        <v>16</v>
      </c>
      <c r="C55" s="140">
        <v>247.339</v>
      </c>
      <c r="D55" s="140">
        <v>24.867999999999999</v>
      </c>
      <c r="E55" s="140">
        <v>862.40200000000004</v>
      </c>
      <c r="F55" s="140">
        <v>563.53700000000003</v>
      </c>
      <c r="G55" s="140">
        <v>334.19400000000002</v>
      </c>
      <c r="H55" s="140">
        <v>303.75400000000002</v>
      </c>
      <c r="I55" s="140">
        <v>702.73</v>
      </c>
      <c r="J55" s="140">
        <v>355.47300000000001</v>
      </c>
      <c r="K55" s="140">
        <v>263.89100000000002</v>
      </c>
      <c r="L55" s="140">
        <v>381.505</v>
      </c>
      <c r="M55" s="140">
        <v>333.37599999999998</v>
      </c>
      <c r="N55" s="140">
        <v>584.35900000000004</v>
      </c>
      <c r="O55" s="140">
        <v>354.55399999999997</v>
      </c>
      <c r="P55" s="140">
        <v>321.59100000000001</v>
      </c>
      <c r="Q55" s="140">
        <v>338.28899999999999</v>
      </c>
      <c r="R55" s="140">
        <f t="shared" si="20"/>
        <v>5971.862000000001</v>
      </c>
      <c r="S55" s="95"/>
    </row>
    <row r="56" spans="1:50" s="96" customFormat="1" ht="15" customHeight="1" x14ac:dyDescent="0.25">
      <c r="A56" s="133">
        <v>45197</v>
      </c>
      <c r="B56" s="132" t="s">
        <v>16</v>
      </c>
      <c r="C56" s="140">
        <v>247.339</v>
      </c>
      <c r="D56" s="140">
        <v>25.024999999999999</v>
      </c>
      <c r="E56" s="140">
        <v>865.57299999999998</v>
      </c>
      <c r="F56" s="140">
        <v>566.63499999999999</v>
      </c>
      <c r="G56" s="140">
        <v>336.34899999999999</v>
      </c>
      <c r="H56" s="140">
        <v>305.93400000000003</v>
      </c>
      <c r="I56" s="140">
        <v>707.56799999999998</v>
      </c>
      <c r="J56" s="140">
        <v>356.64600000000002</v>
      </c>
      <c r="K56" s="140">
        <v>264.995</v>
      </c>
      <c r="L56" s="140">
        <v>381.59300000000002</v>
      </c>
      <c r="M56" s="140">
        <v>335.56099999999998</v>
      </c>
      <c r="N56" s="140">
        <v>585.02200000000005</v>
      </c>
      <c r="O56" s="140">
        <v>355.42599999999999</v>
      </c>
      <c r="P56" s="140">
        <v>323.70499999999998</v>
      </c>
      <c r="Q56" s="140">
        <v>340.05</v>
      </c>
      <c r="R56" s="140">
        <f t="shared" si="20"/>
        <v>5997.4210000000003</v>
      </c>
      <c r="S56" s="95"/>
      <c r="AJ56" s="375" t="s">
        <v>433</v>
      </c>
      <c r="AK56" s="376"/>
      <c r="AL56" s="376"/>
      <c r="AM56" s="376"/>
      <c r="AN56" s="376"/>
      <c r="AO56" s="376"/>
      <c r="AQ56" s="375" t="s">
        <v>433</v>
      </c>
      <c r="AR56" s="376"/>
      <c r="AS56" s="376"/>
      <c r="AT56" s="376"/>
      <c r="AU56" s="376"/>
      <c r="AV56" s="376"/>
      <c r="AW56" s="376"/>
    </row>
    <row r="57" spans="1:50" s="96" customFormat="1" ht="15" customHeight="1" x14ac:dyDescent="0.25">
      <c r="A57" s="133">
        <v>45227</v>
      </c>
      <c r="B57" s="132" t="s">
        <v>16</v>
      </c>
      <c r="C57" s="140">
        <v>247.339</v>
      </c>
      <c r="D57" s="140">
        <v>25.538</v>
      </c>
      <c r="E57" s="140">
        <v>868.00900000000001</v>
      </c>
      <c r="F57" s="140">
        <v>569.68100000000004</v>
      </c>
      <c r="G57" s="140">
        <v>338.197</v>
      </c>
      <c r="H57" s="140">
        <v>307.80099999999999</v>
      </c>
      <c r="I57" s="140">
        <v>711.59</v>
      </c>
      <c r="J57" s="140">
        <v>357.572</v>
      </c>
      <c r="K57" s="140">
        <v>266.108</v>
      </c>
      <c r="L57" s="140">
        <v>381.68700000000001</v>
      </c>
      <c r="M57" s="140">
        <v>338.05700000000002</v>
      </c>
      <c r="N57" s="140">
        <v>585.74800000000005</v>
      </c>
      <c r="O57" s="140">
        <v>356.36200000000002</v>
      </c>
      <c r="P57" s="140">
        <v>325.83699999999999</v>
      </c>
      <c r="Q57" s="140">
        <v>341.51</v>
      </c>
      <c r="R57" s="140">
        <f t="shared" si="20"/>
        <v>6021.0360000000019</v>
      </c>
      <c r="S57" s="95"/>
      <c r="AJ57" s="374" t="s">
        <v>509</v>
      </c>
      <c r="AQ57" s="374" t="s">
        <v>509</v>
      </c>
      <c r="AX57" s="96" t="s">
        <v>431</v>
      </c>
    </row>
    <row r="58" spans="1:50" s="96" customFormat="1" ht="15" customHeight="1" x14ac:dyDescent="0.25">
      <c r="A58" s="133">
        <v>45258</v>
      </c>
      <c r="B58" s="132" t="s">
        <v>16</v>
      </c>
      <c r="C58" s="140">
        <v>247.339</v>
      </c>
      <c r="D58" s="140">
        <v>25.831</v>
      </c>
      <c r="E58" s="140">
        <v>871.48199999999997</v>
      </c>
      <c r="F58" s="140">
        <v>572.16300000000001</v>
      </c>
      <c r="G58" s="140">
        <v>340.27</v>
      </c>
      <c r="H58" s="140">
        <v>309.423</v>
      </c>
      <c r="I58" s="140">
        <v>715.65200000000004</v>
      </c>
      <c r="J58" s="140">
        <v>358.45499999999998</v>
      </c>
      <c r="K58" s="140">
        <v>267.589</v>
      </c>
      <c r="L58" s="140">
        <v>381.88400000000001</v>
      </c>
      <c r="M58" s="140">
        <v>340.94900000000001</v>
      </c>
      <c r="N58" s="140">
        <v>586.51800000000003</v>
      </c>
      <c r="O58" s="140">
        <v>357.42899999999997</v>
      </c>
      <c r="P58" s="140">
        <v>325.96899999999999</v>
      </c>
      <c r="Q58" s="140">
        <v>343.476</v>
      </c>
      <c r="R58" s="140">
        <f t="shared" si="20"/>
        <v>6044.4289999999992</v>
      </c>
      <c r="S58" s="95"/>
      <c r="AJ58" s="374" t="s">
        <v>510</v>
      </c>
      <c r="AQ58" s="374" t="s">
        <v>510</v>
      </c>
      <c r="AX58" s="96" t="s">
        <v>431</v>
      </c>
    </row>
    <row r="59" spans="1:50" s="96" customFormat="1" ht="15" customHeight="1" x14ac:dyDescent="0.25">
      <c r="A59" s="133">
        <v>45288</v>
      </c>
      <c r="B59" s="132" t="s">
        <v>16</v>
      </c>
      <c r="C59" s="140">
        <v>247.339</v>
      </c>
      <c r="D59" s="140">
        <v>26.256</v>
      </c>
      <c r="E59" s="140">
        <v>876.62699999999995</v>
      </c>
      <c r="F59" s="140">
        <v>575.78899999999999</v>
      </c>
      <c r="G59" s="140">
        <v>341.93599999999998</v>
      </c>
      <c r="H59" s="140">
        <v>311.23399999999998</v>
      </c>
      <c r="I59" s="140">
        <v>719.76199999999994</v>
      </c>
      <c r="J59" s="140">
        <v>359.34699999999998</v>
      </c>
      <c r="K59" s="140">
        <v>269.173</v>
      </c>
      <c r="L59" s="140">
        <v>381.96699999999998</v>
      </c>
      <c r="M59" s="140">
        <v>343.14800000000002</v>
      </c>
      <c r="N59" s="140">
        <v>587.14499999999998</v>
      </c>
      <c r="O59" s="140">
        <v>358.25599999999997</v>
      </c>
      <c r="P59" s="140">
        <v>325.96899999999999</v>
      </c>
      <c r="Q59" s="140">
        <v>345.96699999999998</v>
      </c>
      <c r="R59" s="140">
        <f t="shared" si="20"/>
        <v>6069.915</v>
      </c>
      <c r="S59" s="95"/>
    </row>
    <row r="60" spans="1:50" s="96" customFormat="1" ht="15" customHeight="1" x14ac:dyDescent="0.25">
      <c r="A60" s="133">
        <v>45319</v>
      </c>
      <c r="B60" s="132" t="s">
        <v>16</v>
      </c>
      <c r="C60" s="140">
        <v>247.339</v>
      </c>
      <c r="D60" s="140">
        <v>26.286000000000001</v>
      </c>
      <c r="E60" s="140">
        <v>881.68600000000004</v>
      </c>
      <c r="F60" s="140">
        <v>579.125</v>
      </c>
      <c r="G60" s="140">
        <v>345.59399999999999</v>
      </c>
      <c r="H60" s="140">
        <v>313.23599999999999</v>
      </c>
      <c r="I60" s="140">
        <v>724.61099999999999</v>
      </c>
      <c r="J60" s="140">
        <v>360.29700000000003</v>
      </c>
      <c r="K60" s="140">
        <v>270.84899999999999</v>
      </c>
      <c r="L60" s="140">
        <v>382.10599999999999</v>
      </c>
      <c r="M60" s="140">
        <v>345.14499999999998</v>
      </c>
      <c r="N60" s="140">
        <v>588.26300000000003</v>
      </c>
      <c r="O60" s="140">
        <v>359.26</v>
      </c>
      <c r="P60" s="140">
        <v>325.96899999999999</v>
      </c>
      <c r="Q60" s="140">
        <v>348.16800000000001</v>
      </c>
      <c r="R60" s="140">
        <f t="shared" si="20"/>
        <v>6097.9339999999993</v>
      </c>
      <c r="S60" s="95"/>
    </row>
    <row r="61" spans="1:50" s="96" customFormat="1" ht="15" customHeight="1" x14ac:dyDescent="0.25">
      <c r="A61" s="133">
        <v>45350</v>
      </c>
      <c r="B61" s="132" t="s">
        <v>16</v>
      </c>
      <c r="C61" s="140">
        <v>247.339</v>
      </c>
      <c r="D61" s="140">
        <v>26.341999999999999</v>
      </c>
      <c r="E61" s="140">
        <v>886.31</v>
      </c>
      <c r="F61" s="140">
        <v>581.93100000000004</v>
      </c>
      <c r="G61" s="140">
        <v>348.22899999999998</v>
      </c>
      <c r="H61" s="140">
        <v>315.83300000000003</v>
      </c>
      <c r="I61" s="140">
        <v>728.95</v>
      </c>
      <c r="J61" s="140">
        <v>361.08100000000002</v>
      </c>
      <c r="K61" s="140">
        <v>272.55799999999999</v>
      </c>
      <c r="L61" s="140">
        <v>382.31900000000002</v>
      </c>
      <c r="M61" s="140">
        <v>347.76299999999998</v>
      </c>
      <c r="N61" s="140">
        <v>588.96400000000006</v>
      </c>
      <c r="O61" s="140">
        <v>360.61099999999999</v>
      </c>
      <c r="P61" s="140">
        <v>325.96899999999999</v>
      </c>
      <c r="Q61" s="140">
        <v>351.14100000000002</v>
      </c>
      <c r="R61" s="140">
        <f t="shared" si="20"/>
        <v>6125.34</v>
      </c>
      <c r="S61" s="95"/>
    </row>
    <row r="62" spans="1:50" s="96" customFormat="1" x14ac:dyDescent="0.25">
      <c r="A62" s="133">
        <v>45379</v>
      </c>
      <c r="B62" s="132" t="s">
        <v>16</v>
      </c>
      <c r="C62" s="140">
        <v>247.339</v>
      </c>
      <c r="D62" s="140">
        <v>26.437000000000001</v>
      </c>
      <c r="E62" s="140">
        <v>890.55899999999997</v>
      </c>
      <c r="F62" s="140">
        <v>584.34400000000005</v>
      </c>
      <c r="G62" s="140">
        <v>351.04700000000003</v>
      </c>
      <c r="H62" s="140">
        <v>317.62099999999998</v>
      </c>
      <c r="I62" s="140">
        <v>731.68700000000001</v>
      </c>
      <c r="J62" s="140">
        <v>361.71300000000002</v>
      </c>
      <c r="K62" s="140">
        <v>273.87</v>
      </c>
      <c r="L62" s="140">
        <v>382.82499999999999</v>
      </c>
      <c r="M62" s="140">
        <v>349.77499999999998</v>
      </c>
      <c r="N62" s="140">
        <v>589.71100000000001</v>
      </c>
      <c r="O62" s="140">
        <v>362.92099999999999</v>
      </c>
      <c r="P62" s="140">
        <v>325.96899999999999</v>
      </c>
      <c r="Q62" s="140">
        <v>353.71499999999997</v>
      </c>
      <c r="R62" s="140">
        <f t="shared" si="20"/>
        <v>6149.5330000000004</v>
      </c>
      <c r="S62" s="95"/>
    </row>
    <row r="63" spans="1:50" s="96" customFormat="1" x14ac:dyDescent="0.25">
      <c r="A63" s="133">
        <v>45411</v>
      </c>
      <c r="B63" s="132" t="s">
        <v>16</v>
      </c>
      <c r="C63" s="140">
        <v>247.339</v>
      </c>
      <c r="D63" s="140">
        <v>26.489000000000001</v>
      </c>
      <c r="E63" s="140">
        <v>895.18100000000004</v>
      </c>
      <c r="F63" s="140">
        <v>587.56299999999999</v>
      </c>
      <c r="G63" s="140">
        <v>352.87700000000001</v>
      </c>
      <c r="H63" s="140">
        <v>319.70699999999999</v>
      </c>
      <c r="I63" s="140">
        <v>734.81500000000005</v>
      </c>
      <c r="J63" s="140">
        <v>362.42099999999999</v>
      </c>
      <c r="K63" s="140">
        <v>275.61500000000001</v>
      </c>
      <c r="L63" s="140">
        <v>383.31299999999999</v>
      </c>
      <c r="M63" s="140">
        <v>352.12200000000001</v>
      </c>
      <c r="N63" s="140">
        <v>590.41999999999996</v>
      </c>
      <c r="O63" s="140">
        <v>364.95400000000001</v>
      </c>
      <c r="P63" s="140">
        <v>325.96899999999999</v>
      </c>
      <c r="Q63" s="140">
        <v>356.14699999999999</v>
      </c>
      <c r="R63" s="140">
        <f t="shared" si="20"/>
        <v>6174.9319999999998</v>
      </c>
      <c r="S63" s="95"/>
    </row>
    <row r="64" spans="1:50" s="96" customFormat="1" x14ac:dyDescent="0.25">
      <c r="A64" s="133">
        <v>45441</v>
      </c>
      <c r="B64" s="132" t="s">
        <v>16</v>
      </c>
      <c r="C64" s="140">
        <v>247.339</v>
      </c>
      <c r="D64" s="140">
        <v>26.581</v>
      </c>
      <c r="E64" s="140">
        <v>899.35199999999998</v>
      </c>
      <c r="F64" s="140">
        <v>590.11099999999999</v>
      </c>
      <c r="G64" s="140">
        <v>354.88400000000001</v>
      </c>
      <c r="H64" s="140">
        <v>321.04599999999999</v>
      </c>
      <c r="I64" s="140">
        <v>739.02</v>
      </c>
      <c r="J64" s="140">
        <v>362.60899999999998</v>
      </c>
      <c r="K64" s="140">
        <v>276.428</v>
      </c>
      <c r="L64" s="140">
        <v>383.68599999999998</v>
      </c>
      <c r="M64" s="140">
        <v>354.07400000000001</v>
      </c>
      <c r="N64" s="140">
        <v>590.99</v>
      </c>
      <c r="O64" s="140">
        <v>367.18</v>
      </c>
      <c r="P64" s="140">
        <v>325.96899999999999</v>
      </c>
      <c r="Q64" s="140">
        <v>357.91199999999998</v>
      </c>
      <c r="R64" s="140">
        <f t="shared" si="20"/>
        <v>6197.1809999999996</v>
      </c>
      <c r="S64" s="95"/>
    </row>
    <row r="65" spans="1:19" s="96" customFormat="1" ht="15" customHeight="1" x14ac:dyDescent="0.25">
      <c r="A65" s="133">
        <v>45471</v>
      </c>
      <c r="B65" s="132" t="s">
        <v>16</v>
      </c>
      <c r="C65" s="140">
        <v>247.339</v>
      </c>
      <c r="D65" s="140">
        <v>26.617000000000001</v>
      </c>
      <c r="E65" s="140">
        <v>902.72400000000005</v>
      </c>
      <c r="F65" s="140">
        <v>593.34699999999998</v>
      </c>
      <c r="G65" s="140">
        <v>356.44</v>
      </c>
      <c r="H65" s="140">
        <v>323.03399999999999</v>
      </c>
      <c r="I65" s="140">
        <v>742.84100000000001</v>
      </c>
      <c r="J65" s="140">
        <v>363.137</v>
      </c>
      <c r="K65" s="140">
        <v>277.93400000000003</v>
      </c>
      <c r="L65" s="140">
        <v>384.47500000000002</v>
      </c>
      <c r="M65" s="140">
        <v>355.99099999999999</v>
      </c>
      <c r="N65" s="140">
        <v>591.572</v>
      </c>
      <c r="O65" s="140">
        <v>368.62599999999998</v>
      </c>
      <c r="P65" s="140">
        <v>325.96899999999999</v>
      </c>
      <c r="Q65" s="140">
        <v>359.887</v>
      </c>
      <c r="R65" s="140">
        <f t="shared" si="20"/>
        <v>6219.9330000000009</v>
      </c>
      <c r="S65" s="95"/>
    </row>
    <row r="66" spans="1:19" s="96" customFormat="1" ht="15" customHeight="1" x14ac:dyDescent="0.25">
      <c r="A66" s="133">
        <v>45501</v>
      </c>
      <c r="B66" s="132" t="s">
        <v>16</v>
      </c>
      <c r="C66" s="140">
        <v>247.339</v>
      </c>
      <c r="D66" s="140">
        <v>26.648</v>
      </c>
      <c r="E66" s="140">
        <v>908.48500000000001</v>
      </c>
      <c r="F66" s="140">
        <v>596.26700000000005</v>
      </c>
      <c r="G66" s="140">
        <v>358.66899999999998</v>
      </c>
      <c r="H66" s="140">
        <v>325.18900000000002</v>
      </c>
      <c r="I66" s="140">
        <v>747.18200000000002</v>
      </c>
      <c r="J66" s="140">
        <v>364.036</v>
      </c>
      <c r="K66" s="140">
        <v>279.952</v>
      </c>
      <c r="L66" s="140">
        <v>385.19299999999998</v>
      </c>
      <c r="M66" s="140">
        <v>358.34399999999999</v>
      </c>
      <c r="N66" s="140">
        <v>592.173</v>
      </c>
      <c r="O66" s="140">
        <v>370.00299999999999</v>
      </c>
      <c r="P66" s="140">
        <v>325.96899999999999</v>
      </c>
      <c r="Q66" s="140">
        <v>361.52600000000001</v>
      </c>
      <c r="R66" s="140">
        <f t="shared" si="20"/>
        <v>6246.9749999999995</v>
      </c>
      <c r="S66" s="95"/>
    </row>
    <row r="67" spans="1:19" s="96" customFormat="1" x14ac:dyDescent="0.25">
      <c r="A67" s="133">
        <v>45532</v>
      </c>
      <c r="B67" s="132" t="s">
        <v>16</v>
      </c>
      <c r="C67" s="140">
        <v>247.339</v>
      </c>
      <c r="D67" s="140">
        <v>26.672999999999998</v>
      </c>
      <c r="E67" s="140">
        <v>914.93499999999995</v>
      </c>
      <c r="F67" s="140">
        <v>599.39499999999998</v>
      </c>
      <c r="G67" s="140">
        <v>361.06400000000002</v>
      </c>
      <c r="H67" s="140">
        <v>327.47899999999998</v>
      </c>
      <c r="I67" s="140">
        <v>752.22400000000005</v>
      </c>
      <c r="J67" s="140">
        <v>365.20299999999997</v>
      </c>
      <c r="K67" s="140">
        <v>281.80799999999999</v>
      </c>
      <c r="L67" s="140">
        <v>385.55099999999999</v>
      </c>
      <c r="M67" s="140">
        <v>361.46499999999997</v>
      </c>
      <c r="N67" s="140">
        <v>592.83500000000004</v>
      </c>
      <c r="O67" s="140">
        <v>371.71</v>
      </c>
      <c r="P67" s="140">
        <v>326.166</v>
      </c>
      <c r="Q67" s="140">
        <v>362.69499999999999</v>
      </c>
      <c r="R67" s="140">
        <f t="shared" si="20"/>
        <v>6276.5420000000004</v>
      </c>
      <c r="S67" s="95"/>
    </row>
    <row r="68" spans="1:19" s="96" customFormat="1" x14ac:dyDescent="0.25">
      <c r="A68" s="133">
        <v>45563</v>
      </c>
      <c r="B68" s="132" t="s">
        <v>16</v>
      </c>
      <c r="C68" s="140">
        <v>247.339</v>
      </c>
      <c r="D68" s="140">
        <v>26.748999999999999</v>
      </c>
      <c r="E68" s="140">
        <v>919.09699999999998</v>
      </c>
      <c r="F68" s="140">
        <v>602.202</v>
      </c>
      <c r="G68" s="140">
        <v>363.21100000000001</v>
      </c>
      <c r="H68" s="140">
        <v>329.18799999999999</v>
      </c>
      <c r="I68" s="140">
        <v>756.279</v>
      </c>
      <c r="J68" s="140">
        <v>366.286</v>
      </c>
      <c r="K68" s="140">
        <v>283.30700000000002</v>
      </c>
      <c r="L68" s="140">
        <v>385.99599999999998</v>
      </c>
      <c r="M68" s="140">
        <v>364.21300000000002</v>
      </c>
      <c r="N68" s="140">
        <v>593.43299999999999</v>
      </c>
      <c r="O68" s="140">
        <v>373.71899999999999</v>
      </c>
      <c r="P68" s="140">
        <v>326.56700000000001</v>
      </c>
      <c r="Q68" s="140">
        <v>364.13600000000002</v>
      </c>
      <c r="R68" s="140">
        <f t="shared" si="20"/>
        <v>6301.7220000000007</v>
      </c>
      <c r="S68" s="95"/>
    </row>
    <row r="69" spans="1:19" s="96" customFormat="1" ht="15" customHeight="1" x14ac:dyDescent="0.25">
      <c r="A69" s="133">
        <v>45593</v>
      </c>
      <c r="B69" s="132" t="s">
        <v>16</v>
      </c>
      <c r="C69" s="140">
        <v>247.339</v>
      </c>
      <c r="D69" s="140">
        <v>26.838000000000001</v>
      </c>
      <c r="E69" s="140">
        <v>922.07899999999995</v>
      </c>
      <c r="F69" s="140">
        <v>604.774</v>
      </c>
      <c r="G69" s="140">
        <v>365.82600000000002</v>
      </c>
      <c r="H69" s="140">
        <v>331.45</v>
      </c>
      <c r="I69" s="140">
        <v>760.14300000000003</v>
      </c>
      <c r="J69" s="140">
        <v>367.48899999999998</v>
      </c>
      <c r="K69" s="140">
        <v>284.48599999999999</v>
      </c>
      <c r="L69" s="140">
        <v>386.3</v>
      </c>
      <c r="M69" s="140">
        <v>366.923</v>
      </c>
      <c r="N69" s="140">
        <v>594.33299999999997</v>
      </c>
      <c r="O69" s="140">
        <v>374.99599999999998</v>
      </c>
      <c r="P69" s="140">
        <v>326.577</v>
      </c>
      <c r="Q69" s="140">
        <v>365.38200000000001</v>
      </c>
      <c r="R69" s="140">
        <f t="shared" si="20"/>
        <v>6324.9349999999986</v>
      </c>
      <c r="S69" s="95"/>
    </row>
    <row r="70" spans="1:19" s="96" customFormat="1" ht="15" customHeight="1" x14ac:dyDescent="0.25">
      <c r="A70" s="133">
        <v>45624</v>
      </c>
      <c r="B70" s="132" t="s">
        <v>16</v>
      </c>
      <c r="C70" s="140">
        <v>247.339</v>
      </c>
      <c r="D70" s="140">
        <v>26.88</v>
      </c>
      <c r="E70" s="140">
        <v>924.48199999999997</v>
      </c>
      <c r="F70" s="140">
        <v>608.00300000000004</v>
      </c>
      <c r="G70" s="140">
        <v>368.221</v>
      </c>
      <c r="H70" s="140">
        <v>333.41500000000002</v>
      </c>
      <c r="I70" s="140">
        <v>764.38400000000001</v>
      </c>
      <c r="J70" s="140">
        <v>368.48599999999999</v>
      </c>
      <c r="K70" s="140">
        <v>285.899</v>
      </c>
      <c r="L70" s="140">
        <v>387.10399999999998</v>
      </c>
      <c r="M70" s="140">
        <v>369.18099999999998</v>
      </c>
      <c r="N70" s="140">
        <v>595.22699999999998</v>
      </c>
      <c r="O70" s="140">
        <v>376.69600000000003</v>
      </c>
      <c r="P70" s="140">
        <v>326.577</v>
      </c>
      <c r="Q70" s="140">
        <v>367.22500000000002</v>
      </c>
      <c r="R70" s="140">
        <f t="shared" si="20"/>
        <v>6349.1189999999997</v>
      </c>
      <c r="S70" s="95"/>
    </row>
    <row r="71" spans="1:19" s="96" customFormat="1" x14ac:dyDescent="0.25">
      <c r="A71" s="133">
        <v>45654</v>
      </c>
      <c r="B71" s="132" t="s">
        <v>16</v>
      </c>
      <c r="C71" s="140">
        <v>247.339</v>
      </c>
      <c r="D71" s="140">
        <v>26.939</v>
      </c>
      <c r="E71" s="140">
        <v>929.30399999999997</v>
      </c>
      <c r="F71" s="140">
        <v>610.82399999999996</v>
      </c>
      <c r="G71" s="140">
        <v>370.91500000000002</v>
      </c>
      <c r="H71" s="140">
        <v>335.18299999999999</v>
      </c>
      <c r="I71" s="140">
        <v>768.31399999999996</v>
      </c>
      <c r="J71" s="140">
        <v>369.255</v>
      </c>
      <c r="K71" s="140">
        <v>287.37400000000002</v>
      </c>
      <c r="L71" s="140">
        <v>387.96</v>
      </c>
      <c r="M71" s="140">
        <v>370.99900000000002</v>
      </c>
      <c r="N71" s="140">
        <v>595.65300000000002</v>
      </c>
      <c r="O71" s="140">
        <v>378.18099999999998</v>
      </c>
      <c r="P71" s="140">
        <v>326.577</v>
      </c>
      <c r="Q71" s="140">
        <v>368.69400000000002</v>
      </c>
      <c r="R71" s="140">
        <f t="shared" si="20"/>
        <v>6373.5110000000004</v>
      </c>
      <c r="S71" s="95"/>
    </row>
    <row r="72" spans="1:19" s="96" customFormat="1" ht="15" customHeight="1" x14ac:dyDescent="0.25">
      <c r="A72" s="133">
        <v>45686</v>
      </c>
      <c r="B72" s="132" t="s">
        <v>16</v>
      </c>
      <c r="C72" s="140">
        <v>247.339</v>
      </c>
      <c r="D72" s="140">
        <v>26.984000000000002</v>
      </c>
      <c r="E72" s="140">
        <v>933.63499999999999</v>
      </c>
      <c r="F72" s="140">
        <v>612.904</v>
      </c>
      <c r="G72" s="140">
        <v>374.50299999999999</v>
      </c>
      <c r="H72" s="140">
        <v>337.358</v>
      </c>
      <c r="I72" s="140">
        <v>773.03599999999994</v>
      </c>
      <c r="J72" s="140">
        <v>370.13900000000001</v>
      </c>
      <c r="K72" s="140">
        <v>289.25099999999998</v>
      </c>
      <c r="L72" s="140">
        <v>388.58800000000002</v>
      </c>
      <c r="M72" s="140">
        <v>374.41399999999999</v>
      </c>
      <c r="N72" s="140">
        <v>596.75599999999997</v>
      </c>
      <c r="O72" s="140">
        <v>380.65</v>
      </c>
      <c r="P72" s="140">
        <v>326.68599999999998</v>
      </c>
      <c r="Q72" s="140">
        <v>370.45</v>
      </c>
      <c r="R72" s="140">
        <f t="shared" si="20"/>
        <v>6402.6929999999993</v>
      </c>
      <c r="S72" s="95"/>
    </row>
    <row r="73" spans="1:19" s="96" customFormat="1" ht="15" customHeight="1" x14ac:dyDescent="0.25">
      <c r="A73" s="133">
        <v>45716</v>
      </c>
      <c r="B73" s="132" t="s">
        <v>16</v>
      </c>
      <c r="C73" s="140">
        <v>247.339</v>
      </c>
      <c r="D73" s="140">
        <v>27.004999999999999</v>
      </c>
      <c r="E73" s="140">
        <v>938.22400000000005</v>
      </c>
      <c r="F73" s="140">
        <v>615.93899999999996</v>
      </c>
      <c r="G73" s="140">
        <v>376.62799999999999</v>
      </c>
      <c r="H73" s="140">
        <v>338.827</v>
      </c>
      <c r="I73" s="140">
        <v>777.91700000000003</v>
      </c>
      <c r="J73" s="140">
        <v>371.96300000000002</v>
      </c>
      <c r="K73" s="140">
        <v>290.86200000000002</v>
      </c>
      <c r="L73" s="140">
        <v>389.00700000000001</v>
      </c>
      <c r="M73" s="140">
        <v>377.00700000000001</v>
      </c>
      <c r="N73" s="140">
        <v>597.32899999999995</v>
      </c>
      <c r="O73" s="140">
        <v>384.077</v>
      </c>
      <c r="P73" s="140">
        <v>326.68599999999998</v>
      </c>
      <c r="Q73" s="140">
        <v>372.70299999999997</v>
      </c>
      <c r="R73" s="140">
        <f t="shared" si="20"/>
        <v>6431.512999999999</v>
      </c>
      <c r="S73" s="95"/>
    </row>
    <row r="74" spans="1:19" s="96" customFormat="1" ht="15" customHeight="1" x14ac:dyDescent="0.25">
      <c r="A74" s="133">
        <v>45745</v>
      </c>
      <c r="B74" s="132" t="s">
        <v>16</v>
      </c>
      <c r="C74" s="140">
        <v>247.339</v>
      </c>
      <c r="D74" s="140">
        <v>27.042000000000002</v>
      </c>
      <c r="E74" s="140">
        <v>942.63300000000004</v>
      </c>
      <c r="F74" s="140">
        <v>618.673</v>
      </c>
      <c r="G74" s="140">
        <v>379.10199999999998</v>
      </c>
      <c r="H74" s="140">
        <v>340.54700000000003</v>
      </c>
      <c r="I74" s="140">
        <v>782.62800000000004</v>
      </c>
      <c r="J74" s="140">
        <v>372.88400000000001</v>
      </c>
      <c r="K74" s="140">
        <v>291.661</v>
      </c>
      <c r="L74" s="140">
        <v>389.15800000000002</v>
      </c>
      <c r="M74" s="140">
        <v>379.04</v>
      </c>
      <c r="N74" s="140">
        <v>597.83199999999999</v>
      </c>
      <c r="O74" s="140">
        <v>387.221</v>
      </c>
      <c r="P74" s="140">
        <v>326.68599999999998</v>
      </c>
      <c r="Q74" s="140">
        <v>374.387</v>
      </c>
      <c r="R74" s="140">
        <f t="shared" si="20"/>
        <v>6456.8329999999996</v>
      </c>
      <c r="S74" s="95"/>
    </row>
    <row r="75" spans="1:19" s="96" customFormat="1" ht="15" customHeight="1" x14ac:dyDescent="0.25">
      <c r="A75" s="133">
        <v>45775</v>
      </c>
      <c r="B75" s="132" t="s">
        <v>16</v>
      </c>
      <c r="C75" s="140">
        <v>247.339</v>
      </c>
      <c r="D75" s="140">
        <v>27.106000000000002</v>
      </c>
      <c r="E75" s="140">
        <v>946.69100000000003</v>
      </c>
      <c r="F75" s="140">
        <v>622.745</v>
      </c>
      <c r="G75" s="140">
        <v>381.971</v>
      </c>
      <c r="H75" s="140">
        <v>342.113</v>
      </c>
      <c r="I75" s="140">
        <v>787.27300000000002</v>
      </c>
      <c r="J75" s="140">
        <v>374.01100000000002</v>
      </c>
      <c r="K75" s="140">
        <v>292.86399999999998</v>
      </c>
      <c r="L75" s="140">
        <v>389.38</v>
      </c>
      <c r="M75" s="140">
        <v>380.98899999999998</v>
      </c>
      <c r="N75" s="140">
        <v>598.69100000000003</v>
      </c>
      <c r="O75" s="140">
        <v>390.55900000000003</v>
      </c>
      <c r="P75" s="140">
        <v>326.68900000000002</v>
      </c>
      <c r="Q75" s="140">
        <v>376.10199999999998</v>
      </c>
      <c r="R75" s="140">
        <f t="shared" si="20"/>
        <v>6484.5229999999992</v>
      </c>
      <c r="S75" s="95"/>
    </row>
    <row r="76" spans="1:19" s="96" customFormat="1" ht="15" customHeight="1" x14ac:dyDescent="0.25">
      <c r="A76" s="133">
        <v>45805</v>
      </c>
      <c r="B76" s="132" t="s">
        <v>16</v>
      </c>
      <c r="C76" s="140">
        <v>247.339</v>
      </c>
      <c r="D76" s="140">
        <v>27.126000000000001</v>
      </c>
      <c r="E76" s="140">
        <v>950.48500000000001</v>
      </c>
      <c r="F76" s="140">
        <v>625.73500000000001</v>
      </c>
      <c r="G76" s="140">
        <v>384.048</v>
      </c>
      <c r="H76" s="140">
        <v>343.541</v>
      </c>
      <c r="I76" s="140">
        <v>791.97799999999995</v>
      </c>
      <c r="J76" s="140">
        <v>374.947</v>
      </c>
      <c r="K76" s="140">
        <v>294.27800000000002</v>
      </c>
      <c r="L76" s="140">
        <v>389.96499999999997</v>
      </c>
      <c r="M76" s="140">
        <v>382.447</v>
      </c>
      <c r="N76" s="140">
        <v>599.26700000000005</v>
      </c>
      <c r="O76" s="140">
        <v>394.14299999999997</v>
      </c>
      <c r="P76" s="140">
        <v>326.68900000000002</v>
      </c>
      <c r="Q76" s="140">
        <v>377.92200000000003</v>
      </c>
      <c r="R76" s="140">
        <f t="shared" si="20"/>
        <v>6509.9100000000017</v>
      </c>
      <c r="S76" s="95"/>
    </row>
    <row r="77" spans="1:19" s="96" customFormat="1" ht="15" customHeight="1" x14ac:dyDescent="0.25">
      <c r="A77" s="133">
        <v>45836</v>
      </c>
      <c r="B77" s="132" t="s">
        <v>16</v>
      </c>
      <c r="C77" s="140">
        <v>247.339</v>
      </c>
      <c r="D77" s="140">
        <v>27.172999999999998</v>
      </c>
      <c r="E77" s="140">
        <v>954.81899999999996</v>
      </c>
      <c r="F77" s="140">
        <v>628.28399999999999</v>
      </c>
      <c r="G77" s="140">
        <v>386.125</v>
      </c>
      <c r="H77" s="140">
        <v>345.20800000000003</v>
      </c>
      <c r="I77" s="140">
        <v>797.56399999999996</v>
      </c>
      <c r="J77" s="140">
        <v>376.02199999999999</v>
      </c>
      <c r="K77" s="140">
        <v>295.60500000000002</v>
      </c>
      <c r="L77" s="140">
        <v>390.67700000000002</v>
      </c>
      <c r="M77" s="140">
        <v>384.33100000000002</v>
      </c>
      <c r="N77" s="140">
        <v>600.02499999999998</v>
      </c>
      <c r="O77" s="140">
        <v>397.786</v>
      </c>
      <c r="P77" s="140">
        <v>326.68900000000002</v>
      </c>
      <c r="Q77" s="140">
        <v>379.43799999999999</v>
      </c>
      <c r="R77" s="140">
        <f t="shared" si="20"/>
        <v>6537.085</v>
      </c>
      <c r="S77" s="95"/>
    </row>
    <row r="78" spans="1:19" s="96" customFormat="1" ht="15" customHeight="1" x14ac:dyDescent="0.25">
      <c r="A78" s="133">
        <v>45866</v>
      </c>
      <c r="B78" s="132" t="s">
        <v>16</v>
      </c>
      <c r="C78" s="140">
        <v>247.339</v>
      </c>
      <c r="D78" s="140">
        <v>27.199000000000002</v>
      </c>
      <c r="E78" s="140">
        <v>959.72</v>
      </c>
      <c r="F78" s="140">
        <v>631.62099999999998</v>
      </c>
      <c r="G78" s="140">
        <v>387.88900000000001</v>
      </c>
      <c r="H78" s="140">
        <v>347.00599999999997</v>
      </c>
      <c r="I78" s="140">
        <v>802.03899999999999</v>
      </c>
      <c r="J78" s="140">
        <v>377.16500000000002</v>
      </c>
      <c r="K78" s="140">
        <v>296.95100000000002</v>
      </c>
      <c r="L78" s="140">
        <v>391.08</v>
      </c>
      <c r="M78" s="140">
        <v>385.66699999999997</v>
      </c>
      <c r="N78" s="140">
        <v>601.55399999999997</v>
      </c>
      <c r="O78" s="140">
        <v>401.91500000000002</v>
      </c>
      <c r="P78" s="140">
        <v>326.7</v>
      </c>
      <c r="Q78" s="140">
        <v>381.52800000000002</v>
      </c>
      <c r="R78" s="140">
        <f t="shared" si="20"/>
        <v>6565.3730000000005</v>
      </c>
      <c r="S78" s="95"/>
    </row>
    <row r="79" spans="1:19" s="96" customFormat="1" ht="15" customHeight="1" x14ac:dyDescent="0.25">
      <c r="A79" s="133">
        <v>45897</v>
      </c>
      <c r="B79" s="132" t="s">
        <v>16</v>
      </c>
      <c r="C79" s="140">
        <v>247.339</v>
      </c>
      <c r="D79" s="140">
        <v>27.209</v>
      </c>
      <c r="E79" s="140">
        <v>964.69100000000003</v>
      </c>
      <c r="F79" s="140">
        <v>634.88199999999995</v>
      </c>
      <c r="G79" s="140">
        <v>389.49</v>
      </c>
      <c r="H79" s="140">
        <v>348.58499999999998</v>
      </c>
      <c r="I79" s="140">
        <v>807.303</v>
      </c>
      <c r="J79" s="140">
        <v>378.20299999999997</v>
      </c>
      <c r="K79" s="140">
        <v>298.37200000000001</v>
      </c>
      <c r="L79" s="140">
        <v>392.00700000000001</v>
      </c>
      <c r="M79" s="140">
        <v>387.84699999999998</v>
      </c>
      <c r="N79" s="140">
        <v>602.55200000000002</v>
      </c>
      <c r="O79" s="140">
        <v>406.94400000000002</v>
      </c>
      <c r="P79" s="140">
        <v>326.71199999999999</v>
      </c>
      <c r="Q79" s="140">
        <v>383.27</v>
      </c>
      <c r="R79" s="140">
        <f t="shared" si="20"/>
        <v>6595.405999999999</v>
      </c>
      <c r="S79" s="95"/>
    </row>
    <row r="80" spans="1:19" s="96" customFormat="1" ht="15" customHeight="1" x14ac:dyDescent="0.25">
      <c r="A80" s="133">
        <v>45928</v>
      </c>
      <c r="B80" s="132" t="s">
        <v>16</v>
      </c>
      <c r="C80" s="140">
        <v>247.339</v>
      </c>
      <c r="D80" s="140">
        <v>27.332000000000001</v>
      </c>
      <c r="E80" s="140">
        <v>968.78399999999999</v>
      </c>
      <c r="F80" s="140">
        <v>638.36</v>
      </c>
      <c r="G80" s="140">
        <v>391.35500000000002</v>
      </c>
      <c r="H80" s="140">
        <v>350.16500000000002</v>
      </c>
      <c r="I80" s="140">
        <v>811.54600000000005</v>
      </c>
      <c r="J80" s="140">
        <v>379.32600000000002</v>
      </c>
      <c r="K80" s="140">
        <v>300.01499999999999</v>
      </c>
      <c r="L80" s="140">
        <v>392.60500000000002</v>
      </c>
      <c r="M80" s="140">
        <v>389.875</v>
      </c>
      <c r="N80" s="140">
        <v>603.27700000000004</v>
      </c>
      <c r="O80" s="140">
        <v>411.77</v>
      </c>
      <c r="P80" s="140">
        <v>326.71199999999999</v>
      </c>
      <c r="Q80" s="140">
        <v>384.62099999999998</v>
      </c>
      <c r="R80" s="140">
        <f t="shared" si="20"/>
        <v>6623.0820000000012</v>
      </c>
      <c r="S80" s="95"/>
    </row>
    <row r="81" spans="1:19" s="96" customFormat="1" ht="15" customHeight="1" x14ac:dyDescent="0.25">
      <c r="A81" s="133">
        <v>45958</v>
      </c>
      <c r="B81" s="132" t="s">
        <v>16</v>
      </c>
      <c r="C81" s="140">
        <v>247.339</v>
      </c>
      <c r="D81" s="140">
        <v>27.347000000000001</v>
      </c>
      <c r="E81" s="140">
        <v>969.81399999999996</v>
      </c>
      <c r="F81" s="140">
        <v>641.255</v>
      </c>
      <c r="G81" s="140">
        <v>392.69499999999999</v>
      </c>
      <c r="H81" s="140">
        <v>351.673</v>
      </c>
      <c r="I81" s="140">
        <v>815.40200000000004</v>
      </c>
      <c r="J81" s="140">
        <v>380.59199999999998</v>
      </c>
      <c r="K81" s="140">
        <v>301.43599999999998</v>
      </c>
      <c r="L81" s="140">
        <v>392.92500000000001</v>
      </c>
      <c r="M81" s="140">
        <v>391.42399999999998</v>
      </c>
      <c r="N81" s="140">
        <v>603.69899999999996</v>
      </c>
      <c r="O81" s="140">
        <v>415.541</v>
      </c>
      <c r="P81" s="140">
        <v>326.71199999999999</v>
      </c>
      <c r="Q81" s="140">
        <v>385.62799999999999</v>
      </c>
      <c r="R81" s="140">
        <f t="shared" si="20"/>
        <v>6643.4820000000009</v>
      </c>
      <c r="S81" s="95"/>
    </row>
    <row r="82" spans="1:19" s="96" customFormat="1" ht="15" customHeight="1" x14ac:dyDescent="0.25">
      <c r="A82" s="133">
        <v>45988</v>
      </c>
      <c r="B82" s="132" t="s">
        <v>16</v>
      </c>
      <c r="C82" s="140">
        <v>247.339</v>
      </c>
      <c r="D82" s="140">
        <v>27.349</v>
      </c>
      <c r="E82" s="140">
        <v>973.18399999999997</v>
      </c>
      <c r="F82" s="140">
        <v>644.173</v>
      </c>
      <c r="G82" s="140">
        <v>394.27600000000001</v>
      </c>
      <c r="H82" s="140">
        <v>353.62400000000002</v>
      </c>
      <c r="I82" s="140">
        <v>819.404</v>
      </c>
      <c r="J82" s="140">
        <v>381.55500000000001</v>
      </c>
      <c r="K82" s="140">
        <v>302.83999999999997</v>
      </c>
      <c r="L82" s="140">
        <v>393.33800000000002</v>
      </c>
      <c r="M82" s="140">
        <v>392.483</v>
      </c>
      <c r="N82" s="140">
        <v>604.35699999999997</v>
      </c>
      <c r="O82" s="140">
        <v>419.54</v>
      </c>
      <c r="P82" s="140">
        <v>326.71199999999999</v>
      </c>
      <c r="Q82" s="140">
        <v>387.04700000000003</v>
      </c>
      <c r="R82" s="140">
        <f t="shared" si="20"/>
        <v>6667.2209999999995</v>
      </c>
      <c r="S82" s="95"/>
    </row>
    <row r="83" spans="1:19" s="96" customFormat="1" ht="15" customHeight="1" x14ac:dyDescent="0.25">
      <c r="A83" s="133">
        <v>46019</v>
      </c>
      <c r="B83" s="132" t="s">
        <v>16</v>
      </c>
      <c r="C83" s="140">
        <v>247.339</v>
      </c>
      <c r="D83" s="140">
        <v>27.361000000000001</v>
      </c>
      <c r="E83" s="140">
        <v>977.43600000000004</v>
      </c>
      <c r="F83" s="140">
        <v>647.48599999999999</v>
      </c>
      <c r="G83" s="140">
        <v>395.97199999999998</v>
      </c>
      <c r="H83" s="140">
        <v>355.09899999999999</v>
      </c>
      <c r="I83" s="140">
        <v>823.07100000000003</v>
      </c>
      <c r="J83" s="140">
        <v>382.65600000000001</v>
      </c>
      <c r="K83" s="140">
        <v>304.101</v>
      </c>
      <c r="L83" s="140">
        <v>394.245</v>
      </c>
      <c r="M83" s="140">
        <v>394.10899999999998</v>
      </c>
      <c r="N83" s="140">
        <v>604.93399999999997</v>
      </c>
      <c r="O83" s="140">
        <v>422.94</v>
      </c>
      <c r="P83" s="140">
        <v>327.09300000000002</v>
      </c>
      <c r="Q83" s="140">
        <v>389.30200000000002</v>
      </c>
      <c r="R83" s="140">
        <f t="shared" si="20"/>
        <v>6693.1439999999993</v>
      </c>
      <c r="S83" s="95"/>
    </row>
    <row r="84" spans="1:19" s="96" customFormat="1" ht="15" customHeight="1" x14ac:dyDescent="0.25">
      <c r="A84" s="133">
        <v>46050</v>
      </c>
      <c r="B84" s="132" t="s">
        <v>16</v>
      </c>
      <c r="C84" s="140">
        <v>247.339</v>
      </c>
      <c r="D84" s="140">
        <v>27.361000000000001</v>
      </c>
      <c r="E84" s="140">
        <v>982.11900000000003</v>
      </c>
      <c r="F84" s="140">
        <v>650.82600000000002</v>
      </c>
      <c r="G84" s="140">
        <v>398.29199999999997</v>
      </c>
      <c r="H84" s="140">
        <v>356.27</v>
      </c>
      <c r="I84" s="140">
        <v>827.96500000000003</v>
      </c>
      <c r="J84" s="140">
        <v>383.46800000000002</v>
      </c>
      <c r="K84" s="140">
        <v>305.52</v>
      </c>
      <c r="L84" s="140">
        <v>394.69600000000003</v>
      </c>
      <c r="M84" s="140">
        <v>394.12299999999999</v>
      </c>
      <c r="N84" s="140">
        <v>605.74199999999996</v>
      </c>
      <c r="O84" s="140">
        <v>426.97800000000001</v>
      </c>
      <c r="P84" s="140">
        <v>327.40899999999999</v>
      </c>
      <c r="Q84" s="140">
        <v>390.94</v>
      </c>
      <c r="R84" s="140">
        <f t="shared" si="20"/>
        <v>6719.0479999999989</v>
      </c>
      <c r="S84" s="95"/>
    </row>
    <row r="85" spans="1:19" s="96" customFormat="1" ht="15" customHeight="1" x14ac:dyDescent="0.25">
      <c r="A85" s="488">
        <v>46081</v>
      </c>
      <c r="B85" s="511" t="s">
        <v>16</v>
      </c>
      <c r="C85" s="547">
        <v>247.339</v>
      </c>
      <c r="D85" s="547">
        <v>27.376000000000001</v>
      </c>
      <c r="E85" s="547">
        <v>986.60599999999999</v>
      </c>
      <c r="F85" s="547">
        <v>654.60599999999999</v>
      </c>
      <c r="G85" s="547">
        <v>399.82600000000002</v>
      </c>
      <c r="H85" s="547">
        <v>357.91199999999998</v>
      </c>
      <c r="I85" s="547">
        <v>832.81600000000003</v>
      </c>
      <c r="J85" s="547">
        <v>384.65800000000002</v>
      </c>
      <c r="K85" s="547">
        <v>306.774</v>
      </c>
      <c r="L85" s="547">
        <v>395.30099999999999</v>
      </c>
      <c r="M85" s="547">
        <v>394.13400000000001</v>
      </c>
      <c r="N85" s="547">
        <v>606.38400000000001</v>
      </c>
      <c r="O85" s="547">
        <v>430.88200000000001</v>
      </c>
      <c r="P85" s="547">
        <v>327.68900000000002</v>
      </c>
      <c r="Q85" s="547">
        <v>392.81299999999999</v>
      </c>
      <c r="R85" s="547">
        <f t="shared" si="20"/>
        <v>6745.116</v>
      </c>
      <c r="S85" s="95"/>
    </row>
    <row r="86" spans="1:19" s="96" customFormat="1" ht="15" customHeight="1" x14ac:dyDescent="0.25">
      <c r="A86" s="488">
        <v>46109</v>
      </c>
      <c r="B86" s="511" t="s">
        <v>16</v>
      </c>
      <c r="C86" s="547">
        <v>247.339</v>
      </c>
      <c r="D86" s="547">
        <v>27.376000000000001</v>
      </c>
      <c r="E86" s="547">
        <v>989.34699999999998</v>
      </c>
      <c r="F86" s="547">
        <v>658.66499999999996</v>
      </c>
      <c r="G86" s="547">
        <v>402.255</v>
      </c>
      <c r="H86" s="547">
        <v>359.32600000000002</v>
      </c>
      <c r="I86" s="547">
        <v>837.63599999999997</v>
      </c>
      <c r="J86" s="547">
        <v>385.87099999999998</v>
      </c>
      <c r="K86" s="547">
        <v>307.803</v>
      </c>
      <c r="L86" s="547">
        <v>395.88299999999998</v>
      </c>
      <c r="M86" s="547">
        <v>394.26400000000001</v>
      </c>
      <c r="N86" s="547">
        <v>607.16899999999998</v>
      </c>
      <c r="O86" s="547">
        <v>434.64299999999997</v>
      </c>
      <c r="P86" s="547">
        <v>328.11200000000002</v>
      </c>
      <c r="Q86" s="547">
        <v>395.25299999999999</v>
      </c>
      <c r="R86" s="547">
        <f t="shared" si="20"/>
        <v>6770.942</v>
      </c>
      <c r="S86" s="95"/>
    </row>
    <row r="87" spans="1:19" s="96" customFormat="1" ht="15" customHeight="1" x14ac:dyDescent="0.25">
      <c r="A87" s="133"/>
      <c r="B87" s="141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2"/>
      <c r="S87" s="95"/>
    </row>
    <row r="88" spans="1:19" s="96" customFormat="1" ht="15" customHeight="1" x14ac:dyDescent="0.25">
      <c r="A88" s="133"/>
      <c r="B88" s="141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2"/>
      <c r="S88" s="95"/>
    </row>
    <row r="89" spans="1:19" s="96" customFormat="1" ht="15" customHeight="1" x14ac:dyDescent="0.25">
      <c r="A89" s="133"/>
      <c r="B89" s="141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2"/>
      <c r="S89" s="95"/>
    </row>
    <row r="90" spans="1:19" s="96" customFormat="1" ht="15" customHeight="1" x14ac:dyDescent="0.25">
      <c r="A90" s="133"/>
      <c r="B90" s="141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2"/>
      <c r="S90" s="95"/>
    </row>
    <row r="91" spans="1:19" s="96" customFormat="1" ht="15" customHeight="1" x14ac:dyDescent="0.25">
      <c r="A91" s="133"/>
      <c r="B91" s="141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2"/>
      <c r="S91" s="95"/>
    </row>
    <row r="92" spans="1:19" s="96" customFormat="1" ht="15" customHeight="1" x14ac:dyDescent="0.25">
      <c r="A92" s="133"/>
      <c r="B92" s="141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2"/>
      <c r="S92" s="95"/>
    </row>
    <row r="93" spans="1:19" s="96" customFormat="1" ht="15" customHeight="1" x14ac:dyDescent="0.25">
      <c r="A93" s="133"/>
      <c r="B93" s="141"/>
      <c r="C93" s="140"/>
      <c r="D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2"/>
      <c r="S93" s="95"/>
    </row>
    <row r="94" spans="1:19" s="96" customFormat="1" ht="15" customHeight="1" x14ac:dyDescent="0.25">
      <c r="A94" s="133"/>
      <c r="B94" s="141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2"/>
      <c r="S94" s="95"/>
    </row>
  </sheetData>
  <mergeCells count="2">
    <mergeCell ref="BA2:BA40"/>
    <mergeCell ref="BS2:BS40"/>
  </mergeCells>
  <printOptions horizontalCentered="1"/>
  <pageMargins left="0.78740157480314965" right="0.78740157480314965" top="0.78740157480314965" bottom="0.7874015748031496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6772-C13D-441E-ABD0-C4CEDD25CB9A}">
  <dimension ref="A1:CH273"/>
  <sheetViews>
    <sheetView topLeftCell="A136" zoomScaleNormal="100" workbookViewId="0">
      <selection activeCell="N157" sqref="N157"/>
    </sheetView>
  </sheetViews>
  <sheetFormatPr defaultRowHeight="15" x14ac:dyDescent="0.25"/>
  <cols>
    <col min="1" max="1" width="9.140625" style="430" customWidth="1"/>
    <col min="2" max="2" width="10.42578125" style="425" customWidth="1"/>
    <col min="3" max="3" width="26.7109375" style="430" customWidth="1"/>
    <col min="4" max="4" width="10" style="430" customWidth="1"/>
    <col min="5" max="5" width="11.7109375" style="430" customWidth="1"/>
    <col min="6" max="6" width="12.42578125" style="430" customWidth="1"/>
    <col min="7" max="7" width="13.42578125" style="424" customWidth="1"/>
    <col min="8" max="8" width="10.7109375" style="425" customWidth="1"/>
    <col min="9" max="9" width="10.140625" style="425" customWidth="1"/>
    <col min="10" max="15" width="9.140625" style="425" customWidth="1"/>
    <col min="16" max="16" width="10.5703125" style="425" customWidth="1"/>
    <col min="17" max="17" width="12.85546875" style="425" customWidth="1"/>
    <col min="18" max="18" width="9.140625" style="425" customWidth="1"/>
    <col min="19" max="19" width="5.140625" style="425" customWidth="1"/>
    <col min="20" max="20" width="11.85546875" style="430" customWidth="1"/>
    <col min="21" max="21" width="10" style="425" customWidth="1"/>
    <col min="22" max="22" width="12.28515625" style="430" customWidth="1"/>
    <col min="23" max="23" width="10" style="430" customWidth="1"/>
    <col min="24" max="24" width="10.85546875" style="430" customWidth="1"/>
    <col min="25" max="26" width="9.140625" style="430" customWidth="1"/>
    <col min="27" max="27" width="11" style="424" customWidth="1"/>
    <col min="28" max="28" width="9.28515625" style="424" bestFit="1" customWidth="1"/>
    <col min="29" max="29" width="12" style="424" customWidth="1"/>
    <col min="30" max="30" width="8.7109375" style="425" bestFit="1" customWidth="1"/>
    <col min="31" max="33" width="9.140625" style="425" customWidth="1"/>
    <col min="34" max="39" width="9.140625" style="430" customWidth="1"/>
    <col min="40" max="40" width="10.42578125" style="430" customWidth="1"/>
    <col min="41" max="47" width="9.140625" style="430"/>
    <col min="48" max="55" width="9.140625" style="430" customWidth="1"/>
    <col min="56" max="59" width="9.140625" style="430"/>
    <col min="60" max="67" width="9.140625" style="430" hidden="1" customWidth="1"/>
    <col min="68" max="68" width="5.140625" style="430" hidden="1" customWidth="1"/>
    <col min="69" max="76" width="9.140625" style="430" hidden="1" customWidth="1"/>
    <col min="77" max="16384" width="9.140625" style="430"/>
  </cols>
  <sheetData>
    <row r="1" spans="1:86" ht="19.5" thickBot="1" x14ac:dyDescent="0.35">
      <c r="A1" s="272" t="s">
        <v>280</v>
      </c>
      <c r="B1" s="422"/>
      <c r="C1" s="423"/>
      <c r="D1" s="917" t="s">
        <v>520</v>
      </c>
      <c r="E1" s="423"/>
      <c r="F1" s="423"/>
      <c r="M1" s="425" t="s">
        <v>523</v>
      </c>
      <c r="T1" s="426" t="s">
        <v>567</v>
      </c>
      <c r="U1" s="427"/>
      <c r="V1" s="427"/>
      <c r="W1" s="428"/>
      <c r="X1" s="916" t="s">
        <v>299</v>
      </c>
      <c r="Y1" s="427"/>
      <c r="Z1" s="427"/>
      <c r="AA1" s="427"/>
      <c r="AB1" s="427"/>
      <c r="AC1" s="427"/>
      <c r="AD1" s="427"/>
      <c r="AE1" s="427"/>
      <c r="AF1" s="429"/>
      <c r="AG1" s="429"/>
      <c r="AH1" s="429"/>
      <c r="AI1" s="429"/>
      <c r="AJ1" s="429"/>
      <c r="AK1" s="429"/>
      <c r="AL1" s="429"/>
      <c r="AM1" s="429"/>
      <c r="AO1" s="429"/>
      <c r="AP1" s="181" t="s">
        <v>337</v>
      </c>
      <c r="AQ1" s="431"/>
      <c r="AR1" s="431"/>
      <c r="AS1" s="429"/>
      <c r="AT1" s="429"/>
      <c r="AV1" s="432" t="s">
        <v>102</v>
      </c>
      <c r="AW1" s="433"/>
      <c r="AX1" s="433"/>
      <c r="AY1" s="433"/>
      <c r="AZ1" s="433"/>
      <c r="BA1" s="433"/>
      <c r="BB1" s="433"/>
      <c r="BC1" s="433"/>
      <c r="BD1" s="433"/>
      <c r="BE1" s="434"/>
      <c r="BF1" s="435"/>
      <c r="BG1" s="282" t="s">
        <v>402</v>
      </c>
      <c r="BH1" s="436" t="s">
        <v>401</v>
      </c>
      <c r="BI1" s="437"/>
      <c r="BJ1" s="437"/>
      <c r="BK1" s="437"/>
      <c r="BL1" s="437"/>
      <c r="BM1" s="437"/>
      <c r="BN1" s="437"/>
      <c r="BO1" s="438"/>
      <c r="BP1" s="439"/>
      <c r="BQ1" s="436" t="s">
        <v>310</v>
      </c>
      <c r="BR1" s="440"/>
      <c r="BS1" s="440"/>
      <c r="BT1" s="440"/>
      <c r="BU1" s="440"/>
      <c r="BV1" s="440"/>
      <c r="BW1" s="440"/>
      <c r="BX1" s="438"/>
      <c r="BY1" s="282" t="s">
        <v>402</v>
      </c>
      <c r="BZ1" s="429"/>
      <c r="CA1" s="924" t="s">
        <v>88</v>
      </c>
      <c r="CB1" s="441"/>
      <c r="CC1" s="441"/>
      <c r="CD1" s="441"/>
      <c r="CE1" s="441"/>
      <c r="CF1" s="441"/>
      <c r="CG1" s="442"/>
      <c r="CH1" s="429"/>
    </row>
    <row r="2" spans="1:86" ht="59.25" thickTop="1" thickBot="1" x14ac:dyDescent="0.35">
      <c r="A2" s="226" t="s">
        <v>89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883" t="s">
        <v>281</v>
      </c>
      <c r="U2" s="882" t="s">
        <v>271</v>
      </c>
      <c r="V2" s="443"/>
      <c r="W2" s="443"/>
      <c r="X2" s="444"/>
      <c r="Y2" s="881" t="s">
        <v>272</v>
      </c>
      <c r="Z2" s="445"/>
      <c r="AA2" s="446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O2" s="429"/>
      <c r="AP2" s="919" t="s">
        <v>332</v>
      </c>
      <c r="AQ2" s="919" t="s">
        <v>333</v>
      </c>
      <c r="AR2" s="920" t="s">
        <v>335</v>
      </c>
      <c r="AS2" s="921" t="s">
        <v>334</v>
      </c>
      <c r="AT2" s="920" t="s">
        <v>336</v>
      </c>
      <c r="AV2" s="97" t="s">
        <v>103</v>
      </c>
      <c r="AW2" s="448"/>
      <c r="AX2" s="449"/>
      <c r="AY2" s="448"/>
      <c r="AZ2" s="447"/>
      <c r="BA2" s="97" t="s">
        <v>104</v>
      </c>
      <c r="BB2" s="448"/>
      <c r="BC2" s="448"/>
      <c r="BD2" s="918" t="s">
        <v>105</v>
      </c>
      <c r="BE2" s="450"/>
      <c r="BF2" s="451"/>
      <c r="BG2" s="1017" t="s">
        <v>428</v>
      </c>
      <c r="BH2" s="452" t="s">
        <v>115</v>
      </c>
      <c r="BI2" s="453" t="s">
        <v>116</v>
      </c>
      <c r="BJ2" s="453" t="s">
        <v>117</v>
      </c>
      <c r="BK2" s="453" t="s">
        <v>118</v>
      </c>
      <c r="BL2" s="453" t="s">
        <v>119</v>
      </c>
      <c r="BM2" s="453" t="s">
        <v>120</v>
      </c>
      <c r="BN2" s="453" t="s">
        <v>121</v>
      </c>
      <c r="BO2" s="453" t="s">
        <v>122</v>
      </c>
      <c r="BP2" s="454"/>
      <c r="BQ2" s="453" t="s">
        <v>115</v>
      </c>
      <c r="BR2" s="453" t="s">
        <v>116</v>
      </c>
      <c r="BS2" s="453" t="s">
        <v>117</v>
      </c>
      <c r="BT2" s="453" t="s">
        <v>118</v>
      </c>
      <c r="BU2" s="453" t="s">
        <v>119</v>
      </c>
      <c r="BV2" s="453" t="s">
        <v>120</v>
      </c>
      <c r="BW2" s="453" t="s">
        <v>121</v>
      </c>
      <c r="BX2" s="455" t="s">
        <v>122</v>
      </c>
      <c r="BY2" s="1017" t="s">
        <v>428</v>
      </c>
      <c r="BZ2" s="429"/>
      <c r="CA2" s="874" t="s">
        <v>90</v>
      </c>
      <c r="CB2" s="875" t="s">
        <v>91</v>
      </c>
      <c r="CC2" s="875" t="s">
        <v>92</v>
      </c>
      <c r="CD2" s="875" t="s">
        <v>93</v>
      </c>
      <c r="CE2" s="875" t="s">
        <v>94</v>
      </c>
      <c r="CF2" s="875" t="s">
        <v>95</v>
      </c>
      <c r="CG2" s="875" t="s">
        <v>96</v>
      </c>
      <c r="CH2" s="429"/>
    </row>
    <row r="3" spans="1:86" s="459" customFormat="1" ht="55.5" customHeight="1" thickTop="1" x14ac:dyDescent="0.25">
      <c r="A3" s="874" t="s">
        <v>0</v>
      </c>
      <c r="B3" s="875" t="s">
        <v>97</v>
      </c>
      <c r="C3" s="876">
        <v>201</v>
      </c>
      <c r="D3" s="876" t="s">
        <v>98</v>
      </c>
      <c r="E3" s="875">
        <v>202</v>
      </c>
      <c r="F3" s="876">
        <v>301</v>
      </c>
      <c r="G3" s="875">
        <v>302</v>
      </c>
      <c r="H3" s="875">
        <v>401</v>
      </c>
      <c r="I3" s="875">
        <v>402</v>
      </c>
      <c r="J3" s="875">
        <v>501</v>
      </c>
      <c r="K3" s="875">
        <v>502</v>
      </c>
      <c r="L3" s="875">
        <v>601</v>
      </c>
      <c r="M3" s="875">
        <v>602</v>
      </c>
      <c r="N3" s="876">
        <v>701</v>
      </c>
      <c r="O3" s="875">
        <v>702</v>
      </c>
      <c r="P3" s="875">
        <v>801</v>
      </c>
      <c r="Q3" s="875">
        <v>802</v>
      </c>
      <c r="R3" s="875" t="s">
        <v>99</v>
      </c>
      <c r="S3" s="456"/>
      <c r="T3" s="884" t="s">
        <v>277</v>
      </c>
      <c r="U3" s="885" t="s">
        <v>275</v>
      </c>
      <c r="V3" s="886" t="s">
        <v>257</v>
      </c>
      <c r="W3" s="885" t="s">
        <v>276</v>
      </c>
      <c r="X3" s="887" t="s">
        <v>282</v>
      </c>
      <c r="Y3" s="888" t="s">
        <v>275</v>
      </c>
      <c r="Z3" s="888" t="s">
        <v>276</v>
      </c>
      <c r="AA3" s="889" t="s">
        <v>283</v>
      </c>
      <c r="AB3" s="429"/>
      <c r="AC3" s="911" t="s">
        <v>422</v>
      </c>
      <c r="AD3" s="914" t="s">
        <v>345</v>
      </c>
      <c r="AE3" s="290">
        <v>46019</v>
      </c>
      <c r="AF3" s="457">
        <v>46050</v>
      </c>
      <c r="AG3" s="457">
        <v>46081</v>
      </c>
      <c r="AH3" s="457">
        <v>46109</v>
      </c>
      <c r="AI3" s="457"/>
      <c r="AL3" s="458"/>
      <c r="AM3" s="458"/>
      <c r="AO3" s="429"/>
      <c r="AP3" s="460"/>
      <c r="AQ3" s="460"/>
      <c r="AR3" s="461"/>
      <c r="AS3" s="462"/>
      <c r="AT3" s="461"/>
      <c r="AV3" s="922" t="s">
        <v>106</v>
      </c>
      <c r="AW3" s="875" t="s">
        <v>107</v>
      </c>
      <c r="AX3" s="875" t="s">
        <v>108</v>
      </c>
      <c r="AY3" s="875" t="s">
        <v>109</v>
      </c>
      <c r="AZ3" s="875" t="s">
        <v>110</v>
      </c>
      <c r="BA3" s="875" t="s">
        <v>111</v>
      </c>
      <c r="BB3" s="875" t="s">
        <v>112</v>
      </c>
      <c r="BC3" s="875" t="s">
        <v>113</v>
      </c>
      <c r="BD3" s="875" t="s">
        <v>114</v>
      </c>
      <c r="BE3" s="923" t="s">
        <v>112</v>
      </c>
      <c r="BF3" s="463" t="s">
        <v>50</v>
      </c>
      <c r="BG3" s="1018"/>
      <c r="BH3" s="453" t="s">
        <v>123</v>
      </c>
      <c r="BI3" s="464"/>
      <c r="BJ3" s="465"/>
      <c r="BK3" s="464"/>
      <c r="BL3" s="465">
        <v>316.39999999999998</v>
      </c>
      <c r="BM3" s="466"/>
      <c r="BN3" s="465">
        <v>233.94</v>
      </c>
      <c r="BO3" s="465">
        <f>BL3+BN3</f>
        <v>550.33999999999992</v>
      </c>
      <c r="BP3" s="467"/>
      <c r="BQ3" s="464" t="s">
        <v>123</v>
      </c>
      <c r="BR3" s="464"/>
      <c r="BS3" s="465"/>
      <c r="BT3" s="464"/>
      <c r="BU3" s="465">
        <v>316.39999999999998</v>
      </c>
      <c r="BV3" s="466"/>
      <c r="BW3" s="465">
        <v>233.94</v>
      </c>
      <c r="BX3" s="465">
        <f t="shared" ref="BX3:BX9" si="0">BU3+BW3</f>
        <v>550.33999999999992</v>
      </c>
      <c r="BY3" s="1018"/>
      <c r="BZ3" s="429"/>
      <c r="CA3" s="468">
        <v>2022</v>
      </c>
      <c r="CB3" s="469"/>
      <c r="CC3" s="470">
        <v>14.276</v>
      </c>
      <c r="CD3" s="91"/>
      <c r="CE3" s="91">
        <v>14.27</v>
      </c>
      <c r="CF3" s="471">
        <v>2.5</v>
      </c>
      <c r="CG3" s="91">
        <f t="shared" ref="CG3:CG9" si="1">CE3*CF3</f>
        <v>35.674999999999997</v>
      </c>
      <c r="CH3" s="429"/>
    </row>
    <row r="4" spans="1:86" s="429" customFormat="1" ht="15" customHeight="1" x14ac:dyDescent="0.25">
      <c r="A4" s="472">
        <v>45044</v>
      </c>
      <c r="B4" s="473" t="s">
        <v>100</v>
      </c>
      <c r="C4" s="474">
        <v>2323.1590000000001</v>
      </c>
      <c r="D4" s="474">
        <v>0</v>
      </c>
      <c r="E4" s="474">
        <v>5724.9870000000001</v>
      </c>
      <c r="F4" s="474">
        <v>3788.4810000000002</v>
      </c>
      <c r="G4" s="474">
        <v>1673.075</v>
      </c>
      <c r="H4" s="474">
        <v>1726.402</v>
      </c>
      <c r="I4" s="474">
        <v>3879.6</v>
      </c>
      <c r="J4" s="474">
        <v>2619.1729999999998</v>
      </c>
      <c r="K4" s="474">
        <v>2149.0990000000002</v>
      </c>
      <c r="L4" s="474">
        <v>1967.14</v>
      </c>
      <c r="M4" s="474">
        <v>1873.5350000000001</v>
      </c>
      <c r="N4" s="474">
        <v>2756.556</v>
      </c>
      <c r="O4" s="474">
        <v>864.36300000000006</v>
      </c>
      <c r="P4" s="474">
        <v>5215.2449999999999</v>
      </c>
      <c r="Q4" s="474">
        <v>3149.1610000000001</v>
      </c>
      <c r="R4" s="474">
        <f t="shared" ref="R4:R38" si="2">SUM(C4:Q4)</f>
        <v>39709.976000000002</v>
      </c>
      <c r="S4" s="474"/>
      <c r="T4" s="890" t="s">
        <v>260</v>
      </c>
      <c r="U4" s="475">
        <f>AY43-SUM(U5:U19)</f>
        <v>18.45699999999897</v>
      </c>
      <c r="V4" s="476">
        <f>1-SUM(V5:V19)</f>
        <v>8.0000000000000071E-2</v>
      </c>
      <c r="W4" s="477">
        <f t="shared" ref="W4:W19" si="3">ROUND(U4,3)</f>
        <v>18.457000000000001</v>
      </c>
      <c r="X4" s="478">
        <f>IF(W4&gt;0,ROUND(AZ43-SUM(X5:X19),2),0)</f>
        <v>236.41</v>
      </c>
      <c r="Y4" s="897">
        <v>0</v>
      </c>
      <c r="Z4" s="899">
        <f t="shared" ref="Z4:Z19" si="4">ROUND(Y4,3)</f>
        <v>0</v>
      </c>
      <c r="AA4" s="908">
        <v>0</v>
      </c>
      <c r="AC4" s="201" t="s">
        <v>393</v>
      </c>
      <c r="AD4" s="915" t="s">
        <v>260</v>
      </c>
      <c r="AE4" s="172">
        <v>0</v>
      </c>
      <c r="AF4" s="172">
        <v>0</v>
      </c>
      <c r="AG4" s="479">
        <v>0</v>
      </c>
      <c r="AH4" s="479">
        <v>8.0000000000000071E-2</v>
      </c>
      <c r="AI4" s="479"/>
      <c r="AL4" s="458"/>
      <c r="AM4" s="458"/>
      <c r="AP4" s="480" t="s">
        <v>369</v>
      </c>
      <c r="AQ4" s="481" t="s">
        <v>369</v>
      </c>
      <c r="AR4" s="481" t="s">
        <v>369</v>
      </c>
      <c r="AS4" s="481" t="s">
        <v>369</v>
      </c>
      <c r="AT4" s="481" t="s">
        <v>369</v>
      </c>
      <c r="AV4" s="482">
        <v>45005</v>
      </c>
      <c r="AW4" s="482">
        <v>45061</v>
      </c>
      <c r="AX4" s="482">
        <v>45061</v>
      </c>
      <c r="AY4" s="469">
        <v>271</v>
      </c>
      <c r="AZ4" s="91">
        <v>3164.51</v>
      </c>
      <c r="BA4" s="471">
        <v>1815.59</v>
      </c>
      <c r="BB4" s="471">
        <v>5.04</v>
      </c>
      <c r="BC4" s="91">
        <f t="shared" ref="BC4:BC40" si="5">ROUND((BA4+BB4)/AY4,2)</f>
        <v>6.72</v>
      </c>
      <c r="BD4" s="471">
        <v>1343.37</v>
      </c>
      <c r="BE4" s="471">
        <v>0.51</v>
      </c>
      <c r="BF4" s="483"/>
      <c r="BG4" s="1018"/>
      <c r="BH4" s="453" t="s">
        <v>124</v>
      </c>
      <c r="BI4" s="484">
        <v>1.4285699999999999</v>
      </c>
      <c r="BJ4" s="465">
        <v>20</v>
      </c>
      <c r="BK4" s="464">
        <v>2.34</v>
      </c>
      <c r="BL4" s="465">
        <f>ROUND(BJ4*BK4,2)</f>
        <v>46.8</v>
      </c>
      <c r="BM4" s="464">
        <v>1.73</v>
      </c>
      <c r="BN4" s="465">
        <f>BJ4*BM4</f>
        <v>34.6</v>
      </c>
      <c r="BO4" s="465">
        <f>BL4+BN4</f>
        <v>81.400000000000006</v>
      </c>
      <c r="BP4" s="467"/>
      <c r="BQ4" s="484" t="s">
        <v>124</v>
      </c>
      <c r="BR4" s="484">
        <v>5</v>
      </c>
      <c r="BS4" s="465">
        <v>70</v>
      </c>
      <c r="BT4" s="464">
        <v>2.34</v>
      </c>
      <c r="BU4" s="465">
        <f t="shared" ref="BU4:BU9" si="6">ROUND(BS4*BT4,2)</f>
        <v>163.80000000000001</v>
      </c>
      <c r="BV4" s="464">
        <v>1.73</v>
      </c>
      <c r="BW4" s="465">
        <f t="shared" ref="BW4:BW9" si="7">BS4*BV4</f>
        <v>121.1</v>
      </c>
      <c r="BX4" s="465">
        <f t="shared" si="0"/>
        <v>284.89999999999998</v>
      </c>
      <c r="BY4" s="1018"/>
      <c r="CA4" s="482">
        <v>44930</v>
      </c>
      <c r="CB4" s="469">
        <f>90.43+80.67</f>
        <v>171.10000000000002</v>
      </c>
      <c r="CC4" s="470">
        <v>13.315823999999999</v>
      </c>
      <c r="CD4" s="91">
        <f t="shared" ref="CD4:CD9" si="8">ROUND(CB4*CC4,2)</f>
        <v>2278.34</v>
      </c>
      <c r="CE4" s="91">
        <f t="shared" ref="CE4:CE9" si="9">ROUND(CC4,2)</f>
        <v>13.32</v>
      </c>
      <c r="CF4" s="471">
        <v>2.5</v>
      </c>
      <c r="CG4" s="91">
        <f t="shared" si="1"/>
        <v>33.299999999999997</v>
      </c>
    </row>
    <row r="5" spans="1:86" s="429" customFormat="1" ht="15" customHeight="1" x14ac:dyDescent="0.25">
      <c r="A5" s="472">
        <v>45074</v>
      </c>
      <c r="B5" s="473" t="s">
        <v>100</v>
      </c>
      <c r="C5" s="474">
        <v>2343.6590000000001</v>
      </c>
      <c r="D5" s="474">
        <v>0</v>
      </c>
      <c r="E5" s="474">
        <v>5772.0379999999996</v>
      </c>
      <c r="F5" s="474">
        <v>3804.1610000000001</v>
      </c>
      <c r="G5" s="474">
        <v>1681.8679999999999</v>
      </c>
      <c r="H5" s="474">
        <v>1744.873</v>
      </c>
      <c r="I5" s="474">
        <v>3895.201</v>
      </c>
      <c r="J5" s="474">
        <v>2632.1610000000001</v>
      </c>
      <c r="K5" s="474">
        <v>2161.866</v>
      </c>
      <c r="L5" s="474">
        <v>1973.59</v>
      </c>
      <c r="M5" s="474">
        <v>1881.3430000000001</v>
      </c>
      <c r="N5" s="474">
        <v>2765.982</v>
      </c>
      <c r="O5" s="474">
        <v>868.77700000000004</v>
      </c>
      <c r="P5" s="474">
        <v>5221.6180000000004</v>
      </c>
      <c r="Q5" s="474">
        <v>3160.1950000000002</v>
      </c>
      <c r="R5" s="474">
        <f t="shared" si="2"/>
        <v>39907.332000000002</v>
      </c>
      <c r="S5" s="474"/>
      <c r="T5" s="891">
        <v>201</v>
      </c>
      <c r="U5" s="897">
        <f>C40</f>
        <v>21.885999999999967</v>
      </c>
      <c r="V5" s="898">
        <f>C41</f>
        <v>9.6000000000000002E-2</v>
      </c>
      <c r="W5" s="899">
        <f t="shared" si="3"/>
        <v>21.885999999999999</v>
      </c>
      <c r="X5" s="478">
        <f>ROUNDDOWN(W5*$BC$43+($BD$43+$BE$43)*V5,2)</f>
        <v>281.88</v>
      </c>
      <c r="Y5" s="897">
        <f>C82</f>
        <v>0</v>
      </c>
      <c r="Z5" s="899">
        <f t="shared" si="4"/>
        <v>0</v>
      </c>
      <c r="AA5" s="478">
        <f>ROUND((Z5+Z6)*$CG$9,2)</f>
        <v>0</v>
      </c>
      <c r="AC5" s="291" t="s">
        <v>424</v>
      </c>
      <c r="AD5" s="912">
        <v>201</v>
      </c>
      <c r="AE5" s="173">
        <v>8.2000000000000003E-2</v>
      </c>
      <c r="AF5" s="485">
        <v>7.5999999999999998E-2</v>
      </c>
      <c r="AG5" s="485">
        <v>8.4000000000000005E-2</v>
      </c>
      <c r="AH5" s="485">
        <v>9.6000000000000002E-2</v>
      </c>
      <c r="AI5" s="485"/>
      <c r="AL5" s="458"/>
      <c r="AM5" s="458"/>
      <c r="AP5" s="480" t="s">
        <v>369</v>
      </c>
      <c r="AQ5" s="481" t="s">
        <v>369</v>
      </c>
      <c r="AR5" s="481" t="s">
        <v>369</v>
      </c>
      <c r="AS5" s="481" t="s">
        <v>369</v>
      </c>
      <c r="AT5" s="481" t="s">
        <v>369</v>
      </c>
      <c r="AV5" s="482">
        <v>45034</v>
      </c>
      <c r="AW5" s="482">
        <v>45092</v>
      </c>
      <c r="AX5" s="482">
        <v>45092</v>
      </c>
      <c r="AY5" s="469">
        <v>219</v>
      </c>
      <c r="AZ5" s="91">
        <v>2304.0100000000002</v>
      </c>
      <c r="BA5" s="471">
        <v>1320.97</v>
      </c>
      <c r="BB5" s="471">
        <v>5.17</v>
      </c>
      <c r="BC5" s="91">
        <f t="shared" si="5"/>
        <v>6.06</v>
      </c>
      <c r="BD5" s="471">
        <v>977.34</v>
      </c>
      <c r="BE5" s="471">
        <v>0.53</v>
      </c>
      <c r="BF5" s="483"/>
      <c r="BG5" s="1018"/>
      <c r="BH5" s="453" t="s">
        <v>311</v>
      </c>
      <c r="BI5" s="484"/>
      <c r="BJ5" s="465"/>
      <c r="BK5" s="464"/>
      <c r="BL5" s="465"/>
      <c r="BM5" s="464"/>
      <c r="BN5" s="465"/>
      <c r="BO5" s="465"/>
      <c r="BP5" s="467"/>
      <c r="BQ5" s="484" t="s">
        <v>311</v>
      </c>
      <c r="BR5" s="484">
        <v>5</v>
      </c>
      <c r="BS5" s="465">
        <v>70</v>
      </c>
      <c r="BT5" s="464">
        <v>4.9870000000000001</v>
      </c>
      <c r="BU5" s="465">
        <f t="shared" si="6"/>
        <v>349.09</v>
      </c>
      <c r="BV5" s="464">
        <v>3.69</v>
      </c>
      <c r="BW5" s="465">
        <f t="shared" si="7"/>
        <v>258.3</v>
      </c>
      <c r="BX5" s="465">
        <f t="shared" si="0"/>
        <v>607.39</v>
      </c>
      <c r="BY5" s="1018"/>
      <c r="CA5" s="482">
        <v>45098</v>
      </c>
      <c r="CB5" s="469">
        <v>300.73</v>
      </c>
      <c r="CC5" s="470">
        <v>12.741595</v>
      </c>
      <c r="CD5" s="91">
        <f t="shared" si="8"/>
        <v>3831.78</v>
      </c>
      <c r="CE5" s="91">
        <f t="shared" si="9"/>
        <v>12.74</v>
      </c>
      <c r="CF5" s="471">
        <v>2.5</v>
      </c>
      <c r="CG5" s="91">
        <f t="shared" si="1"/>
        <v>31.85</v>
      </c>
    </row>
    <row r="6" spans="1:86" s="429" customFormat="1" ht="66" x14ac:dyDescent="0.25">
      <c r="A6" s="472">
        <v>45105</v>
      </c>
      <c r="B6" s="473" t="s">
        <v>100</v>
      </c>
      <c r="C6" s="474">
        <v>2361.768</v>
      </c>
      <c r="D6" s="474">
        <v>0</v>
      </c>
      <c r="E6" s="474">
        <v>5827.643</v>
      </c>
      <c r="F6" s="474">
        <v>3822.973</v>
      </c>
      <c r="G6" s="474">
        <v>1695.4459999999999</v>
      </c>
      <c r="H6" s="474">
        <v>1763.1769999999999</v>
      </c>
      <c r="I6" s="474">
        <v>3911.7620000000002</v>
      </c>
      <c r="J6" s="474">
        <v>2644.027</v>
      </c>
      <c r="K6" s="474">
        <v>2174.502</v>
      </c>
      <c r="L6" s="474">
        <v>1981.5989999999999</v>
      </c>
      <c r="M6" s="474">
        <v>1899.9269999999999</v>
      </c>
      <c r="N6" s="474">
        <v>2775.9169999999999</v>
      </c>
      <c r="O6" s="474">
        <v>873.95600000000002</v>
      </c>
      <c r="P6" s="474">
        <v>5229.375</v>
      </c>
      <c r="Q6" s="474">
        <v>3177.4290000000001</v>
      </c>
      <c r="R6" s="474">
        <f t="shared" si="2"/>
        <v>40139.501000000004</v>
      </c>
      <c r="S6" s="474"/>
      <c r="T6" s="892" t="s">
        <v>259</v>
      </c>
      <c r="U6" s="897">
        <f>D40</f>
        <v>0</v>
      </c>
      <c r="V6" s="898">
        <f>D41</f>
        <v>0</v>
      </c>
      <c r="W6" s="900">
        <f t="shared" si="3"/>
        <v>0</v>
      </c>
      <c r="X6" s="478">
        <f t="shared" ref="X6:X19" si="10">ROUNDDOWN(W6*$BC$43+($BD$43+$BE$43)*V6,2)</f>
        <v>0</v>
      </c>
      <c r="Y6" s="897">
        <f>D82</f>
        <v>0</v>
      </c>
      <c r="Z6" s="899">
        <f t="shared" si="4"/>
        <v>0</v>
      </c>
      <c r="AA6" s="486">
        <v>0</v>
      </c>
      <c r="AC6" s="291" t="s">
        <v>423</v>
      </c>
      <c r="AD6" s="913" t="s">
        <v>259</v>
      </c>
      <c r="AE6" s="174">
        <v>0</v>
      </c>
      <c r="AF6" s="487">
        <v>0</v>
      </c>
      <c r="AG6" s="487">
        <v>0</v>
      </c>
      <c r="AH6" s="487">
        <v>0</v>
      </c>
      <c r="AI6" s="487"/>
      <c r="AL6" s="488"/>
      <c r="AM6" s="488"/>
      <c r="AP6" s="480" t="s">
        <v>369</v>
      </c>
      <c r="AQ6" s="481" t="s">
        <v>369</v>
      </c>
      <c r="AR6" s="481" t="s">
        <v>369</v>
      </c>
      <c r="AS6" s="481" t="s">
        <v>369</v>
      </c>
      <c r="AT6" s="481" t="s">
        <v>369</v>
      </c>
      <c r="AV6" s="482">
        <v>45064</v>
      </c>
      <c r="AW6" s="482">
        <v>45124</v>
      </c>
      <c r="AX6" s="482">
        <v>45124</v>
      </c>
      <c r="AY6" s="469">
        <v>238</v>
      </c>
      <c r="AZ6" s="91">
        <v>2618.81</v>
      </c>
      <c r="BA6" s="471">
        <v>1501.7</v>
      </c>
      <c r="BB6" s="471">
        <v>5.47</v>
      </c>
      <c r="BC6" s="91">
        <f t="shared" si="5"/>
        <v>6.33</v>
      </c>
      <c r="BD6" s="471">
        <v>1111.08</v>
      </c>
      <c r="BE6" s="471">
        <v>0.56000000000000005</v>
      </c>
      <c r="BF6" s="483"/>
      <c r="BG6" s="1018"/>
      <c r="BH6" s="453" t="s">
        <v>312</v>
      </c>
      <c r="BI6" s="484"/>
      <c r="BJ6" s="465"/>
      <c r="BK6" s="464"/>
      <c r="BL6" s="465"/>
      <c r="BM6" s="464"/>
      <c r="BN6" s="465"/>
      <c r="BO6" s="465"/>
      <c r="BP6" s="467"/>
      <c r="BQ6" s="484" t="s">
        <v>312</v>
      </c>
      <c r="BR6" s="484">
        <v>5</v>
      </c>
      <c r="BS6" s="465">
        <v>70</v>
      </c>
      <c r="BT6" s="464">
        <v>7.7270000000000003</v>
      </c>
      <c r="BU6" s="465">
        <f t="shared" si="6"/>
        <v>540.89</v>
      </c>
      <c r="BV6" s="464">
        <v>5.718</v>
      </c>
      <c r="BW6" s="465">
        <f t="shared" si="7"/>
        <v>400.26</v>
      </c>
      <c r="BX6" s="465">
        <f t="shared" si="0"/>
        <v>941.15</v>
      </c>
      <c r="BY6" s="1018"/>
      <c r="CA6" s="482">
        <v>45296</v>
      </c>
      <c r="CB6" s="469">
        <v>280.22000000000003</v>
      </c>
      <c r="CC6" s="489" t="s">
        <v>101</v>
      </c>
      <c r="CD6" s="91">
        <f t="shared" si="8"/>
        <v>3589.42</v>
      </c>
      <c r="CE6" s="91">
        <f t="shared" si="9"/>
        <v>12.81</v>
      </c>
      <c r="CF6" s="471">
        <v>2.5</v>
      </c>
      <c r="CG6" s="91">
        <f t="shared" si="1"/>
        <v>32.024999999999999</v>
      </c>
    </row>
    <row r="7" spans="1:86" s="429" customFormat="1" ht="15" customHeight="1" x14ac:dyDescent="0.25">
      <c r="A7" s="472">
        <v>45138</v>
      </c>
      <c r="B7" s="473" t="s">
        <v>100</v>
      </c>
      <c r="C7" s="474">
        <v>2376.0430000000001</v>
      </c>
      <c r="D7" s="474">
        <v>0</v>
      </c>
      <c r="E7" s="474">
        <v>5881.0280000000002</v>
      </c>
      <c r="F7" s="474">
        <v>3839.2379999999998</v>
      </c>
      <c r="G7" s="474">
        <v>1709.97</v>
      </c>
      <c r="H7" s="474">
        <v>1780.7950000000001</v>
      </c>
      <c r="I7" s="474">
        <v>3933.364</v>
      </c>
      <c r="J7" s="474">
        <v>2655.5859999999998</v>
      </c>
      <c r="K7" s="474">
        <v>2189.0830000000001</v>
      </c>
      <c r="L7" s="474">
        <v>1992.42</v>
      </c>
      <c r="M7" s="474">
        <v>1929.1110000000001</v>
      </c>
      <c r="N7" s="474">
        <v>2786.0309999999999</v>
      </c>
      <c r="O7" s="474">
        <v>877.04200000000003</v>
      </c>
      <c r="P7" s="474">
        <v>5236.8059999999996</v>
      </c>
      <c r="Q7" s="474">
        <v>3193.116</v>
      </c>
      <c r="R7" s="474">
        <f t="shared" si="2"/>
        <v>40379.632999999994</v>
      </c>
      <c r="S7" s="474"/>
      <c r="T7" s="891">
        <v>202</v>
      </c>
      <c r="U7" s="897">
        <f>E40</f>
        <v>16.76299999999992</v>
      </c>
      <c r="V7" s="898">
        <f>E41</f>
        <v>7.2999999999999995E-2</v>
      </c>
      <c r="W7" s="899">
        <f t="shared" si="3"/>
        <v>16.763000000000002</v>
      </c>
      <c r="X7" s="478">
        <f t="shared" si="10"/>
        <v>215.24</v>
      </c>
      <c r="Y7" s="897">
        <f>E82</f>
        <v>2.7409999999999854</v>
      </c>
      <c r="Z7" s="899">
        <f t="shared" si="4"/>
        <v>2.7410000000000001</v>
      </c>
      <c r="AA7" s="478">
        <f t="shared" ref="AA7:AA19" si="11">ROUND(Z7*$CG$10,2)</f>
        <v>103.82</v>
      </c>
      <c r="AC7" s="232"/>
      <c r="AD7" s="912">
        <v>202</v>
      </c>
      <c r="AE7" s="173">
        <v>0.10100000000000001</v>
      </c>
      <c r="AF7" s="485">
        <v>0.11</v>
      </c>
      <c r="AG7" s="485">
        <v>9.7000000000000003E-2</v>
      </c>
      <c r="AH7" s="485">
        <v>7.2999999999999995E-2</v>
      </c>
      <c r="AI7" s="485"/>
      <c r="AL7" s="490"/>
      <c r="AM7" s="490"/>
      <c r="AP7" s="480" t="s">
        <v>369</v>
      </c>
      <c r="AQ7" s="481" t="s">
        <v>369</v>
      </c>
      <c r="AR7" s="481" t="s">
        <v>369</v>
      </c>
      <c r="AS7" s="481" t="s">
        <v>369</v>
      </c>
      <c r="AT7" s="481" t="s">
        <v>369</v>
      </c>
      <c r="AV7" s="482">
        <v>45096</v>
      </c>
      <c r="AW7" s="482">
        <v>45153</v>
      </c>
      <c r="AX7" s="482">
        <v>45153</v>
      </c>
      <c r="AY7" s="469">
        <v>263</v>
      </c>
      <c r="AZ7" s="91">
        <v>3031.13</v>
      </c>
      <c r="BA7" s="471">
        <v>1739.5</v>
      </c>
      <c r="BB7" s="471">
        <v>4.1100000000000003</v>
      </c>
      <c r="BC7" s="91">
        <f t="shared" si="5"/>
        <v>6.63</v>
      </c>
      <c r="BD7" s="471">
        <v>1287.06</v>
      </c>
      <c r="BE7" s="471">
        <v>0.46</v>
      </c>
      <c r="BF7" s="483"/>
      <c r="BG7" s="1018"/>
      <c r="BH7" s="453" t="s">
        <v>313</v>
      </c>
      <c r="BI7" s="484"/>
      <c r="BJ7" s="465"/>
      <c r="BK7" s="464"/>
      <c r="BL7" s="465"/>
      <c r="BM7" s="464"/>
      <c r="BN7" s="465"/>
      <c r="BO7" s="465"/>
      <c r="BP7" s="467"/>
      <c r="BQ7" s="484" t="s">
        <v>313</v>
      </c>
      <c r="BR7" s="484">
        <v>5</v>
      </c>
      <c r="BS7" s="465">
        <v>70</v>
      </c>
      <c r="BT7" s="464">
        <v>10.548999999999999</v>
      </c>
      <c r="BU7" s="465">
        <f t="shared" si="6"/>
        <v>738.43</v>
      </c>
      <c r="BV7" s="464">
        <v>7.806</v>
      </c>
      <c r="BW7" s="465">
        <f t="shared" si="7"/>
        <v>546.41999999999996</v>
      </c>
      <c r="BX7" s="465">
        <f t="shared" si="0"/>
        <v>1284.8499999999999</v>
      </c>
      <c r="BY7" s="1018"/>
      <c r="CA7" s="482">
        <v>45477</v>
      </c>
      <c r="CB7" s="469">
        <v>271.38</v>
      </c>
      <c r="CC7" s="489">
        <v>13.550888</v>
      </c>
      <c r="CD7" s="91">
        <f t="shared" si="8"/>
        <v>3677.44</v>
      </c>
      <c r="CE7" s="91">
        <f t="shared" si="9"/>
        <v>13.55</v>
      </c>
      <c r="CF7" s="471">
        <v>2.5</v>
      </c>
      <c r="CG7" s="91">
        <f t="shared" si="1"/>
        <v>33.875</v>
      </c>
    </row>
    <row r="8" spans="1:86" s="429" customFormat="1" ht="15" customHeight="1" x14ac:dyDescent="0.25">
      <c r="A8" s="472">
        <v>45166</v>
      </c>
      <c r="B8" s="473" t="s">
        <v>100</v>
      </c>
      <c r="C8" s="474">
        <v>2396.08</v>
      </c>
      <c r="D8" s="474">
        <v>0</v>
      </c>
      <c r="E8" s="474">
        <v>5923.7250000000004</v>
      </c>
      <c r="F8" s="474">
        <v>3855.3119999999999</v>
      </c>
      <c r="G8" s="474">
        <v>1721.4559999999999</v>
      </c>
      <c r="H8" s="474">
        <v>1799.713</v>
      </c>
      <c r="I8" s="474">
        <v>3950.6909999999998</v>
      </c>
      <c r="J8" s="474">
        <v>2666.4009999999998</v>
      </c>
      <c r="K8" s="474">
        <v>2201.556</v>
      </c>
      <c r="L8" s="474">
        <v>2001.809</v>
      </c>
      <c r="M8" s="474">
        <v>1933.433</v>
      </c>
      <c r="N8" s="474">
        <v>2795.1010000000001</v>
      </c>
      <c r="O8" s="474">
        <v>879.56100000000004</v>
      </c>
      <c r="P8" s="474">
        <v>5244.1220000000003</v>
      </c>
      <c r="Q8" s="474">
        <v>3209.97</v>
      </c>
      <c r="R8" s="474">
        <f t="shared" si="2"/>
        <v>40578.93</v>
      </c>
      <c r="S8" s="474"/>
      <c r="T8" s="891">
        <v>301</v>
      </c>
      <c r="U8" s="897">
        <f>F40</f>
        <v>19.759000000000015</v>
      </c>
      <c r="V8" s="898">
        <f>F41</f>
        <v>8.5999999999999993E-2</v>
      </c>
      <c r="W8" s="899">
        <f t="shared" si="3"/>
        <v>19.759</v>
      </c>
      <c r="X8" s="478">
        <f t="shared" si="10"/>
        <v>253.65</v>
      </c>
      <c r="Y8" s="897">
        <f>F82</f>
        <v>4.0589999999999691</v>
      </c>
      <c r="Z8" s="899">
        <f t="shared" si="4"/>
        <v>4.0590000000000002</v>
      </c>
      <c r="AA8" s="478">
        <f t="shared" si="11"/>
        <v>153.72999999999999</v>
      </c>
      <c r="AC8" s="232"/>
      <c r="AD8" s="912">
        <v>301</v>
      </c>
      <c r="AE8" s="173">
        <v>8.5999999999999993E-2</v>
      </c>
      <c r="AF8" s="485">
        <v>9.2999999999999999E-2</v>
      </c>
      <c r="AG8" s="485">
        <v>8.5999999999999993E-2</v>
      </c>
      <c r="AH8" s="485">
        <v>8.5999999999999993E-2</v>
      </c>
      <c r="AI8" s="485"/>
      <c r="AL8" s="490"/>
      <c r="AM8" s="490"/>
      <c r="AP8" s="480" t="s">
        <v>369</v>
      </c>
      <c r="AQ8" s="481" t="s">
        <v>369</v>
      </c>
      <c r="AR8" s="481" t="s">
        <v>369</v>
      </c>
      <c r="AS8" s="481" t="s">
        <v>369</v>
      </c>
      <c r="AT8" s="481" t="s">
        <v>369</v>
      </c>
      <c r="AV8" s="482">
        <v>45126</v>
      </c>
      <c r="AW8" s="482">
        <v>45185</v>
      </c>
      <c r="AX8" s="482">
        <v>45185</v>
      </c>
      <c r="AY8" s="469">
        <v>274</v>
      </c>
      <c r="AZ8" s="91">
        <v>3213.33</v>
      </c>
      <c r="BA8" s="471">
        <v>1844.13</v>
      </c>
      <c r="BB8" s="471">
        <v>4.2300000000000004</v>
      </c>
      <c r="BC8" s="91">
        <f t="shared" si="5"/>
        <v>6.75</v>
      </c>
      <c r="BD8" s="471">
        <v>1364.49</v>
      </c>
      <c r="BE8" s="471">
        <v>0.48</v>
      </c>
      <c r="BF8" s="483"/>
      <c r="BG8" s="1018"/>
      <c r="BH8" s="453" t="s">
        <v>314</v>
      </c>
      <c r="BI8" s="491"/>
      <c r="BJ8" s="465"/>
      <c r="BK8" s="464"/>
      <c r="BL8" s="465"/>
      <c r="BM8" s="464"/>
      <c r="BN8" s="465"/>
      <c r="BO8" s="465"/>
      <c r="BP8" s="467"/>
      <c r="BQ8" s="491" t="s">
        <v>314</v>
      </c>
      <c r="BR8" s="491">
        <v>20</v>
      </c>
      <c r="BS8" s="465">
        <v>280</v>
      </c>
      <c r="BT8" s="464">
        <v>13.417999999999999</v>
      </c>
      <c r="BU8" s="465">
        <f t="shared" si="6"/>
        <v>3757.04</v>
      </c>
      <c r="BV8" s="464">
        <v>9.9290000000000003</v>
      </c>
      <c r="BW8" s="465">
        <f t="shared" si="7"/>
        <v>2780.12</v>
      </c>
      <c r="BX8" s="465">
        <f t="shared" si="0"/>
        <v>6537.16</v>
      </c>
      <c r="BY8" s="1018"/>
      <c r="CA8" s="482">
        <v>45645</v>
      </c>
      <c r="CB8" s="469">
        <v>300.56</v>
      </c>
      <c r="CC8" s="489">
        <v>13.889373000000001</v>
      </c>
      <c r="CD8" s="91">
        <f t="shared" si="8"/>
        <v>4174.59</v>
      </c>
      <c r="CE8" s="91">
        <f t="shared" si="9"/>
        <v>13.89</v>
      </c>
      <c r="CF8" s="471">
        <v>2.5</v>
      </c>
      <c r="CG8" s="91">
        <f t="shared" si="1"/>
        <v>34.725000000000001</v>
      </c>
    </row>
    <row r="9" spans="1:86" s="429" customFormat="1" ht="15" customHeight="1" x14ac:dyDescent="0.25">
      <c r="A9" s="472">
        <v>45197</v>
      </c>
      <c r="B9" s="473" t="s">
        <v>100</v>
      </c>
      <c r="C9" s="474">
        <v>2416.7820000000002</v>
      </c>
      <c r="D9" s="474">
        <v>0</v>
      </c>
      <c r="E9" s="474">
        <v>5955.0739999999996</v>
      </c>
      <c r="F9" s="474">
        <v>3872.337</v>
      </c>
      <c r="G9" s="474">
        <v>1736.355</v>
      </c>
      <c r="H9" s="474">
        <v>1818.171</v>
      </c>
      <c r="I9" s="474">
        <v>3967.6669999999999</v>
      </c>
      <c r="J9" s="474">
        <v>2678.9810000000002</v>
      </c>
      <c r="K9" s="474">
        <v>2211.8220000000001</v>
      </c>
      <c r="L9" s="474">
        <v>2017.308</v>
      </c>
      <c r="M9" s="474">
        <v>1938.5709999999999</v>
      </c>
      <c r="N9" s="474">
        <v>2804.4560000000001</v>
      </c>
      <c r="O9" s="474">
        <v>882.83900000000006</v>
      </c>
      <c r="P9" s="474">
        <v>5251.34</v>
      </c>
      <c r="Q9" s="474">
        <v>3227.3719999999998</v>
      </c>
      <c r="R9" s="474">
        <f t="shared" si="2"/>
        <v>40779.074999999997</v>
      </c>
      <c r="S9" s="474"/>
      <c r="T9" s="891">
        <v>302</v>
      </c>
      <c r="U9" s="897">
        <f>G40</f>
        <v>19.988000000000284</v>
      </c>
      <c r="V9" s="898">
        <f>G41</f>
        <v>8.6999999999999994E-2</v>
      </c>
      <c r="W9" s="899">
        <f t="shared" si="3"/>
        <v>19.988</v>
      </c>
      <c r="X9" s="478">
        <f t="shared" si="10"/>
        <v>256.58999999999997</v>
      </c>
      <c r="Y9" s="897">
        <f>G82</f>
        <v>2.4289999999999736</v>
      </c>
      <c r="Z9" s="899">
        <f t="shared" si="4"/>
        <v>2.4289999999999998</v>
      </c>
      <c r="AA9" s="478">
        <f t="shared" si="11"/>
        <v>92</v>
      </c>
      <c r="AC9" s="232"/>
      <c r="AD9" s="912">
        <v>302</v>
      </c>
      <c r="AE9" s="173">
        <v>0.109</v>
      </c>
      <c r="AF9" s="485">
        <v>0.09</v>
      </c>
      <c r="AG9" s="485">
        <v>7.0000000000000007E-2</v>
      </c>
      <c r="AH9" s="485">
        <v>8.6999999999999994E-2</v>
      </c>
      <c r="AI9" s="485"/>
      <c r="AL9" s="492"/>
      <c r="AM9" s="492"/>
      <c r="AP9" s="480" t="s">
        <v>369</v>
      </c>
      <c r="AQ9" s="481" t="s">
        <v>369</v>
      </c>
      <c r="AR9" s="481" t="s">
        <v>369</v>
      </c>
      <c r="AS9" s="481" t="s">
        <v>369</v>
      </c>
      <c r="AT9" s="481" t="s">
        <v>369</v>
      </c>
      <c r="AV9" s="482">
        <v>45159</v>
      </c>
      <c r="AW9" s="482">
        <v>45215</v>
      </c>
      <c r="AX9" s="482">
        <v>45215</v>
      </c>
      <c r="AY9" s="469">
        <v>261</v>
      </c>
      <c r="AZ9" s="91">
        <v>2998.76</v>
      </c>
      <c r="BA9" s="471">
        <v>1720.47</v>
      </c>
      <c r="BB9" s="471">
        <v>4.7699999999999996</v>
      </c>
      <c r="BC9" s="91">
        <f t="shared" si="5"/>
        <v>6.61</v>
      </c>
      <c r="BD9" s="471">
        <v>1272.98</v>
      </c>
      <c r="BE9" s="471">
        <v>0.54</v>
      </c>
      <c r="BF9" s="483"/>
      <c r="BG9" s="1018"/>
      <c r="BH9" s="453" t="s">
        <v>315</v>
      </c>
      <c r="BI9" s="491"/>
      <c r="BJ9" s="465"/>
      <c r="BK9" s="464"/>
      <c r="BL9" s="465"/>
      <c r="BM9" s="464"/>
      <c r="BN9" s="465"/>
      <c r="BO9" s="465"/>
      <c r="BP9" s="467"/>
      <c r="BQ9" s="491" t="s">
        <v>315</v>
      </c>
      <c r="BR9" s="491">
        <v>5.4285699999999997</v>
      </c>
      <c r="BS9" s="465">
        <v>76</v>
      </c>
      <c r="BT9" s="464">
        <v>16.370999999999999</v>
      </c>
      <c r="BU9" s="465">
        <f t="shared" si="6"/>
        <v>1244.2</v>
      </c>
      <c r="BV9" s="464">
        <v>12.112</v>
      </c>
      <c r="BW9" s="465">
        <f t="shared" si="7"/>
        <v>920.51200000000006</v>
      </c>
      <c r="BX9" s="465">
        <f t="shared" si="0"/>
        <v>2164.712</v>
      </c>
      <c r="BY9" s="1018"/>
      <c r="CA9" s="493">
        <v>45815</v>
      </c>
      <c r="CB9" s="494">
        <v>283.91000000000003</v>
      </c>
      <c r="CC9" s="495">
        <v>15.065302000000001</v>
      </c>
      <c r="CD9" s="144">
        <f t="shared" si="8"/>
        <v>4277.1899999999996</v>
      </c>
      <c r="CE9" s="144">
        <f t="shared" si="9"/>
        <v>15.07</v>
      </c>
      <c r="CF9" s="496">
        <v>2.5</v>
      </c>
      <c r="CG9" s="144">
        <f t="shared" si="1"/>
        <v>37.674999999999997</v>
      </c>
    </row>
    <row r="10" spans="1:86" s="429" customFormat="1" ht="15" customHeight="1" x14ac:dyDescent="0.25">
      <c r="A10" s="472">
        <v>45227</v>
      </c>
      <c r="B10" s="473" t="s">
        <v>100</v>
      </c>
      <c r="C10" s="474">
        <v>2436.8310000000001</v>
      </c>
      <c r="D10" s="474">
        <v>0</v>
      </c>
      <c r="E10" s="474">
        <v>5972.8209999999999</v>
      </c>
      <c r="F10" s="474">
        <v>3892.0279999999998</v>
      </c>
      <c r="G10" s="474">
        <v>1750.664</v>
      </c>
      <c r="H10" s="474">
        <v>1835.107</v>
      </c>
      <c r="I10" s="474">
        <v>3987.57</v>
      </c>
      <c r="J10" s="474">
        <v>2690.9560000000001</v>
      </c>
      <c r="K10" s="474">
        <v>2223.174</v>
      </c>
      <c r="L10" s="474">
        <v>2028.3520000000001</v>
      </c>
      <c r="M10" s="474">
        <v>1943.7570000000001</v>
      </c>
      <c r="N10" s="474">
        <v>2814.3679999999999</v>
      </c>
      <c r="O10" s="474">
        <v>885.62900000000002</v>
      </c>
      <c r="P10" s="474">
        <v>5260.2439999999997</v>
      </c>
      <c r="Q10" s="474">
        <v>3243.3870000000002</v>
      </c>
      <c r="R10" s="474">
        <f t="shared" si="2"/>
        <v>40964.887999999999</v>
      </c>
      <c r="S10" s="474"/>
      <c r="T10" s="891">
        <v>401</v>
      </c>
      <c r="U10" s="897">
        <f>H40</f>
        <v>25.559000000000196</v>
      </c>
      <c r="V10" s="898">
        <f>H41</f>
        <v>0.112</v>
      </c>
      <c r="W10" s="899">
        <f t="shared" si="3"/>
        <v>25.559000000000001</v>
      </c>
      <c r="X10" s="478">
        <f t="shared" si="10"/>
        <v>329.05</v>
      </c>
      <c r="Y10" s="897">
        <f>H82</f>
        <v>1.4140000000000441</v>
      </c>
      <c r="Z10" s="899">
        <f t="shared" si="4"/>
        <v>1.4139999999999999</v>
      </c>
      <c r="AA10" s="478">
        <f t="shared" si="11"/>
        <v>53.56</v>
      </c>
      <c r="AC10" s="201"/>
      <c r="AD10" s="912">
        <v>401</v>
      </c>
      <c r="AE10" s="173">
        <v>0.127</v>
      </c>
      <c r="AF10" s="485">
        <v>0.14099999999999999</v>
      </c>
      <c r="AG10" s="485">
        <v>0.13600000000000001</v>
      </c>
      <c r="AH10" s="485">
        <v>0.112</v>
      </c>
      <c r="AI10" s="485"/>
      <c r="AL10" s="490"/>
      <c r="AM10" s="490"/>
      <c r="AP10" s="480" t="s">
        <v>369</v>
      </c>
      <c r="AQ10" s="481" t="s">
        <v>369</v>
      </c>
      <c r="AR10" s="481" t="s">
        <v>369</v>
      </c>
      <c r="AS10" s="481" t="s">
        <v>369</v>
      </c>
      <c r="AT10" s="481" t="s">
        <v>369</v>
      </c>
      <c r="AV10" s="482">
        <v>45189</v>
      </c>
      <c r="AW10" s="482">
        <v>45245</v>
      </c>
      <c r="AX10" s="482">
        <v>45245</v>
      </c>
      <c r="AY10" s="469">
        <v>242</v>
      </c>
      <c r="AZ10" s="91">
        <f t="shared" ref="AZ10:AZ40" si="12">BA10+BB10+BD10+BE10</f>
        <v>2684.4</v>
      </c>
      <c r="BA10" s="471">
        <v>1539.74</v>
      </c>
      <c r="BB10" s="471">
        <v>4.87</v>
      </c>
      <c r="BC10" s="91">
        <f t="shared" si="5"/>
        <v>6.38</v>
      </c>
      <c r="BD10" s="471">
        <v>1139.24</v>
      </c>
      <c r="BE10" s="471">
        <v>0.55000000000000004</v>
      </c>
      <c r="BF10" s="483"/>
      <c r="BG10" s="1018"/>
      <c r="BH10" s="453" t="s">
        <v>126</v>
      </c>
      <c r="BI10" s="491">
        <f>SUM(BI4:BI8)</f>
        <v>1.4285699999999999</v>
      </c>
      <c r="BJ10" s="497">
        <f>SUM(BJ4:BJ8)</f>
        <v>20</v>
      </c>
      <c r="BK10" s="464"/>
      <c r="BL10" s="465">
        <f>SUM(BL3:BL8)</f>
        <v>363.2</v>
      </c>
      <c r="BM10" s="464"/>
      <c r="BN10" s="465">
        <f>SUM(BN3:BN8)</f>
        <v>268.54000000000002</v>
      </c>
      <c r="BO10" s="465">
        <f>SUM(BO3:BO8)</f>
        <v>631.7399999999999</v>
      </c>
      <c r="BP10" s="467"/>
      <c r="BQ10" s="491" t="s">
        <v>126</v>
      </c>
      <c r="BR10" s="491">
        <f>SUM(BR4:BR9)</f>
        <v>45.428570000000001</v>
      </c>
      <c r="BS10" s="497">
        <f>SUM(BS4:BS9)</f>
        <v>636</v>
      </c>
      <c r="BT10" s="464"/>
      <c r="BU10" s="465">
        <f>SUM(BU3:BU9)</f>
        <v>7109.8499999999995</v>
      </c>
      <c r="BV10" s="464"/>
      <c r="BW10" s="465">
        <f>SUM(BW3:BW9)</f>
        <v>5260.6519999999991</v>
      </c>
      <c r="BX10" s="465">
        <f>SUM(BX3:BX9)</f>
        <v>12370.501999999999</v>
      </c>
      <c r="BY10" s="1018"/>
      <c r="CA10" s="493">
        <v>46025</v>
      </c>
      <c r="CB10" s="494">
        <v>320</v>
      </c>
      <c r="CC10" s="495">
        <v>15.145313</v>
      </c>
      <c r="CD10" s="144">
        <f t="shared" ref="CD10" si="13">ROUND(CB10*CC10,2)</f>
        <v>4846.5</v>
      </c>
      <c r="CE10" s="144">
        <f t="shared" ref="CE10" si="14">ROUND(CC10,2)</f>
        <v>15.15</v>
      </c>
      <c r="CF10" s="496">
        <v>2.5</v>
      </c>
      <c r="CG10" s="144">
        <f t="shared" ref="CG10" si="15">CE10*CF10</f>
        <v>37.875</v>
      </c>
    </row>
    <row r="11" spans="1:86" s="429" customFormat="1" ht="16.5" x14ac:dyDescent="0.25">
      <c r="A11" s="472">
        <v>45258</v>
      </c>
      <c r="B11" s="473" t="s">
        <v>100</v>
      </c>
      <c r="C11" s="474">
        <v>2455.7269999999999</v>
      </c>
      <c r="D11" s="474">
        <v>0</v>
      </c>
      <c r="E11" s="474">
        <v>6004.3680000000004</v>
      </c>
      <c r="F11" s="474">
        <v>3909.5880000000002</v>
      </c>
      <c r="G11" s="474">
        <v>1769.3610000000001</v>
      </c>
      <c r="H11" s="474">
        <v>1854.2080000000001</v>
      </c>
      <c r="I11" s="474">
        <v>4010.335</v>
      </c>
      <c r="J11" s="474">
        <v>2703.9059999999999</v>
      </c>
      <c r="K11" s="474">
        <v>2237.7080000000001</v>
      </c>
      <c r="L11" s="474">
        <v>2043.8820000000001</v>
      </c>
      <c r="M11" s="474">
        <v>1952.1559999999999</v>
      </c>
      <c r="N11" s="474">
        <v>2825.2109999999998</v>
      </c>
      <c r="O11" s="474">
        <v>888.71900000000005</v>
      </c>
      <c r="P11" s="474">
        <v>5262.0309999999999</v>
      </c>
      <c r="Q11" s="474">
        <v>3262.1619999999998</v>
      </c>
      <c r="R11" s="474">
        <f t="shared" si="2"/>
        <v>41179.362000000001</v>
      </c>
      <c r="S11" s="474"/>
      <c r="T11" s="891">
        <v>402</v>
      </c>
      <c r="U11" s="897">
        <f>I40</f>
        <v>23.777000000000044</v>
      </c>
      <c r="V11" s="898">
        <f>I41</f>
        <v>0.104</v>
      </c>
      <c r="W11" s="899">
        <f t="shared" si="3"/>
        <v>23.777000000000001</v>
      </c>
      <c r="X11" s="478">
        <f t="shared" si="10"/>
        <v>305.87</v>
      </c>
      <c r="Y11" s="897">
        <f>I82</f>
        <v>4.8199999999999363</v>
      </c>
      <c r="Z11" s="899">
        <f t="shared" si="4"/>
        <v>4.82</v>
      </c>
      <c r="AA11" s="478">
        <f t="shared" si="11"/>
        <v>182.56</v>
      </c>
      <c r="AC11" s="201"/>
      <c r="AD11" s="912">
        <v>402</v>
      </c>
      <c r="AE11" s="173">
        <v>7.2999999999999995E-2</v>
      </c>
      <c r="AF11" s="485">
        <v>8.5999999999999993E-2</v>
      </c>
      <c r="AG11" s="485">
        <v>9.4E-2</v>
      </c>
      <c r="AH11" s="485">
        <v>0.104</v>
      </c>
      <c r="AI11" s="485"/>
      <c r="AL11" s="490"/>
      <c r="AM11" s="490"/>
      <c r="AP11" s="480" t="s">
        <v>369</v>
      </c>
      <c r="AQ11" s="481" t="s">
        <v>369</v>
      </c>
      <c r="AR11" s="481" t="s">
        <v>369</v>
      </c>
      <c r="AS11" s="481" t="s">
        <v>369</v>
      </c>
      <c r="AT11" s="481" t="s">
        <v>369</v>
      </c>
      <c r="AV11" s="498">
        <v>45222</v>
      </c>
      <c r="AW11" s="482">
        <v>45275</v>
      </c>
      <c r="AX11" s="482">
        <v>45275</v>
      </c>
      <c r="AY11" s="469">
        <v>239</v>
      </c>
      <c r="AZ11" s="91">
        <f t="shared" si="12"/>
        <v>2634.4900000000002</v>
      </c>
      <c r="BA11" s="471">
        <v>1511.21</v>
      </c>
      <c r="BB11" s="471">
        <v>4.6399999999999997</v>
      </c>
      <c r="BC11" s="91">
        <f t="shared" si="5"/>
        <v>6.34</v>
      </c>
      <c r="BD11" s="471">
        <v>1118.1199999999999</v>
      </c>
      <c r="BE11" s="471">
        <v>0.52</v>
      </c>
      <c r="BF11" s="483"/>
      <c r="BG11" s="1018"/>
      <c r="BH11" s="499" t="s">
        <v>128</v>
      </c>
      <c r="BI11" s="484"/>
      <c r="BJ11" s="465"/>
      <c r="BK11" s="464"/>
      <c r="BL11" s="465"/>
      <c r="BM11" s="464"/>
      <c r="BN11" s="465"/>
      <c r="BO11" s="465">
        <v>15.61</v>
      </c>
      <c r="BP11" s="467"/>
      <c r="BQ11" s="499" t="s">
        <v>128</v>
      </c>
      <c r="BR11" s="484"/>
      <c r="BS11" s="465"/>
      <c r="BT11" s="464"/>
      <c r="BU11" s="465"/>
      <c r="BV11" s="464"/>
      <c r="BW11" s="465"/>
      <c r="BX11" s="465">
        <v>15.28</v>
      </c>
      <c r="BY11" s="1018"/>
      <c r="CA11" s="493"/>
      <c r="CB11" s="494"/>
      <c r="CC11" s="495"/>
      <c r="CD11" s="496"/>
      <c r="CE11" s="496"/>
      <c r="CF11" s="496"/>
      <c r="CG11" s="496"/>
    </row>
    <row r="12" spans="1:86" s="429" customFormat="1" ht="16.5" x14ac:dyDescent="0.25">
      <c r="A12" s="472">
        <v>45288</v>
      </c>
      <c r="B12" s="473" t="s">
        <v>100</v>
      </c>
      <c r="C12" s="474">
        <v>2474.42</v>
      </c>
      <c r="D12" s="474">
        <v>0</v>
      </c>
      <c r="E12" s="474">
        <v>6053.424</v>
      </c>
      <c r="F12" s="474">
        <v>3931.0770000000002</v>
      </c>
      <c r="G12" s="474">
        <v>1784.135</v>
      </c>
      <c r="H12" s="474">
        <v>1871.797</v>
      </c>
      <c r="I12" s="474">
        <v>4032.6309999999999</v>
      </c>
      <c r="J12" s="474">
        <v>2715.0529999999999</v>
      </c>
      <c r="K12" s="474">
        <v>2250.8440000000001</v>
      </c>
      <c r="L12" s="474">
        <v>2059.5680000000002</v>
      </c>
      <c r="M12" s="474">
        <v>1968.0129999999999</v>
      </c>
      <c r="N12" s="474">
        <v>2836.3789999999999</v>
      </c>
      <c r="O12" s="474">
        <v>891.61800000000005</v>
      </c>
      <c r="P12" s="474">
        <v>5265.8549999999996</v>
      </c>
      <c r="Q12" s="474">
        <v>3281.0349999999999</v>
      </c>
      <c r="R12" s="474">
        <f t="shared" si="2"/>
        <v>41415.849000000002</v>
      </c>
      <c r="S12" s="474"/>
      <c r="T12" s="891">
        <v>501</v>
      </c>
      <c r="U12" s="897">
        <f>J40</f>
        <v>25.421000000000276</v>
      </c>
      <c r="V12" s="898">
        <f>J41</f>
        <v>0.111</v>
      </c>
      <c r="W12" s="899">
        <f t="shared" si="3"/>
        <v>25.420999999999999</v>
      </c>
      <c r="X12" s="478">
        <f t="shared" si="10"/>
        <v>326.77999999999997</v>
      </c>
      <c r="Y12" s="897">
        <f>J82</f>
        <v>1.2129999999999654</v>
      </c>
      <c r="Z12" s="899">
        <f t="shared" si="4"/>
        <v>1.2130000000000001</v>
      </c>
      <c r="AA12" s="478">
        <f t="shared" si="11"/>
        <v>45.94</v>
      </c>
      <c r="AC12" s="201"/>
      <c r="AD12" s="912">
        <v>501</v>
      </c>
      <c r="AE12" s="173">
        <v>0.06</v>
      </c>
      <c r="AF12" s="485">
        <v>0.128</v>
      </c>
      <c r="AG12" s="485">
        <v>0.185</v>
      </c>
      <c r="AH12" s="485">
        <v>0.111</v>
      </c>
      <c r="AI12" s="485"/>
      <c r="AL12" s="490"/>
      <c r="AM12" s="490"/>
      <c r="AP12" s="480" t="s">
        <v>369</v>
      </c>
      <c r="AQ12" s="481" t="s">
        <v>369</v>
      </c>
      <c r="AR12" s="481" t="s">
        <v>369</v>
      </c>
      <c r="AS12" s="481" t="s">
        <v>369</v>
      </c>
      <c r="AT12" s="481" t="s">
        <v>369</v>
      </c>
      <c r="AV12" s="493">
        <v>45253</v>
      </c>
      <c r="AW12" s="493">
        <v>45306</v>
      </c>
      <c r="AX12" s="493">
        <v>45306</v>
      </c>
      <c r="AY12" s="494">
        <v>246</v>
      </c>
      <c r="AZ12" s="144">
        <f t="shared" si="12"/>
        <v>2749.9100000000003</v>
      </c>
      <c r="BA12" s="496">
        <v>1577.79</v>
      </c>
      <c r="BB12" s="496">
        <v>4.25</v>
      </c>
      <c r="BC12" s="144">
        <f t="shared" si="5"/>
        <v>6.43</v>
      </c>
      <c r="BD12" s="496">
        <v>1167.3900000000001</v>
      </c>
      <c r="BE12" s="496">
        <v>0.48</v>
      </c>
      <c r="BF12" s="483"/>
      <c r="BG12" s="1018"/>
      <c r="BH12" s="499" t="s">
        <v>130</v>
      </c>
      <c r="BI12" s="484"/>
      <c r="BJ12" s="465"/>
      <c r="BK12" s="464"/>
      <c r="BL12" s="465"/>
      <c r="BM12" s="464"/>
      <c r="BN12" s="465"/>
      <c r="BO12" s="465">
        <v>3.43</v>
      </c>
      <c r="BP12" s="467"/>
      <c r="BQ12" s="499" t="s">
        <v>130</v>
      </c>
      <c r="BR12" s="484"/>
      <c r="BS12" s="465"/>
      <c r="BT12" s="464"/>
      <c r="BU12" s="465"/>
      <c r="BV12" s="464"/>
      <c r="BW12" s="465"/>
      <c r="BX12" s="465">
        <v>3.36</v>
      </c>
      <c r="BY12" s="1018"/>
      <c r="CA12" s="500"/>
      <c r="CB12" s="439"/>
      <c r="CC12" s="439"/>
      <c r="CD12" s="439"/>
      <c r="CE12" s="439"/>
      <c r="CF12" s="439"/>
      <c r="CG12" s="439"/>
    </row>
    <row r="13" spans="1:86" s="429" customFormat="1" ht="15.75" x14ac:dyDescent="0.25">
      <c r="A13" s="472">
        <v>45319</v>
      </c>
      <c r="B13" s="473" t="s">
        <v>100</v>
      </c>
      <c r="C13" s="474">
        <v>2491.8209999999999</v>
      </c>
      <c r="D13" s="474">
        <v>0</v>
      </c>
      <c r="E13" s="474">
        <v>6102.3680000000004</v>
      </c>
      <c r="F13" s="474">
        <v>3953.12</v>
      </c>
      <c r="G13" s="474">
        <v>1800.569</v>
      </c>
      <c r="H13" s="474">
        <v>1885.7239999999999</v>
      </c>
      <c r="I13" s="474">
        <v>4058.1370000000002</v>
      </c>
      <c r="J13" s="474">
        <v>2726.8609999999999</v>
      </c>
      <c r="K13" s="474">
        <v>2265.9140000000002</v>
      </c>
      <c r="L13" s="474">
        <v>2075.5909999999999</v>
      </c>
      <c r="M13" s="474">
        <v>1994.2719999999999</v>
      </c>
      <c r="N13" s="474">
        <v>2850.0349999999999</v>
      </c>
      <c r="O13" s="474">
        <v>894.55799999999999</v>
      </c>
      <c r="P13" s="474">
        <v>5267.9960000000001</v>
      </c>
      <c r="Q13" s="474">
        <v>3300.08</v>
      </c>
      <c r="R13" s="474">
        <f t="shared" si="2"/>
        <v>41667.046000000002</v>
      </c>
      <c r="S13" s="474"/>
      <c r="T13" s="891">
        <v>502</v>
      </c>
      <c r="U13" s="897">
        <f>K40</f>
        <v>13.441000000000258</v>
      </c>
      <c r="V13" s="898">
        <f>K41</f>
        <v>5.8999999999999997E-2</v>
      </c>
      <c r="W13" s="899">
        <f t="shared" si="3"/>
        <v>13.441000000000001</v>
      </c>
      <c r="X13" s="478">
        <f t="shared" si="10"/>
        <v>173.17</v>
      </c>
      <c r="Y13" s="897">
        <f>K82</f>
        <v>1.0289999999999964</v>
      </c>
      <c r="Z13" s="899">
        <f t="shared" si="4"/>
        <v>1.0289999999999999</v>
      </c>
      <c r="AA13" s="478">
        <f t="shared" si="11"/>
        <v>38.97</v>
      </c>
      <c r="AC13" s="201"/>
      <c r="AD13" s="912">
        <v>502</v>
      </c>
      <c r="AE13" s="173">
        <v>5.6000000000000001E-2</v>
      </c>
      <c r="AF13" s="485">
        <v>6.9000000000000006E-2</v>
      </c>
      <c r="AG13" s="485">
        <v>5.7000000000000002E-2</v>
      </c>
      <c r="AH13" s="485">
        <v>5.8999999999999997E-2</v>
      </c>
      <c r="AI13" s="485"/>
      <c r="AL13" s="490"/>
      <c r="AM13" s="490"/>
      <c r="AP13" s="480" t="s">
        <v>369</v>
      </c>
      <c r="AQ13" s="481" t="s">
        <v>369</v>
      </c>
      <c r="AR13" s="481" t="s">
        <v>369</v>
      </c>
      <c r="AS13" s="481" t="s">
        <v>369</v>
      </c>
      <c r="AT13" s="481" t="s">
        <v>369</v>
      </c>
      <c r="AV13" s="493">
        <v>45281</v>
      </c>
      <c r="AW13" s="493">
        <v>45337</v>
      </c>
      <c r="AX13" s="493">
        <v>45337</v>
      </c>
      <c r="AY13" s="494">
        <v>243</v>
      </c>
      <c r="AZ13" s="144">
        <f t="shared" si="12"/>
        <v>2699.88</v>
      </c>
      <c r="BA13" s="496">
        <v>1549.26</v>
      </c>
      <c r="BB13" s="496">
        <v>3.9</v>
      </c>
      <c r="BC13" s="144">
        <f t="shared" si="5"/>
        <v>6.39</v>
      </c>
      <c r="BD13" s="496">
        <v>1146.28</v>
      </c>
      <c r="BE13" s="496">
        <v>0.44</v>
      </c>
      <c r="BF13" s="483"/>
      <c r="BG13" s="1018"/>
      <c r="BH13" s="499" t="s">
        <v>99</v>
      </c>
      <c r="BI13" s="484"/>
      <c r="BJ13" s="465"/>
      <c r="BK13" s="464"/>
      <c r="BL13" s="465"/>
      <c r="BM13" s="464"/>
      <c r="BN13" s="465"/>
      <c r="BO13" s="501">
        <f>BO10+BO11+BO12</f>
        <v>650.77999999999986</v>
      </c>
      <c r="BP13" s="467"/>
      <c r="BQ13" s="484" t="s">
        <v>99</v>
      </c>
      <c r="BR13" s="484"/>
      <c r="BS13" s="465"/>
      <c r="BT13" s="464"/>
      <c r="BU13" s="465"/>
      <c r="BV13" s="464"/>
      <c r="BW13" s="465"/>
      <c r="BX13" s="501">
        <f>BX10+BX11+BX12</f>
        <v>12389.142</v>
      </c>
      <c r="BY13" s="1018"/>
      <c r="CA13" s="500" t="s">
        <v>326</v>
      </c>
      <c r="CB13" s="439"/>
      <c r="CC13" s="439"/>
      <c r="CD13" s="439"/>
      <c r="CE13" s="439"/>
      <c r="CF13" s="439"/>
      <c r="CG13" s="439"/>
    </row>
    <row r="14" spans="1:86" s="429" customFormat="1" ht="15.75" x14ac:dyDescent="0.25">
      <c r="A14" s="472">
        <v>45350</v>
      </c>
      <c r="B14" s="473" t="s">
        <v>100</v>
      </c>
      <c r="C14" s="474">
        <v>2505.8090000000002</v>
      </c>
      <c r="D14" s="474">
        <v>0</v>
      </c>
      <c r="E14" s="474">
        <v>6151.25</v>
      </c>
      <c r="F14" s="474">
        <v>3971.944</v>
      </c>
      <c r="G14" s="474">
        <v>1815.415</v>
      </c>
      <c r="H14" s="474">
        <v>1905.788</v>
      </c>
      <c r="I14" s="474">
        <v>4084.6030000000001</v>
      </c>
      <c r="J14" s="474">
        <v>2737.65</v>
      </c>
      <c r="K14" s="474">
        <v>2281.4659999999999</v>
      </c>
      <c r="L14" s="474">
        <v>2090.5509999999999</v>
      </c>
      <c r="M14" s="474">
        <v>2001.2760000000001</v>
      </c>
      <c r="N14" s="474">
        <v>2861.248</v>
      </c>
      <c r="O14" s="474">
        <v>898.34799999999996</v>
      </c>
      <c r="P14" s="474">
        <v>5268.2420000000002</v>
      </c>
      <c r="Q14" s="474">
        <v>3317.7550000000001</v>
      </c>
      <c r="R14" s="474">
        <f t="shared" si="2"/>
        <v>41891.345000000001</v>
      </c>
      <c r="S14" s="474"/>
      <c r="T14" s="891">
        <v>601</v>
      </c>
      <c r="U14" s="897">
        <f>L40</f>
        <v>3.9790000000002692</v>
      </c>
      <c r="V14" s="898">
        <f>L41</f>
        <v>1.7000000000000001E-2</v>
      </c>
      <c r="W14" s="899">
        <f t="shared" si="3"/>
        <v>3.9790000000000001</v>
      </c>
      <c r="X14" s="478">
        <f t="shared" si="10"/>
        <v>50.68</v>
      </c>
      <c r="Y14" s="897">
        <f>L82</f>
        <v>0.58199999999999363</v>
      </c>
      <c r="Z14" s="899">
        <f t="shared" si="4"/>
        <v>0.58199999999999996</v>
      </c>
      <c r="AA14" s="478">
        <f t="shared" si="11"/>
        <v>22.04</v>
      </c>
      <c r="AC14" s="201"/>
      <c r="AD14" s="912">
        <v>601</v>
      </c>
      <c r="AE14" s="173">
        <v>2.1999999999999999E-2</v>
      </c>
      <c r="AF14" s="485">
        <v>2.5000000000000001E-2</v>
      </c>
      <c r="AG14" s="485">
        <v>1.4E-2</v>
      </c>
      <c r="AH14" s="485">
        <v>1.7000000000000001E-2</v>
      </c>
      <c r="AI14" s="485"/>
      <c r="AL14" s="490"/>
      <c r="AM14" s="490"/>
      <c r="AP14" s="480" t="s">
        <v>369</v>
      </c>
      <c r="AQ14" s="481" t="s">
        <v>369</v>
      </c>
      <c r="AR14" s="481" t="s">
        <v>369</v>
      </c>
      <c r="AS14" s="481" t="s">
        <v>369</v>
      </c>
      <c r="AT14" s="481" t="s">
        <v>369</v>
      </c>
      <c r="AV14" s="493">
        <v>45313</v>
      </c>
      <c r="AW14" s="493">
        <v>45366</v>
      </c>
      <c r="AX14" s="493">
        <v>45366</v>
      </c>
      <c r="AY14" s="494">
        <v>293</v>
      </c>
      <c r="AZ14" s="144">
        <f t="shared" si="12"/>
        <v>3689.8399999999997</v>
      </c>
      <c r="BA14" s="496">
        <v>2117.9899999999998</v>
      </c>
      <c r="BB14" s="496">
        <v>4.1500000000000004</v>
      </c>
      <c r="BC14" s="144">
        <f t="shared" si="5"/>
        <v>7.24</v>
      </c>
      <c r="BD14" s="496">
        <v>1567.23</v>
      </c>
      <c r="BE14" s="496">
        <v>0.47</v>
      </c>
      <c r="BF14" s="502"/>
      <c r="BG14" s="1018"/>
      <c r="BH14" s="436" t="s">
        <v>316</v>
      </c>
      <c r="BI14" s="503"/>
      <c r="BJ14" s="504"/>
      <c r="BK14" s="505"/>
      <c r="BL14" s="504"/>
      <c r="BM14" s="506"/>
      <c r="BN14" s="436">
        <v>5021</v>
      </c>
      <c r="BO14" s="507" t="s">
        <v>317</v>
      </c>
      <c r="BP14" s="508"/>
      <c r="BQ14" s="436" t="s">
        <v>325</v>
      </c>
      <c r="BR14" s="503"/>
      <c r="BS14" s="504"/>
      <c r="BT14" s="505"/>
      <c r="BU14" s="504"/>
      <c r="BV14" s="506"/>
      <c r="BW14" s="509">
        <v>5657</v>
      </c>
      <c r="BX14" s="510" t="s">
        <v>317</v>
      </c>
      <c r="BY14" s="1018"/>
      <c r="CA14" s="511" t="s">
        <v>327</v>
      </c>
      <c r="CB14" s="439"/>
      <c r="CC14" s="439"/>
      <c r="CD14" s="439"/>
      <c r="CE14" s="439"/>
      <c r="CF14" s="439"/>
      <c r="CG14" s="439"/>
    </row>
    <row r="15" spans="1:86" s="429" customFormat="1" ht="15.75" x14ac:dyDescent="0.25">
      <c r="A15" s="472">
        <v>45379</v>
      </c>
      <c r="B15" s="473" t="s">
        <v>100</v>
      </c>
      <c r="C15" s="474">
        <v>2523.9079999999999</v>
      </c>
      <c r="D15" s="474">
        <v>0</v>
      </c>
      <c r="E15" s="474">
        <v>6192.33</v>
      </c>
      <c r="F15" s="474">
        <v>3991.9189999999999</v>
      </c>
      <c r="G15" s="474">
        <v>1830.7170000000001</v>
      </c>
      <c r="H15" s="474">
        <v>1918.385</v>
      </c>
      <c r="I15" s="474">
        <v>4101.951</v>
      </c>
      <c r="J15" s="474">
        <v>2748.7530000000002</v>
      </c>
      <c r="K15" s="474">
        <v>2297.261</v>
      </c>
      <c r="L15" s="474">
        <v>2101.5160000000001</v>
      </c>
      <c r="M15" s="474">
        <v>2023.6420000000001</v>
      </c>
      <c r="N15" s="474">
        <v>2874.74</v>
      </c>
      <c r="O15" s="474">
        <v>903.36500000000001</v>
      </c>
      <c r="P15" s="474">
        <v>5269.7560000000003</v>
      </c>
      <c r="Q15" s="474">
        <v>3336.855</v>
      </c>
      <c r="R15" s="474">
        <f t="shared" si="2"/>
        <v>42115.097999999998</v>
      </c>
      <c r="S15" s="474"/>
      <c r="T15" s="891">
        <v>602</v>
      </c>
      <c r="U15" s="897">
        <f>M40</f>
        <v>0.681999999999789</v>
      </c>
      <c r="V15" s="898">
        <f>M41</f>
        <v>3.0000000000000001E-3</v>
      </c>
      <c r="W15" s="899">
        <f t="shared" si="3"/>
        <v>0.68200000000000005</v>
      </c>
      <c r="X15" s="478">
        <f t="shared" si="10"/>
        <v>8.7899999999999991</v>
      </c>
      <c r="Y15" s="897">
        <f>M82</f>
        <v>0.12999999999999545</v>
      </c>
      <c r="Z15" s="899">
        <f t="shared" si="4"/>
        <v>0.13</v>
      </c>
      <c r="AA15" s="478">
        <f t="shared" si="11"/>
        <v>4.92</v>
      </c>
      <c r="AC15" s="201"/>
      <c r="AD15" s="912">
        <v>602</v>
      </c>
      <c r="AE15" s="173">
        <v>9.2999999999999999E-2</v>
      </c>
      <c r="AF15" s="485">
        <v>6.0000000000000001E-3</v>
      </c>
      <c r="AG15" s="485">
        <v>2.1000000000000001E-2</v>
      </c>
      <c r="AH15" s="485">
        <v>3.0000000000000001E-3</v>
      </c>
      <c r="AI15" s="485"/>
      <c r="AL15" s="490"/>
      <c r="AM15" s="490"/>
      <c r="AP15" s="480" t="s">
        <v>369</v>
      </c>
      <c r="AQ15" s="481" t="s">
        <v>369</v>
      </c>
      <c r="AR15" s="481" t="s">
        <v>369</v>
      </c>
      <c r="AS15" s="481" t="s">
        <v>369</v>
      </c>
      <c r="AT15" s="481" t="s">
        <v>369</v>
      </c>
      <c r="AV15" s="493">
        <v>45342</v>
      </c>
      <c r="AW15" s="493">
        <v>45397</v>
      </c>
      <c r="AX15" s="493">
        <v>45397</v>
      </c>
      <c r="AY15" s="494">
        <v>251</v>
      </c>
      <c r="AZ15" s="144">
        <f t="shared" si="12"/>
        <v>2951.83</v>
      </c>
      <c r="BA15" s="496">
        <v>1693.72</v>
      </c>
      <c r="BB15" s="496">
        <v>4.3</v>
      </c>
      <c r="BC15" s="144">
        <f t="shared" si="5"/>
        <v>6.77</v>
      </c>
      <c r="BD15" s="496">
        <v>1253.32</v>
      </c>
      <c r="BE15" s="496">
        <v>0.49</v>
      </c>
      <c r="BF15" s="502"/>
      <c r="BG15" s="1018"/>
      <c r="BH15" s="436" t="s">
        <v>318</v>
      </c>
      <c r="BI15" s="503"/>
      <c r="BJ15" s="504"/>
      <c r="BK15" s="505"/>
      <c r="BL15" s="504"/>
      <c r="BM15" s="506"/>
      <c r="BN15" s="509">
        <v>5362</v>
      </c>
      <c r="BO15" s="510" t="s">
        <v>317</v>
      </c>
      <c r="BP15" s="508"/>
      <c r="BQ15" s="436" t="s">
        <v>319</v>
      </c>
      <c r="BR15" s="503"/>
      <c r="BS15" s="504"/>
      <c r="BT15" s="505"/>
      <c r="BU15" s="504"/>
      <c r="BV15" s="506"/>
      <c r="BW15" s="509">
        <f>BN15</f>
        <v>5362</v>
      </c>
      <c r="BX15" s="510" t="s">
        <v>317</v>
      </c>
      <c r="BY15" s="1018"/>
      <c r="CA15" s="500" t="s">
        <v>137</v>
      </c>
      <c r="CB15" s="439"/>
      <c r="CC15" s="439"/>
      <c r="CD15" s="439"/>
      <c r="CE15" s="439"/>
      <c r="CF15" s="439"/>
      <c r="CG15" s="439"/>
    </row>
    <row r="16" spans="1:86" s="429" customFormat="1" ht="15" customHeight="1" x14ac:dyDescent="0.25">
      <c r="A16" s="472">
        <v>45411</v>
      </c>
      <c r="B16" s="473" t="s">
        <v>100</v>
      </c>
      <c r="C16" s="474">
        <v>2546.9760000000001</v>
      </c>
      <c r="D16" s="474">
        <v>0</v>
      </c>
      <c r="E16" s="474">
        <v>6237.3</v>
      </c>
      <c r="F16" s="474">
        <v>4018.7280000000001</v>
      </c>
      <c r="G16" s="474">
        <v>1849.796</v>
      </c>
      <c r="H16" s="474">
        <v>1928.6030000000001</v>
      </c>
      <c r="I16" s="474">
        <v>4117.2240000000002</v>
      </c>
      <c r="J16" s="474">
        <v>2758.828</v>
      </c>
      <c r="K16" s="474">
        <v>2320.0940000000001</v>
      </c>
      <c r="L16" s="474">
        <v>2124.2669999999998</v>
      </c>
      <c r="M16" s="474">
        <v>2052.4549999999999</v>
      </c>
      <c r="N16" s="474">
        <v>2893.0320000000002</v>
      </c>
      <c r="O16" s="474">
        <v>909.32</v>
      </c>
      <c r="P16" s="474">
        <v>5269.9440000000004</v>
      </c>
      <c r="Q16" s="474">
        <v>3353.9029999999998</v>
      </c>
      <c r="R16" s="474">
        <f t="shared" si="2"/>
        <v>42380.47</v>
      </c>
      <c r="S16" s="474"/>
      <c r="T16" s="891">
        <v>701</v>
      </c>
      <c r="U16" s="897">
        <f>N40</f>
        <v>13.458000000000084</v>
      </c>
      <c r="V16" s="898">
        <f>N41</f>
        <v>5.8999999999999997E-2</v>
      </c>
      <c r="W16" s="899">
        <f t="shared" si="3"/>
        <v>13.458</v>
      </c>
      <c r="X16" s="478">
        <f t="shared" si="10"/>
        <v>173.29</v>
      </c>
      <c r="Y16" s="897">
        <f>N82</f>
        <v>0.78499999999996817</v>
      </c>
      <c r="Z16" s="899">
        <f t="shared" si="4"/>
        <v>0.78500000000000003</v>
      </c>
      <c r="AA16" s="478">
        <f t="shared" si="11"/>
        <v>29.73</v>
      </c>
      <c r="AC16" s="201"/>
      <c r="AD16" s="912">
        <v>701</v>
      </c>
      <c r="AE16" s="173">
        <v>7.0000000000000007E-2</v>
      </c>
      <c r="AF16" s="485">
        <v>5.8999999999999997E-2</v>
      </c>
      <c r="AG16" s="485">
        <v>5.6000000000000001E-2</v>
      </c>
      <c r="AH16" s="485">
        <v>5.8999999999999997E-2</v>
      </c>
      <c r="AI16" s="485"/>
      <c r="AL16" s="490"/>
      <c r="AM16" s="490"/>
      <c r="AP16" s="480" t="s">
        <v>369</v>
      </c>
      <c r="AQ16" s="481" t="s">
        <v>369</v>
      </c>
      <c r="AR16" s="481" t="s">
        <v>369</v>
      </c>
      <c r="AS16" s="481" t="s">
        <v>369</v>
      </c>
      <c r="AT16" s="481" t="s">
        <v>369</v>
      </c>
      <c r="AV16" s="493">
        <v>45370</v>
      </c>
      <c r="AW16" s="493">
        <v>45427</v>
      </c>
      <c r="AX16" s="493">
        <v>45427</v>
      </c>
      <c r="AY16" s="494">
        <v>256</v>
      </c>
      <c r="AZ16" s="144">
        <f t="shared" si="12"/>
        <v>3039.1699999999996</v>
      </c>
      <c r="BA16" s="496">
        <v>1743.28</v>
      </c>
      <c r="BB16" s="496">
        <v>5.3</v>
      </c>
      <c r="BC16" s="144">
        <f t="shared" si="5"/>
        <v>6.83</v>
      </c>
      <c r="BD16" s="496">
        <v>1289.99</v>
      </c>
      <c r="BE16" s="496">
        <v>0.6</v>
      </c>
      <c r="BF16" s="502"/>
      <c r="BG16" s="1018"/>
      <c r="BH16" s="436" t="s">
        <v>320</v>
      </c>
      <c r="BI16" s="503"/>
      <c r="BJ16" s="504"/>
      <c r="BK16" s="505"/>
      <c r="BL16" s="504"/>
      <c r="BM16" s="506"/>
      <c r="BN16" s="509">
        <v>5001</v>
      </c>
      <c r="BO16" s="510" t="s">
        <v>317</v>
      </c>
      <c r="BP16" s="508"/>
      <c r="BQ16" s="512" t="s">
        <v>321</v>
      </c>
      <c r="BR16" s="513"/>
      <c r="BS16" s="513"/>
      <c r="BT16" s="513"/>
      <c r="BU16" s="513"/>
      <c r="BV16" s="514"/>
      <c r="BW16" s="509">
        <f>BW14-BW15</f>
        <v>295</v>
      </c>
      <c r="BX16" s="510" t="s">
        <v>317</v>
      </c>
      <c r="BY16" s="1018"/>
      <c r="CA16" s="500" t="s">
        <v>138</v>
      </c>
      <c r="CB16" s="439"/>
      <c r="CC16" s="439"/>
      <c r="CD16" s="439"/>
      <c r="CE16" s="439"/>
      <c r="CF16" s="439"/>
      <c r="CG16" s="439"/>
    </row>
    <row r="17" spans="1:85" s="429" customFormat="1" ht="22.5" customHeight="1" x14ac:dyDescent="0.25">
      <c r="A17" s="472">
        <v>45441</v>
      </c>
      <c r="B17" s="473" t="s">
        <v>100</v>
      </c>
      <c r="C17" s="474">
        <v>2567.9259999999999</v>
      </c>
      <c r="D17" s="474">
        <v>0</v>
      </c>
      <c r="E17" s="474">
        <v>6280.3620000000001</v>
      </c>
      <c r="F17" s="474">
        <v>4045.1509999999998</v>
      </c>
      <c r="G17" s="474">
        <v>1871.71</v>
      </c>
      <c r="H17" s="474">
        <v>1943.2249999999999</v>
      </c>
      <c r="I17" s="474">
        <v>4138.4430000000002</v>
      </c>
      <c r="J17" s="474">
        <v>2765.393</v>
      </c>
      <c r="K17" s="474">
        <v>2329.7020000000002</v>
      </c>
      <c r="L17" s="474">
        <v>2140.0970000000002</v>
      </c>
      <c r="M17" s="474">
        <v>2061.5309999999999</v>
      </c>
      <c r="N17" s="474">
        <v>2916.9450000000002</v>
      </c>
      <c r="O17" s="474">
        <v>914.48400000000004</v>
      </c>
      <c r="P17" s="474">
        <v>5274.5940000000001</v>
      </c>
      <c r="Q17" s="474">
        <v>3368.6709999999998</v>
      </c>
      <c r="R17" s="474">
        <f t="shared" si="2"/>
        <v>42618.233999999997</v>
      </c>
      <c r="S17" s="474"/>
      <c r="T17" s="891">
        <v>702</v>
      </c>
      <c r="U17" s="897">
        <f>O40</f>
        <v>7.1900000000000546</v>
      </c>
      <c r="V17" s="898">
        <f>O41</f>
        <v>3.1E-2</v>
      </c>
      <c r="W17" s="899">
        <f t="shared" si="3"/>
        <v>7.19</v>
      </c>
      <c r="X17" s="478">
        <f t="shared" si="10"/>
        <v>91.93</v>
      </c>
      <c r="Y17" s="897">
        <f>O82</f>
        <v>3.7609999999999673</v>
      </c>
      <c r="Z17" s="899">
        <f t="shared" si="4"/>
        <v>3.7610000000000001</v>
      </c>
      <c r="AA17" s="478">
        <f t="shared" si="11"/>
        <v>142.44999999999999</v>
      </c>
      <c r="AC17" s="201"/>
      <c r="AD17" s="912">
        <v>702</v>
      </c>
      <c r="AE17" s="173">
        <v>3.1E-2</v>
      </c>
      <c r="AF17" s="485">
        <v>3.4000000000000002E-2</v>
      </c>
      <c r="AG17" s="485">
        <v>2.5999999999999999E-2</v>
      </c>
      <c r="AH17" s="485">
        <v>3.1E-2</v>
      </c>
      <c r="AI17" s="485"/>
      <c r="AL17" s="490"/>
      <c r="AM17" s="490"/>
      <c r="AP17" s="480" t="s">
        <v>369</v>
      </c>
      <c r="AQ17" s="481" t="s">
        <v>369</v>
      </c>
      <c r="AR17" s="481" t="s">
        <v>369</v>
      </c>
      <c r="AS17" s="481" t="s">
        <v>369</v>
      </c>
      <c r="AT17" s="481" t="s">
        <v>369</v>
      </c>
      <c r="AV17" s="493">
        <v>45400</v>
      </c>
      <c r="AW17" s="493">
        <v>45460</v>
      </c>
      <c r="AX17" s="493">
        <v>45460</v>
      </c>
      <c r="AY17" s="494">
        <v>289</v>
      </c>
      <c r="AZ17" s="144">
        <f t="shared" si="12"/>
        <v>3649.8999999999996</v>
      </c>
      <c r="BA17" s="496">
        <v>2094.6</v>
      </c>
      <c r="BB17" s="496">
        <v>4.79</v>
      </c>
      <c r="BC17" s="144">
        <f t="shared" si="5"/>
        <v>7.26</v>
      </c>
      <c r="BD17" s="496">
        <v>1549.97</v>
      </c>
      <c r="BE17" s="496">
        <v>0.54</v>
      </c>
      <c r="BF17" s="502"/>
      <c r="BG17" s="1018"/>
      <c r="BH17" s="512" t="s">
        <v>321</v>
      </c>
      <c r="BI17" s="513"/>
      <c r="BJ17" s="513"/>
      <c r="BK17" s="513"/>
      <c r="BL17" s="513"/>
      <c r="BM17" s="514"/>
      <c r="BN17" s="509">
        <f>BN15-BN16</f>
        <v>361</v>
      </c>
      <c r="BO17" s="510" t="s">
        <v>317</v>
      </c>
      <c r="BP17" s="515"/>
      <c r="BQ17" s="516"/>
      <c r="BR17" s="516"/>
      <c r="BS17" s="516"/>
      <c r="BT17" s="516"/>
      <c r="BU17" s="516"/>
      <c r="BV17" s="516"/>
      <c r="BW17" s="516"/>
      <c r="BX17" s="516"/>
      <c r="BY17" s="1018"/>
      <c r="CA17" s="517" t="s">
        <v>139</v>
      </c>
      <c r="CB17" s="439"/>
      <c r="CC17" s="439"/>
      <c r="CD17" s="439"/>
      <c r="CE17" s="439"/>
      <c r="CF17" s="439"/>
      <c r="CG17" s="439"/>
    </row>
    <row r="18" spans="1:85" s="429" customFormat="1" ht="15.75" x14ac:dyDescent="0.25">
      <c r="A18" s="472">
        <v>45471</v>
      </c>
      <c r="B18" s="473" t="s">
        <v>100</v>
      </c>
      <c r="C18" s="474">
        <v>2587.6610000000001</v>
      </c>
      <c r="D18" s="474">
        <v>0</v>
      </c>
      <c r="E18" s="474">
        <v>6316.7650000000003</v>
      </c>
      <c r="F18" s="474">
        <v>4075.0569999999998</v>
      </c>
      <c r="G18" s="474">
        <v>1898.116</v>
      </c>
      <c r="H18" s="474">
        <v>1962.961</v>
      </c>
      <c r="I18" s="474">
        <v>4159.1130000000003</v>
      </c>
      <c r="J18" s="474">
        <v>2774.9140000000002</v>
      </c>
      <c r="K18" s="474">
        <v>2342.3609999999999</v>
      </c>
      <c r="L18" s="474">
        <v>2156.0880000000002</v>
      </c>
      <c r="M18" s="474">
        <v>2065.768</v>
      </c>
      <c r="N18" s="474">
        <v>2930.5770000000002</v>
      </c>
      <c r="O18" s="474">
        <v>918.50400000000002</v>
      </c>
      <c r="P18" s="474">
        <v>5278.0609999999997</v>
      </c>
      <c r="Q18" s="474">
        <v>3382.2089999999998</v>
      </c>
      <c r="R18" s="474">
        <f t="shared" si="2"/>
        <v>42848.155000000006</v>
      </c>
      <c r="S18" s="474"/>
      <c r="T18" s="891">
        <v>801</v>
      </c>
      <c r="U18" s="897">
        <f>P40</f>
        <v>4.5309999999999491</v>
      </c>
      <c r="V18" s="898">
        <f>P41</f>
        <v>0.02</v>
      </c>
      <c r="W18" s="899">
        <f t="shared" si="3"/>
        <v>4.5309999999999997</v>
      </c>
      <c r="X18" s="478">
        <f t="shared" si="10"/>
        <v>58.51</v>
      </c>
      <c r="Y18" s="897">
        <f>P82</f>
        <v>0.42300000000000182</v>
      </c>
      <c r="Z18" s="899">
        <f t="shared" si="4"/>
        <v>0.42299999999999999</v>
      </c>
      <c r="AA18" s="478">
        <f t="shared" si="11"/>
        <v>16.02</v>
      </c>
      <c r="AC18" s="201"/>
      <c r="AD18" s="912">
        <v>801</v>
      </c>
      <c r="AE18" s="173">
        <v>2.4E-2</v>
      </c>
      <c r="AF18" s="485">
        <v>2.1000000000000001E-2</v>
      </c>
      <c r="AG18" s="485">
        <v>2.1999999999999999E-2</v>
      </c>
      <c r="AH18" s="485">
        <v>0.02</v>
      </c>
      <c r="AI18" s="485"/>
      <c r="AL18" s="490"/>
      <c r="AM18" s="490"/>
      <c r="AP18" s="480" t="s">
        <v>369</v>
      </c>
      <c r="AQ18" s="481" t="s">
        <v>369</v>
      </c>
      <c r="AR18" s="481" t="s">
        <v>369</v>
      </c>
      <c r="AS18" s="481" t="s">
        <v>369</v>
      </c>
      <c r="AT18" s="481" t="s">
        <v>369</v>
      </c>
      <c r="AV18" s="493">
        <v>45433</v>
      </c>
      <c r="AW18" s="493">
        <v>45488</v>
      </c>
      <c r="AX18" s="493">
        <v>45488</v>
      </c>
      <c r="AY18" s="494">
        <v>302</v>
      </c>
      <c r="AZ18" s="144">
        <f t="shared" si="12"/>
        <v>3935.17</v>
      </c>
      <c r="BA18" s="496">
        <v>2258.4899999999998</v>
      </c>
      <c r="BB18" s="496">
        <v>4.88</v>
      </c>
      <c r="BC18" s="144">
        <f t="shared" si="5"/>
        <v>7.49</v>
      </c>
      <c r="BD18" s="496">
        <v>1671.25</v>
      </c>
      <c r="BE18" s="496">
        <v>0.55000000000000004</v>
      </c>
      <c r="BF18" s="502"/>
      <c r="BG18" s="1018"/>
      <c r="BH18" s="518"/>
      <c r="BI18" s="516"/>
      <c r="BJ18" s="516"/>
      <c r="BK18" s="516"/>
      <c r="BL18" s="516"/>
      <c r="BM18" s="515"/>
      <c r="BN18" s="519"/>
      <c r="BO18" s="519"/>
      <c r="BP18" s="515"/>
      <c r="BQ18" s="518"/>
      <c r="BR18" s="516"/>
      <c r="BS18" s="516"/>
      <c r="BT18" s="516"/>
      <c r="BU18" s="516"/>
      <c r="BV18" s="515"/>
      <c r="BW18" s="519"/>
      <c r="BX18" s="519"/>
      <c r="BY18" s="1018"/>
    </row>
    <row r="19" spans="1:85" s="429" customFormat="1" ht="15" customHeight="1" x14ac:dyDescent="0.2">
      <c r="A19" s="472">
        <v>45501</v>
      </c>
      <c r="B19" s="473" t="s">
        <v>100</v>
      </c>
      <c r="C19" s="474">
        <v>2606.6080000000002</v>
      </c>
      <c r="D19" s="474">
        <v>0</v>
      </c>
      <c r="E19" s="474">
        <v>6367.5349999999999</v>
      </c>
      <c r="F19" s="474">
        <v>4100.6809999999996</v>
      </c>
      <c r="G19" s="474">
        <v>1917.329</v>
      </c>
      <c r="H19" s="474">
        <v>1980.374</v>
      </c>
      <c r="I19" s="474">
        <v>4187.7510000000002</v>
      </c>
      <c r="J19" s="474">
        <v>2789.2139999999999</v>
      </c>
      <c r="K19" s="474">
        <v>2356.703</v>
      </c>
      <c r="L19" s="474">
        <v>2188.6610000000001</v>
      </c>
      <c r="M19" s="474">
        <v>2069.694</v>
      </c>
      <c r="N19" s="474">
        <v>2942.1680000000001</v>
      </c>
      <c r="O19" s="474">
        <v>922.149</v>
      </c>
      <c r="P19" s="474">
        <v>5281.6660000000002</v>
      </c>
      <c r="Q19" s="474">
        <v>3394.5709999999999</v>
      </c>
      <c r="R19" s="474">
        <f t="shared" si="2"/>
        <v>43105.103999999992</v>
      </c>
      <c r="S19" s="474"/>
      <c r="T19" s="893">
        <v>802</v>
      </c>
      <c r="U19" s="897">
        <f>Q40</f>
        <v>14.108999999999924</v>
      </c>
      <c r="V19" s="898">
        <f>Q41</f>
        <v>6.2E-2</v>
      </c>
      <c r="W19" s="901">
        <f t="shared" si="3"/>
        <v>14.109</v>
      </c>
      <c r="X19" s="478">
        <f t="shared" si="10"/>
        <v>181.86</v>
      </c>
      <c r="Y19" s="897">
        <f>Q82</f>
        <v>2.4399999999999977</v>
      </c>
      <c r="Z19" s="899">
        <f t="shared" si="4"/>
        <v>2.44</v>
      </c>
      <c r="AA19" s="478">
        <f t="shared" si="11"/>
        <v>92.42</v>
      </c>
      <c r="AC19" s="201"/>
      <c r="AD19" s="912">
        <v>802</v>
      </c>
      <c r="AE19" s="173">
        <v>6.6000000000000003E-2</v>
      </c>
      <c r="AF19" s="485">
        <v>6.2E-2</v>
      </c>
      <c r="AG19" s="485">
        <v>5.1999999999999998E-2</v>
      </c>
      <c r="AH19" s="485">
        <v>6.2E-2</v>
      </c>
      <c r="AI19" s="485"/>
      <c r="AL19" s="490"/>
      <c r="AM19" s="490"/>
      <c r="AP19" s="480" t="s">
        <v>369</v>
      </c>
      <c r="AQ19" s="481" t="s">
        <v>369</v>
      </c>
      <c r="AR19" s="481" t="s">
        <v>369</v>
      </c>
      <c r="AS19" s="481" t="s">
        <v>369</v>
      </c>
      <c r="AT19" s="481" t="s">
        <v>369</v>
      </c>
      <c r="AV19" s="493">
        <v>45463</v>
      </c>
      <c r="AW19" s="493">
        <v>45519</v>
      </c>
      <c r="AX19" s="493">
        <v>45519</v>
      </c>
      <c r="AY19" s="494">
        <v>287</v>
      </c>
      <c r="AZ19" s="144">
        <f t="shared" si="12"/>
        <v>3238.7200000000003</v>
      </c>
      <c r="BA19" s="496">
        <v>1852.3</v>
      </c>
      <c r="BB19" s="496">
        <v>12.45</v>
      </c>
      <c r="BC19" s="144">
        <f t="shared" si="5"/>
        <v>6.5</v>
      </c>
      <c r="BD19" s="496">
        <v>1370.67</v>
      </c>
      <c r="BE19" s="496">
        <v>3.3</v>
      </c>
      <c r="BF19" s="502"/>
      <c r="BG19" s="1018"/>
      <c r="BH19" s="520" t="s">
        <v>323</v>
      </c>
      <c r="BI19" s="437"/>
      <c r="BJ19" s="437"/>
      <c r="BK19" s="437"/>
      <c r="BL19" s="437"/>
      <c r="BM19" s="437"/>
      <c r="BN19" s="437"/>
      <c r="BO19" s="438"/>
      <c r="BP19" s="515"/>
      <c r="BQ19" s="521" t="s">
        <v>324</v>
      </c>
      <c r="BR19" s="440"/>
      <c r="BS19" s="440"/>
      <c r="BT19" s="440"/>
      <c r="BU19" s="440"/>
      <c r="BV19" s="440"/>
      <c r="BW19" s="522"/>
      <c r="BX19" s="523"/>
      <c r="BY19" s="1018"/>
    </row>
    <row r="20" spans="1:85" s="429" customFormat="1" ht="15" customHeight="1" x14ac:dyDescent="0.2">
      <c r="A20" s="472">
        <v>45532</v>
      </c>
      <c r="B20" s="473" t="s">
        <v>100</v>
      </c>
      <c r="C20" s="474">
        <v>2626.5239999999999</v>
      </c>
      <c r="D20" s="474">
        <v>0</v>
      </c>
      <c r="E20" s="474">
        <v>6414.4229999999998</v>
      </c>
      <c r="F20" s="474">
        <v>4134.3230000000003</v>
      </c>
      <c r="G20" s="474">
        <v>1939.8630000000001</v>
      </c>
      <c r="H20" s="474">
        <v>1998.7270000000001</v>
      </c>
      <c r="I20" s="474">
        <v>4218.2619999999997</v>
      </c>
      <c r="J20" s="474">
        <v>2808.3150000000001</v>
      </c>
      <c r="K20" s="474">
        <v>2372.4119999999998</v>
      </c>
      <c r="L20" s="474">
        <v>2225.998</v>
      </c>
      <c r="M20" s="474">
        <v>2074.3969999999999</v>
      </c>
      <c r="N20" s="474">
        <v>2956.7220000000002</v>
      </c>
      <c r="O20" s="474">
        <v>925.67499999999995</v>
      </c>
      <c r="P20" s="474">
        <v>5288.84</v>
      </c>
      <c r="Q20" s="474">
        <v>3407.6170000000002</v>
      </c>
      <c r="R20" s="474">
        <f t="shared" si="2"/>
        <v>43392.097999999998</v>
      </c>
      <c r="S20" s="474"/>
      <c r="T20" s="894" t="s">
        <v>99</v>
      </c>
      <c r="U20" s="902">
        <f t="shared" ref="U20:AA20" si="16">SUM(U4:U19)</f>
        <v>229</v>
      </c>
      <c r="V20" s="152">
        <f t="shared" si="16"/>
        <v>1</v>
      </c>
      <c r="W20" s="902">
        <f t="shared" si="16"/>
        <v>229.00000000000003</v>
      </c>
      <c r="X20" s="526">
        <f t="shared" si="16"/>
        <v>2943.7000000000003</v>
      </c>
      <c r="Y20" s="527">
        <f t="shared" si="16"/>
        <v>25.825999999999794</v>
      </c>
      <c r="Z20" s="525">
        <f t="shared" si="16"/>
        <v>25.826000000000001</v>
      </c>
      <c r="AA20" s="528">
        <f t="shared" si="16"/>
        <v>978.15999999999974</v>
      </c>
      <c r="AB20" s="424"/>
      <c r="AC20" s="201"/>
      <c r="AD20" s="909" t="s">
        <v>99</v>
      </c>
      <c r="AE20" s="152">
        <f>SUM(AE4:AE19)</f>
        <v>1</v>
      </c>
      <c r="AF20" s="525">
        <f>SUM(AF4:AF19)</f>
        <v>1</v>
      </c>
      <c r="AG20" s="525">
        <f>SUM(AG4:AG19)</f>
        <v>1.0000000000000002</v>
      </c>
      <c r="AH20" s="525">
        <f>SUM(AH4:AH19)</f>
        <v>1</v>
      </c>
      <c r="AI20" s="525">
        <f>SUM(AI4:AI19)</f>
        <v>0</v>
      </c>
      <c r="AL20" s="490"/>
      <c r="AM20" s="490"/>
      <c r="AP20" s="480" t="s">
        <v>369</v>
      </c>
      <c r="AQ20" s="481" t="s">
        <v>369</v>
      </c>
      <c r="AR20" s="481" t="s">
        <v>369</v>
      </c>
      <c r="AS20" s="481" t="s">
        <v>369</v>
      </c>
      <c r="AT20" s="481" t="s">
        <v>369</v>
      </c>
      <c r="AV20" s="529">
        <v>45495</v>
      </c>
      <c r="AW20" s="529">
        <v>45551</v>
      </c>
      <c r="AX20" s="529">
        <v>45551</v>
      </c>
      <c r="AY20" s="530">
        <v>276</v>
      </c>
      <c r="AZ20" s="925">
        <f t="shared" si="12"/>
        <v>3395.64</v>
      </c>
      <c r="BA20" s="531">
        <v>1941.5</v>
      </c>
      <c r="BB20" s="531">
        <v>13.81</v>
      </c>
      <c r="BC20" s="925">
        <f t="shared" si="5"/>
        <v>7.08</v>
      </c>
      <c r="BD20" s="531">
        <v>1436.67</v>
      </c>
      <c r="BE20" s="531">
        <v>3.66</v>
      </c>
      <c r="BF20" s="502"/>
      <c r="BG20" s="1018"/>
      <c r="BH20" s="453" t="s">
        <v>115</v>
      </c>
      <c r="BI20" s="453" t="s">
        <v>116</v>
      </c>
      <c r="BJ20" s="453" t="s">
        <v>117</v>
      </c>
      <c r="BK20" s="453" t="s">
        <v>118</v>
      </c>
      <c r="BL20" s="453" t="s">
        <v>119</v>
      </c>
      <c r="BM20" s="453" t="s">
        <v>120</v>
      </c>
      <c r="BN20" s="453" t="s">
        <v>121</v>
      </c>
      <c r="BO20" s="453" t="s">
        <v>122</v>
      </c>
      <c r="BP20" s="454"/>
      <c r="BQ20" s="453" t="s">
        <v>115</v>
      </c>
      <c r="BR20" s="453" t="s">
        <v>116</v>
      </c>
      <c r="BS20" s="453" t="s">
        <v>117</v>
      </c>
      <c r="BT20" s="453" t="s">
        <v>118</v>
      </c>
      <c r="BU20" s="453" t="s">
        <v>119</v>
      </c>
      <c r="BV20" s="453" t="s">
        <v>120</v>
      </c>
      <c r="BW20" s="453" t="s">
        <v>121</v>
      </c>
      <c r="BX20" s="453" t="s">
        <v>122</v>
      </c>
      <c r="BY20" s="1018"/>
    </row>
    <row r="21" spans="1:85" s="429" customFormat="1" ht="15" customHeight="1" x14ac:dyDescent="0.2">
      <c r="A21" s="472">
        <v>45563</v>
      </c>
      <c r="B21" s="473" t="s">
        <v>100</v>
      </c>
      <c r="C21" s="474">
        <v>2651.145</v>
      </c>
      <c r="D21" s="474">
        <v>0</v>
      </c>
      <c r="E21" s="474">
        <v>6460.2449999999999</v>
      </c>
      <c r="F21" s="474">
        <v>4165.1490000000003</v>
      </c>
      <c r="G21" s="474">
        <v>1967.6659999999999</v>
      </c>
      <c r="H21" s="474">
        <v>2017.377</v>
      </c>
      <c r="I21" s="474">
        <v>4243.84</v>
      </c>
      <c r="J21" s="474">
        <v>2831.7289999999998</v>
      </c>
      <c r="K21" s="474">
        <v>2387.4540000000002</v>
      </c>
      <c r="L21" s="474">
        <v>2241.4969999999998</v>
      </c>
      <c r="M21" s="474">
        <v>2079.7570000000001</v>
      </c>
      <c r="N21" s="474">
        <v>2967.4369999999999</v>
      </c>
      <c r="O21" s="474">
        <v>929.33399999999995</v>
      </c>
      <c r="P21" s="474">
        <v>5295.1809999999996</v>
      </c>
      <c r="Q21" s="474">
        <v>3421.9160000000002</v>
      </c>
      <c r="R21" s="474">
        <f t="shared" si="2"/>
        <v>43659.726999999999</v>
      </c>
      <c r="S21" s="474"/>
      <c r="T21" s="895" t="s">
        <v>273</v>
      </c>
      <c r="U21" s="524">
        <f>AY43</f>
        <v>229</v>
      </c>
      <c r="V21" s="152">
        <v>1</v>
      </c>
      <c r="W21" s="902">
        <f>U21</f>
        <v>229</v>
      </c>
      <c r="X21" s="532">
        <f>AZ43</f>
        <v>2943.7</v>
      </c>
      <c r="Y21" s="527">
        <f>R82</f>
        <v>25.825999999999794</v>
      </c>
      <c r="Z21" s="152">
        <f>Y21</f>
        <v>25.825999999999794</v>
      </c>
      <c r="AA21" s="533"/>
      <c r="AB21" s="424"/>
      <c r="AC21" s="201"/>
      <c r="AD21" s="910" t="s">
        <v>273</v>
      </c>
      <c r="AE21" s="152">
        <v>1</v>
      </c>
      <c r="AF21" s="525">
        <v>1</v>
      </c>
      <c r="AG21" s="525">
        <v>1</v>
      </c>
      <c r="AH21" s="525">
        <v>1</v>
      </c>
      <c r="AI21" s="525">
        <v>1</v>
      </c>
      <c r="AL21" s="490"/>
      <c r="AM21" s="490"/>
      <c r="AP21" s="480" t="s">
        <v>369</v>
      </c>
      <c r="AQ21" s="481" t="s">
        <v>369</v>
      </c>
      <c r="AR21" s="481" t="s">
        <v>369</v>
      </c>
      <c r="AS21" s="481" t="s">
        <v>369</v>
      </c>
      <c r="AT21" s="481" t="s">
        <v>369</v>
      </c>
      <c r="AV21" s="493">
        <v>45526</v>
      </c>
      <c r="AW21" s="493">
        <v>45580</v>
      </c>
      <c r="AX21" s="493">
        <v>45580</v>
      </c>
      <c r="AY21" s="494">
        <v>287</v>
      </c>
      <c r="AZ21" s="144">
        <f t="shared" si="12"/>
        <v>3616.1099999999997</v>
      </c>
      <c r="BA21" s="496">
        <v>2069.39</v>
      </c>
      <c r="BB21" s="496">
        <v>12.18</v>
      </c>
      <c r="BC21" s="144">
        <f t="shared" si="5"/>
        <v>7.25</v>
      </c>
      <c r="BD21" s="496">
        <v>1531.31</v>
      </c>
      <c r="BE21" s="496">
        <v>3.23</v>
      </c>
      <c r="BF21" s="502"/>
      <c r="BG21" s="1018"/>
      <c r="BH21" s="453" t="s">
        <v>123</v>
      </c>
      <c r="BI21" s="464"/>
      <c r="BJ21" s="465"/>
      <c r="BK21" s="464"/>
      <c r="BL21" s="465">
        <v>316.39999999999998</v>
      </c>
      <c r="BM21" s="466"/>
      <c r="BN21" s="465">
        <v>233.94</v>
      </c>
      <c r="BO21" s="465">
        <f t="shared" ref="BO21:BO26" si="17">BL21+BN21</f>
        <v>550.33999999999992</v>
      </c>
      <c r="BP21" s="467"/>
      <c r="BQ21" s="464" t="s">
        <v>123</v>
      </c>
      <c r="BR21" s="464"/>
      <c r="BS21" s="465"/>
      <c r="BT21" s="464"/>
      <c r="BU21" s="465">
        <v>316.39999999999998</v>
      </c>
      <c r="BV21" s="466"/>
      <c r="BW21" s="465">
        <v>233.94</v>
      </c>
      <c r="BX21" s="465">
        <f t="shared" ref="BX21:BX26" si="18">BU21+BW21</f>
        <v>550.33999999999992</v>
      </c>
      <c r="BY21" s="1018"/>
    </row>
    <row r="22" spans="1:85" s="429" customFormat="1" ht="15" customHeight="1" thickBot="1" x14ac:dyDescent="0.25">
      <c r="A22" s="472">
        <v>45593</v>
      </c>
      <c r="B22" s="473" t="s">
        <v>100</v>
      </c>
      <c r="C22" s="474">
        <v>2674.4940000000001</v>
      </c>
      <c r="D22" s="474">
        <v>0</v>
      </c>
      <c r="E22" s="474">
        <v>6502.8959999999997</v>
      </c>
      <c r="F22" s="474">
        <v>4197.01</v>
      </c>
      <c r="G22" s="474">
        <v>1993.943</v>
      </c>
      <c r="H22" s="474">
        <v>2037.885</v>
      </c>
      <c r="I22" s="474">
        <v>4268.1779999999999</v>
      </c>
      <c r="J22" s="474">
        <v>2853.4050000000002</v>
      </c>
      <c r="K22" s="474">
        <v>2401.4229999999998</v>
      </c>
      <c r="L22" s="474">
        <v>2245.1329999999998</v>
      </c>
      <c r="M22" s="474">
        <v>2084.6410000000001</v>
      </c>
      <c r="N22" s="474">
        <v>2978.578</v>
      </c>
      <c r="O22" s="474">
        <v>933.19</v>
      </c>
      <c r="P22" s="474">
        <v>5300.14</v>
      </c>
      <c r="Q22" s="474">
        <v>3435.194</v>
      </c>
      <c r="R22" s="474">
        <f t="shared" si="2"/>
        <v>43906.11</v>
      </c>
      <c r="S22" s="474"/>
      <c r="T22" s="896" t="s">
        <v>273</v>
      </c>
      <c r="U22" s="903">
        <f t="shared" ref="U22:Z22" si="19">U20-U21</f>
        <v>0</v>
      </c>
      <c r="V22" s="903">
        <f t="shared" si="19"/>
        <v>0</v>
      </c>
      <c r="W22" s="904">
        <f t="shared" si="19"/>
        <v>0</v>
      </c>
      <c r="X22" s="905">
        <f t="shared" si="19"/>
        <v>0</v>
      </c>
      <c r="Y22" s="906">
        <f t="shared" si="19"/>
        <v>0</v>
      </c>
      <c r="Z22" s="907">
        <f t="shared" si="19"/>
        <v>2.0605739337042905E-13</v>
      </c>
      <c r="AA22" s="534"/>
      <c r="AB22" s="424"/>
      <c r="AC22" s="202"/>
      <c r="AD22" s="910" t="s">
        <v>273</v>
      </c>
      <c r="AE22" s="175">
        <f>AE20-AE21</f>
        <v>0</v>
      </c>
      <c r="AF22" s="535">
        <f>AF20-AF21</f>
        <v>0</v>
      </c>
      <c r="AG22" s="535">
        <f>AG20-AG21</f>
        <v>0</v>
      </c>
      <c r="AH22" s="535">
        <f>AH20-AH21</f>
        <v>0</v>
      </c>
      <c r="AI22" s="535">
        <f>AI20-AI21</f>
        <v>-1</v>
      </c>
      <c r="AL22" s="490"/>
      <c r="AM22" s="490"/>
      <c r="AP22" s="480" t="s">
        <v>369</v>
      </c>
      <c r="AQ22" s="481" t="s">
        <v>369</v>
      </c>
      <c r="AR22" s="481" t="s">
        <v>369</v>
      </c>
      <c r="AS22" s="481" t="s">
        <v>369</v>
      </c>
      <c r="AT22" s="481" t="s">
        <v>369</v>
      </c>
      <c r="AV22" s="529">
        <v>45495</v>
      </c>
      <c r="AW22" s="529">
        <v>45551</v>
      </c>
      <c r="AX22" s="529">
        <v>45551</v>
      </c>
      <c r="AY22" s="530">
        <v>297</v>
      </c>
      <c r="AZ22" s="925">
        <f t="shared" si="12"/>
        <v>3837.5299999999997</v>
      </c>
      <c r="BA22" s="531">
        <v>2195.46</v>
      </c>
      <c r="BB22" s="531">
        <v>13.81</v>
      </c>
      <c r="BC22" s="925">
        <f t="shared" si="5"/>
        <v>7.44</v>
      </c>
      <c r="BD22" s="531">
        <v>1624.6</v>
      </c>
      <c r="BE22" s="531">
        <v>3.66</v>
      </c>
      <c r="BF22" s="536" t="s">
        <v>132</v>
      </c>
      <c r="BG22" s="1018"/>
      <c r="BH22" s="453" t="s">
        <v>124</v>
      </c>
      <c r="BI22" s="484">
        <v>5</v>
      </c>
      <c r="BJ22" s="465">
        <v>70</v>
      </c>
      <c r="BK22" s="464">
        <v>2.34</v>
      </c>
      <c r="BL22" s="465">
        <f>ROUND(BJ22*BK22,2)</f>
        <v>163.80000000000001</v>
      </c>
      <c r="BM22" s="464">
        <v>1.73</v>
      </c>
      <c r="BN22" s="465">
        <f>BJ22*BM22</f>
        <v>121.1</v>
      </c>
      <c r="BO22" s="465">
        <f t="shared" si="17"/>
        <v>284.89999999999998</v>
      </c>
      <c r="BP22" s="467"/>
      <c r="BQ22" s="484" t="s">
        <v>124</v>
      </c>
      <c r="BR22" s="484">
        <v>5</v>
      </c>
      <c r="BS22" s="465">
        <v>70</v>
      </c>
      <c r="BT22" s="464">
        <v>2.34</v>
      </c>
      <c r="BU22" s="465">
        <f>ROUND(BS22*BT22,2)</f>
        <v>163.80000000000001</v>
      </c>
      <c r="BV22" s="464">
        <v>1.73</v>
      </c>
      <c r="BW22" s="465">
        <f>BS22*BV22</f>
        <v>121.1</v>
      </c>
      <c r="BX22" s="465">
        <f t="shared" si="18"/>
        <v>284.89999999999998</v>
      </c>
      <c r="BY22" s="1018"/>
    </row>
    <row r="23" spans="1:85" s="429" customFormat="1" ht="15" customHeight="1" thickTop="1" x14ac:dyDescent="0.25">
      <c r="A23" s="472">
        <v>45624</v>
      </c>
      <c r="B23" s="473" t="s">
        <v>100</v>
      </c>
      <c r="C23" s="474">
        <v>2694.8310000000001</v>
      </c>
      <c r="D23" s="474">
        <v>0</v>
      </c>
      <c r="E23" s="474">
        <v>6540.4979999999996</v>
      </c>
      <c r="F23" s="474">
        <v>4218.1679999999997</v>
      </c>
      <c r="G23" s="474">
        <v>2018.7950000000001</v>
      </c>
      <c r="H23" s="474">
        <v>2058.8980000000001</v>
      </c>
      <c r="I23" s="474">
        <v>4289.1260000000002</v>
      </c>
      <c r="J23" s="474">
        <v>2873.857</v>
      </c>
      <c r="K23" s="474">
        <v>2416.056</v>
      </c>
      <c r="L23" s="474">
        <v>2249.8069999999998</v>
      </c>
      <c r="M23" s="474">
        <v>2089.6559999999999</v>
      </c>
      <c r="N23" s="474">
        <v>2989.712</v>
      </c>
      <c r="O23" s="474">
        <v>936.58900000000006</v>
      </c>
      <c r="P23" s="474">
        <v>5302.4920000000002</v>
      </c>
      <c r="Q23" s="474">
        <v>3464.0050000000001</v>
      </c>
      <c r="R23" s="474">
        <f t="shared" si="2"/>
        <v>44142.49</v>
      </c>
      <c r="S23" s="474"/>
      <c r="AL23" s="537"/>
      <c r="AM23" s="537"/>
      <c r="AP23" s="480" t="s">
        <v>369</v>
      </c>
      <c r="AQ23" s="481" t="s">
        <v>369</v>
      </c>
      <c r="AR23" s="481" t="s">
        <v>369</v>
      </c>
      <c r="AS23" s="481" t="s">
        <v>369</v>
      </c>
      <c r="AT23" s="481" t="s">
        <v>369</v>
      </c>
      <c r="AV23" s="493">
        <v>45555</v>
      </c>
      <c r="AW23" s="493">
        <v>45614</v>
      </c>
      <c r="AX23" s="493">
        <v>45614</v>
      </c>
      <c r="AY23" s="494">
        <v>191</v>
      </c>
      <c r="AZ23" s="144">
        <f t="shared" si="12"/>
        <v>2015.8</v>
      </c>
      <c r="BA23" s="496">
        <v>1149.43</v>
      </c>
      <c r="BB23" s="496">
        <v>12.5</v>
      </c>
      <c r="BC23" s="144">
        <f t="shared" si="5"/>
        <v>6.08</v>
      </c>
      <c r="BD23" s="496">
        <v>850.56</v>
      </c>
      <c r="BE23" s="496">
        <v>3.31</v>
      </c>
      <c r="BF23" s="502"/>
      <c r="BG23" s="1018"/>
      <c r="BH23" s="453" t="s">
        <v>311</v>
      </c>
      <c r="BI23" s="484">
        <v>5</v>
      </c>
      <c r="BJ23" s="465">
        <v>70</v>
      </c>
      <c r="BK23" s="464">
        <v>4.9870000000000001</v>
      </c>
      <c r="BL23" s="465">
        <f>ROUND(BJ23*BK23,2)</f>
        <v>349.09</v>
      </c>
      <c r="BM23" s="464">
        <v>3.69</v>
      </c>
      <c r="BN23" s="465">
        <f>BJ23*BM23</f>
        <v>258.3</v>
      </c>
      <c r="BO23" s="465">
        <f t="shared" si="17"/>
        <v>607.39</v>
      </c>
      <c r="BP23" s="467"/>
      <c r="BQ23" s="484" t="s">
        <v>311</v>
      </c>
      <c r="BR23" s="484">
        <v>5</v>
      </c>
      <c r="BS23" s="465">
        <v>70</v>
      </c>
      <c r="BT23" s="464">
        <v>4.9870000000000001</v>
      </c>
      <c r="BU23" s="465">
        <f>ROUND(BS23*BT23,2)</f>
        <v>349.09</v>
      </c>
      <c r="BV23" s="464">
        <v>3.69</v>
      </c>
      <c r="BW23" s="465">
        <f>BS23*BV23</f>
        <v>258.3</v>
      </c>
      <c r="BX23" s="465">
        <f t="shared" si="18"/>
        <v>607.39</v>
      </c>
      <c r="BY23" s="1018"/>
    </row>
    <row r="24" spans="1:85" s="429" customFormat="1" ht="15" customHeight="1" x14ac:dyDescent="0.25">
      <c r="A24" s="472">
        <v>45654</v>
      </c>
      <c r="B24" s="473" t="s">
        <v>100</v>
      </c>
      <c r="C24" s="474">
        <v>2714.7660000000001</v>
      </c>
      <c r="D24" s="474">
        <v>0</v>
      </c>
      <c r="E24" s="474">
        <v>6586.8639999999996</v>
      </c>
      <c r="F24" s="474">
        <v>4237.0370000000003</v>
      </c>
      <c r="G24" s="474">
        <v>2045.3230000000001</v>
      </c>
      <c r="H24" s="474">
        <v>2081.3420000000001</v>
      </c>
      <c r="I24" s="474">
        <v>4311.6530000000002</v>
      </c>
      <c r="J24" s="474">
        <v>2888.8890000000001</v>
      </c>
      <c r="K24" s="474">
        <v>2430.4520000000002</v>
      </c>
      <c r="L24" s="474">
        <v>2256.9009999999998</v>
      </c>
      <c r="M24" s="474">
        <v>2093.5909999999999</v>
      </c>
      <c r="N24" s="474">
        <v>2999.6570000000002</v>
      </c>
      <c r="O24" s="474">
        <v>940.24300000000005</v>
      </c>
      <c r="P24" s="474">
        <v>5309.7510000000002</v>
      </c>
      <c r="Q24" s="474">
        <v>3475.7240000000002</v>
      </c>
      <c r="R24" s="474">
        <f t="shared" si="2"/>
        <v>44372.192999999999</v>
      </c>
      <c r="S24" s="474"/>
      <c r="T24" s="538" t="s">
        <v>100</v>
      </c>
      <c r="U24" s="539">
        <v>20.173000000000229</v>
      </c>
      <c r="V24" s="539">
        <v>0</v>
      </c>
      <c r="W24" s="539">
        <v>10.408999999999651</v>
      </c>
      <c r="X24" s="539">
        <v>18.707999999999629</v>
      </c>
      <c r="Y24" s="539">
        <v>33.740999999999985</v>
      </c>
      <c r="Z24" s="539">
        <v>34.405999999999949</v>
      </c>
      <c r="AA24" s="539">
        <v>21.868999999999687</v>
      </c>
      <c r="AB24" s="539">
        <v>14.156999999999698</v>
      </c>
      <c r="AC24" s="539">
        <v>13.134000000000015</v>
      </c>
      <c r="AD24" s="539">
        <v>3.3439999999995962</v>
      </c>
      <c r="AE24" s="539">
        <v>25.557999999999993</v>
      </c>
      <c r="AF24" s="539">
        <v>16.89200000000028</v>
      </c>
      <c r="AG24" s="539">
        <v>7.8719999999999573</v>
      </c>
      <c r="AH24" s="539">
        <v>4.0010000000002037</v>
      </c>
      <c r="AI24" s="539">
        <v>10.630000000000109</v>
      </c>
      <c r="AJ24" s="540">
        <f>SUM(U24:AI24)</f>
        <v>234.89399999999898</v>
      </c>
      <c r="AL24" s="537"/>
      <c r="AM24" s="537"/>
      <c r="AP24" s="480" t="s">
        <v>369</v>
      </c>
      <c r="AQ24" s="481" t="s">
        <v>369</v>
      </c>
      <c r="AR24" s="481" t="s">
        <v>369</v>
      </c>
      <c r="AS24" s="481" t="s">
        <v>369</v>
      </c>
      <c r="AT24" s="481" t="s">
        <v>369</v>
      </c>
      <c r="AV24" s="493">
        <v>45587</v>
      </c>
      <c r="AW24" s="493">
        <v>45642</v>
      </c>
      <c r="AX24" s="493">
        <v>45642</v>
      </c>
      <c r="AY24" s="494">
        <v>294</v>
      </c>
      <c r="AZ24" s="144">
        <f t="shared" si="12"/>
        <v>3789.2099999999996</v>
      </c>
      <c r="BA24" s="496">
        <v>2157.64</v>
      </c>
      <c r="BB24" s="496">
        <v>28.18</v>
      </c>
      <c r="BC24" s="144">
        <f t="shared" si="5"/>
        <v>7.43</v>
      </c>
      <c r="BD24" s="496">
        <v>1596.62</v>
      </c>
      <c r="BE24" s="496">
        <v>6.77</v>
      </c>
      <c r="BF24" s="536" t="s">
        <v>134</v>
      </c>
      <c r="BG24" s="1018"/>
      <c r="BH24" s="453" t="s">
        <v>312</v>
      </c>
      <c r="BI24" s="484">
        <v>5</v>
      </c>
      <c r="BJ24" s="465">
        <v>70</v>
      </c>
      <c r="BK24" s="464">
        <v>7.7270000000000003</v>
      </c>
      <c r="BL24" s="465">
        <f>ROUND(BJ24*BK24,2)</f>
        <v>540.89</v>
      </c>
      <c r="BM24" s="464">
        <v>5.718</v>
      </c>
      <c r="BN24" s="465">
        <f>BJ24*BM24</f>
        <v>400.26</v>
      </c>
      <c r="BO24" s="465">
        <f t="shared" si="17"/>
        <v>941.15</v>
      </c>
      <c r="BP24" s="467"/>
      <c r="BQ24" s="484" t="s">
        <v>312</v>
      </c>
      <c r="BR24" s="484">
        <v>5</v>
      </c>
      <c r="BS24" s="465">
        <v>70</v>
      </c>
      <c r="BT24" s="464">
        <v>7.7270000000000003</v>
      </c>
      <c r="BU24" s="465">
        <f>ROUND(BS24*BT24,2)</f>
        <v>540.89</v>
      </c>
      <c r="BV24" s="464">
        <v>5.718</v>
      </c>
      <c r="BW24" s="465">
        <f>BS24*BV24</f>
        <v>400.26</v>
      </c>
      <c r="BX24" s="465">
        <f t="shared" si="18"/>
        <v>941.15</v>
      </c>
      <c r="BY24" s="1018"/>
    </row>
    <row r="25" spans="1:85" s="429" customFormat="1" ht="15" customHeight="1" x14ac:dyDescent="0.25">
      <c r="A25" s="472">
        <v>45686</v>
      </c>
      <c r="B25" s="473" t="s">
        <v>100</v>
      </c>
      <c r="C25" s="474">
        <v>2733.0349999999999</v>
      </c>
      <c r="D25" s="474">
        <v>0</v>
      </c>
      <c r="E25" s="474">
        <v>6634.6109999999999</v>
      </c>
      <c r="F25" s="474">
        <v>4252.1679999999997</v>
      </c>
      <c r="G25" s="474">
        <v>2074.2719999999999</v>
      </c>
      <c r="H25" s="474">
        <v>2102.808</v>
      </c>
      <c r="I25" s="474">
        <v>4339.6229999999996</v>
      </c>
      <c r="J25" s="474">
        <v>2905.5889999999999</v>
      </c>
      <c r="K25" s="474">
        <v>2446.3440000000001</v>
      </c>
      <c r="L25" s="474">
        <v>2261.7179999999998</v>
      </c>
      <c r="M25" s="474">
        <v>2115.9409999999998</v>
      </c>
      <c r="N25" s="474">
        <v>3014.502</v>
      </c>
      <c r="O25" s="474">
        <v>945.55799999999999</v>
      </c>
      <c r="P25" s="474">
        <v>5314.4690000000001</v>
      </c>
      <c r="Q25" s="474">
        <v>3488.5520000000001</v>
      </c>
      <c r="R25" s="474">
        <f t="shared" si="2"/>
        <v>44629.189999999995</v>
      </c>
      <c r="S25" s="474"/>
      <c r="T25" s="541" t="s">
        <v>427</v>
      </c>
      <c r="U25" s="542">
        <v>6.8000000000000005E-2</v>
      </c>
      <c r="V25" s="542">
        <v>0</v>
      </c>
      <c r="W25" s="542">
        <v>3.5000000000000003E-2</v>
      </c>
      <c r="X25" s="542">
        <v>6.3E-2</v>
      </c>
      <c r="Y25" s="542">
        <v>0.114</v>
      </c>
      <c r="Z25" s="542">
        <v>0.11700000000000001</v>
      </c>
      <c r="AA25" s="542">
        <v>7.3999999999999996E-2</v>
      </c>
      <c r="AB25" s="542">
        <v>4.8000000000000001E-2</v>
      </c>
      <c r="AC25" s="542">
        <v>4.4999999999999998E-2</v>
      </c>
      <c r="AD25" s="542">
        <v>1.0999999999999999E-2</v>
      </c>
      <c r="AE25" s="542">
        <v>8.6999999999999994E-2</v>
      </c>
      <c r="AF25" s="542">
        <v>5.7000000000000002E-2</v>
      </c>
      <c r="AG25" s="542">
        <v>2.7E-2</v>
      </c>
      <c r="AH25" s="542">
        <v>1.4E-2</v>
      </c>
      <c r="AI25" s="542">
        <v>3.5999999999999997E-2</v>
      </c>
      <c r="AJ25" s="540">
        <f>SUM(U25:AI25)</f>
        <v>0.79600000000000015</v>
      </c>
      <c r="AL25" s="543"/>
      <c r="AM25" s="543"/>
      <c r="AP25" s="480" t="s">
        <v>369</v>
      </c>
      <c r="AQ25" s="481" t="s">
        <v>369</v>
      </c>
      <c r="AR25" s="481" t="s">
        <v>369</v>
      </c>
      <c r="AS25" s="481" t="s">
        <v>369</v>
      </c>
      <c r="AT25" s="481" t="s">
        <v>369</v>
      </c>
      <c r="AV25" s="493">
        <v>45618</v>
      </c>
      <c r="AW25" s="493">
        <v>45672</v>
      </c>
      <c r="AX25" s="493">
        <v>45672</v>
      </c>
      <c r="AY25" s="494">
        <v>274</v>
      </c>
      <c r="AZ25" s="144">
        <f t="shared" si="12"/>
        <v>3366.67</v>
      </c>
      <c r="BA25" s="496">
        <v>1921.67</v>
      </c>
      <c r="BB25" s="496">
        <v>18.54</v>
      </c>
      <c r="BC25" s="144">
        <f t="shared" si="5"/>
        <v>7.08</v>
      </c>
      <c r="BD25" s="496">
        <v>1422.01</v>
      </c>
      <c r="BE25" s="496">
        <v>4.45</v>
      </c>
      <c r="BF25" s="502"/>
      <c r="BG25" s="1018"/>
      <c r="BH25" s="453" t="s">
        <v>313</v>
      </c>
      <c r="BI25" s="484">
        <v>5</v>
      </c>
      <c r="BJ25" s="465">
        <v>70</v>
      </c>
      <c r="BK25" s="464">
        <v>10.548999999999999</v>
      </c>
      <c r="BL25" s="465">
        <f>ROUND(BJ25*BK25,2)</f>
        <v>738.43</v>
      </c>
      <c r="BM25" s="464">
        <v>7.806</v>
      </c>
      <c r="BN25" s="465">
        <f>BJ25*BM25</f>
        <v>546.41999999999996</v>
      </c>
      <c r="BO25" s="465">
        <f t="shared" si="17"/>
        <v>1284.8499999999999</v>
      </c>
      <c r="BP25" s="467"/>
      <c r="BQ25" s="484" t="s">
        <v>313</v>
      </c>
      <c r="BR25" s="484">
        <v>5</v>
      </c>
      <c r="BS25" s="465">
        <v>70</v>
      </c>
      <c r="BT25" s="464">
        <v>10.548999999999999</v>
      </c>
      <c r="BU25" s="465">
        <f>ROUND(BS25*BT25,2)</f>
        <v>738.43</v>
      </c>
      <c r="BV25" s="464">
        <v>7.806</v>
      </c>
      <c r="BW25" s="465">
        <f>BS25*BV25</f>
        <v>546.41999999999996</v>
      </c>
      <c r="BX25" s="465">
        <f t="shared" si="18"/>
        <v>1284.8499999999999</v>
      </c>
      <c r="BY25" s="1018"/>
    </row>
    <row r="26" spans="1:85" s="429" customFormat="1" ht="15" customHeight="1" x14ac:dyDescent="0.25">
      <c r="A26" s="472">
        <v>45716</v>
      </c>
      <c r="B26" s="473" t="s">
        <v>100</v>
      </c>
      <c r="C26" s="474">
        <v>2750.2220000000002</v>
      </c>
      <c r="D26" s="474">
        <v>0</v>
      </c>
      <c r="E26" s="474">
        <v>6676.777</v>
      </c>
      <c r="F26" s="474">
        <v>4274.1980000000003</v>
      </c>
      <c r="G26" s="474">
        <v>2099.1770000000001</v>
      </c>
      <c r="H26" s="474">
        <v>2124.2660000000001</v>
      </c>
      <c r="I26" s="474">
        <v>4372.04</v>
      </c>
      <c r="J26" s="474">
        <v>2922.6329999999998</v>
      </c>
      <c r="K26" s="474">
        <v>2460.491</v>
      </c>
      <c r="L26" s="474">
        <v>2265.5929999999998</v>
      </c>
      <c r="M26" s="474">
        <v>2139.2190000000001</v>
      </c>
      <c r="N26" s="474">
        <v>3027.3389999999999</v>
      </c>
      <c r="O26" s="474">
        <v>951.56600000000003</v>
      </c>
      <c r="P26" s="474">
        <v>5317.16</v>
      </c>
      <c r="Q26" s="474">
        <v>3500.9650000000001</v>
      </c>
      <c r="R26" s="474">
        <f t="shared" si="2"/>
        <v>44881.645999999993</v>
      </c>
      <c r="S26" s="474"/>
      <c r="T26" s="544" t="s">
        <v>16</v>
      </c>
      <c r="U26" s="539">
        <v>0</v>
      </c>
      <c r="V26" s="539">
        <v>1.5000000000000568E-2</v>
      </c>
      <c r="W26" s="539">
        <v>1.0299999999999727</v>
      </c>
      <c r="X26" s="539">
        <v>2.8949999999999818</v>
      </c>
      <c r="Y26" s="539">
        <v>1.339999999999975</v>
      </c>
      <c r="Z26" s="539">
        <v>1.5079999999999814</v>
      </c>
      <c r="AA26" s="539">
        <v>3.8559999999999945</v>
      </c>
      <c r="AB26" s="539">
        <v>1.2659999999999627</v>
      </c>
      <c r="AC26" s="539">
        <v>1.4209999999999923</v>
      </c>
      <c r="AD26" s="539">
        <v>0.31999999999999318</v>
      </c>
      <c r="AE26" s="539">
        <v>1.5489999999999782</v>
      </c>
      <c r="AF26" s="539">
        <v>0.42199999999991178</v>
      </c>
      <c r="AG26" s="539">
        <v>3.771000000000015</v>
      </c>
      <c r="AH26" s="539">
        <v>0</v>
      </c>
      <c r="AI26" s="539">
        <v>1.007000000000005</v>
      </c>
      <c r="AJ26" s="540">
        <f>SUM(U26:AI26)</f>
        <v>20.399999999999764</v>
      </c>
      <c r="AP26" s="480" t="s">
        <v>369</v>
      </c>
      <c r="AQ26" s="481" t="s">
        <v>369</v>
      </c>
      <c r="AR26" s="481" t="s">
        <v>369</v>
      </c>
      <c r="AS26" s="481" t="s">
        <v>369</v>
      </c>
      <c r="AT26" s="481" t="s">
        <v>369</v>
      </c>
      <c r="AV26" s="493">
        <v>45647</v>
      </c>
      <c r="AW26" s="493">
        <v>45705</v>
      </c>
      <c r="AX26" s="493">
        <v>45705</v>
      </c>
      <c r="AY26" s="494">
        <v>220</v>
      </c>
      <c r="AZ26" s="144">
        <f t="shared" si="12"/>
        <v>2446.3999999999996</v>
      </c>
      <c r="BA26" s="496">
        <v>1386.48</v>
      </c>
      <c r="BB26" s="496">
        <v>27.37</v>
      </c>
      <c r="BC26" s="144">
        <f t="shared" si="5"/>
        <v>6.43</v>
      </c>
      <c r="BD26" s="496">
        <v>1025.97</v>
      </c>
      <c r="BE26" s="496">
        <v>6.58</v>
      </c>
      <c r="BF26" s="502"/>
      <c r="BG26" s="1018"/>
      <c r="BH26" s="453" t="s">
        <v>314</v>
      </c>
      <c r="BI26" s="491" t="s">
        <v>322</v>
      </c>
      <c r="BJ26" s="465">
        <f>361-280</f>
        <v>81</v>
      </c>
      <c r="BK26" s="464">
        <v>13.417999999999999</v>
      </c>
      <c r="BL26" s="465">
        <f>ROUND(BJ26*BK26,2)</f>
        <v>1086.8599999999999</v>
      </c>
      <c r="BM26" s="464">
        <v>9.9290000000000003</v>
      </c>
      <c r="BN26" s="465">
        <f>BJ26*BM26</f>
        <v>804.24900000000002</v>
      </c>
      <c r="BO26" s="465">
        <f t="shared" si="17"/>
        <v>1891.1089999999999</v>
      </c>
      <c r="BP26" s="467"/>
      <c r="BQ26" s="491" t="s">
        <v>314</v>
      </c>
      <c r="BR26" s="491" t="s">
        <v>322</v>
      </c>
      <c r="BS26" s="465">
        <v>15</v>
      </c>
      <c r="BT26" s="464">
        <v>13.417999999999999</v>
      </c>
      <c r="BU26" s="465">
        <f>ROUND(BS26*BT26,2)</f>
        <v>201.27</v>
      </c>
      <c r="BV26" s="464">
        <v>9.9290000000000003</v>
      </c>
      <c r="BW26" s="465">
        <f>BS26*BV26</f>
        <v>148.935</v>
      </c>
      <c r="BX26" s="465">
        <f t="shared" si="18"/>
        <v>350.20500000000004</v>
      </c>
      <c r="BY26" s="1018"/>
    </row>
    <row r="27" spans="1:85" s="429" customFormat="1" ht="15" customHeight="1" x14ac:dyDescent="0.25">
      <c r="A27" s="472">
        <v>45745</v>
      </c>
      <c r="B27" s="473" t="s">
        <v>100</v>
      </c>
      <c r="C27" s="474">
        <v>2769.2550000000001</v>
      </c>
      <c r="D27" s="474">
        <v>0</v>
      </c>
      <c r="E27" s="474">
        <v>6718.4960000000001</v>
      </c>
      <c r="F27" s="474">
        <v>4292.982</v>
      </c>
      <c r="G27" s="474">
        <v>2126.9850000000001</v>
      </c>
      <c r="H27" s="474">
        <v>2142.0160000000001</v>
      </c>
      <c r="I27" s="474">
        <v>4405.9799999999996</v>
      </c>
      <c r="J27" s="474">
        <v>2937.6970000000001</v>
      </c>
      <c r="K27" s="474">
        <v>2471.1010000000001</v>
      </c>
      <c r="L27" s="474">
        <v>2269.2660000000001</v>
      </c>
      <c r="M27" s="474">
        <v>2161.2399999999998</v>
      </c>
      <c r="N27" s="474">
        <v>3039.59</v>
      </c>
      <c r="O27" s="474">
        <v>957.54200000000003</v>
      </c>
      <c r="P27" s="474">
        <v>5321.1360000000004</v>
      </c>
      <c r="Q27" s="474">
        <v>3512.6120000000001</v>
      </c>
      <c r="R27" s="474">
        <f t="shared" si="2"/>
        <v>45125.897999999994</v>
      </c>
      <c r="S27" s="474"/>
      <c r="T27" s="545" t="s">
        <v>445</v>
      </c>
      <c r="U27" s="545"/>
      <c r="V27" s="545"/>
      <c r="W27" s="545"/>
      <c r="X27" s="545"/>
      <c r="Y27" s="545"/>
      <c r="Z27" s="545"/>
      <c r="AA27" s="545"/>
      <c r="AB27" s="545"/>
      <c r="AC27" s="545"/>
      <c r="AD27" s="545"/>
      <c r="AE27" s="545"/>
      <c r="AF27" s="545"/>
      <c r="AG27" s="545"/>
      <c r="AH27" s="545"/>
      <c r="AI27" s="545"/>
      <c r="AJ27" s="545"/>
      <c r="AP27" s="480" t="s">
        <v>369</v>
      </c>
      <c r="AQ27" s="481" t="s">
        <v>369</v>
      </c>
      <c r="AR27" s="481" t="s">
        <v>369</v>
      </c>
      <c r="AS27" s="481" t="s">
        <v>369</v>
      </c>
      <c r="AT27" s="481" t="s">
        <v>369</v>
      </c>
      <c r="AV27" s="493">
        <v>45679</v>
      </c>
      <c r="AW27" s="493">
        <v>45733</v>
      </c>
      <c r="AX27" s="493">
        <v>45733</v>
      </c>
      <c r="AY27" s="494">
        <v>292</v>
      </c>
      <c r="AZ27" s="144">
        <f t="shared" si="12"/>
        <v>3908.29</v>
      </c>
      <c r="BA27" s="496">
        <v>2226.75</v>
      </c>
      <c r="BB27" s="496">
        <v>27.42</v>
      </c>
      <c r="BC27" s="144">
        <f t="shared" si="5"/>
        <v>7.72</v>
      </c>
      <c r="BD27" s="496">
        <v>1647.53</v>
      </c>
      <c r="BE27" s="496">
        <v>6.59</v>
      </c>
      <c r="BF27" s="502"/>
      <c r="BG27" s="1018"/>
      <c r="BH27" s="453" t="s">
        <v>315</v>
      </c>
      <c r="BI27" s="491"/>
      <c r="BJ27" s="465"/>
      <c r="BK27" s="464"/>
      <c r="BL27" s="465"/>
      <c r="BM27" s="464"/>
      <c r="BN27" s="465"/>
      <c r="BO27" s="465"/>
      <c r="BP27" s="467"/>
      <c r="BQ27" s="491" t="s">
        <v>315</v>
      </c>
      <c r="BR27" s="491"/>
      <c r="BS27" s="465"/>
      <c r="BT27" s="464"/>
      <c r="BU27" s="465"/>
      <c r="BV27" s="464"/>
      <c r="BW27" s="465"/>
      <c r="BX27" s="465"/>
      <c r="BY27" s="1018"/>
    </row>
    <row r="28" spans="1:85" s="429" customFormat="1" ht="15" customHeight="1" x14ac:dyDescent="0.25">
      <c r="A28" s="472">
        <v>45775</v>
      </c>
      <c r="B28" s="473" t="s">
        <v>100</v>
      </c>
      <c r="C28" s="474">
        <v>2792.9749999999999</v>
      </c>
      <c r="D28" s="474">
        <v>0</v>
      </c>
      <c r="E28" s="474">
        <v>6760.5540000000001</v>
      </c>
      <c r="F28" s="474">
        <v>4313.3149999999996</v>
      </c>
      <c r="G28" s="474">
        <v>2154.4349999999999</v>
      </c>
      <c r="H28" s="474">
        <v>2162.2170000000001</v>
      </c>
      <c r="I28" s="474">
        <v>4438.9309999999996</v>
      </c>
      <c r="J28" s="474">
        <v>2952.9250000000002</v>
      </c>
      <c r="K28" s="474">
        <v>2483.2449999999999</v>
      </c>
      <c r="L28" s="474">
        <v>2276.6849999999999</v>
      </c>
      <c r="M28" s="474">
        <v>2184.038</v>
      </c>
      <c r="N28" s="474">
        <v>3055.5479999999998</v>
      </c>
      <c r="O28" s="474">
        <v>964.43600000000004</v>
      </c>
      <c r="P28" s="474">
        <v>5327.134</v>
      </c>
      <c r="Q28" s="474">
        <v>3527.7339999999999</v>
      </c>
      <c r="R28" s="474">
        <f t="shared" si="2"/>
        <v>45394.171999999999</v>
      </c>
      <c r="S28" s="474"/>
      <c r="AP28" s="480" t="s">
        <v>369</v>
      </c>
      <c r="AQ28" s="481" t="s">
        <v>369</v>
      </c>
      <c r="AR28" s="481" t="s">
        <v>369</v>
      </c>
      <c r="AS28" s="481" t="s">
        <v>369</v>
      </c>
      <c r="AT28" s="481" t="s">
        <v>369</v>
      </c>
      <c r="AV28" s="493">
        <v>45708</v>
      </c>
      <c r="AW28" s="493">
        <v>45762</v>
      </c>
      <c r="AX28" s="493">
        <v>45762</v>
      </c>
      <c r="AY28" s="494">
        <v>266</v>
      </c>
      <c r="AZ28" s="144">
        <f t="shared" si="12"/>
        <v>3438.61</v>
      </c>
      <c r="BA28" s="496">
        <v>1960.92</v>
      </c>
      <c r="BB28" s="496">
        <v>21.73</v>
      </c>
      <c r="BC28" s="144">
        <f t="shared" si="5"/>
        <v>7.45</v>
      </c>
      <c r="BD28" s="496">
        <v>1450.74</v>
      </c>
      <c r="BE28" s="496">
        <v>5.22</v>
      </c>
      <c r="BF28" s="502"/>
      <c r="BG28" s="1018"/>
      <c r="BH28" s="453" t="s">
        <v>126</v>
      </c>
      <c r="BI28" s="491" t="s">
        <v>322</v>
      </c>
      <c r="BJ28" s="497">
        <f>SUM(BJ22:BJ27)</f>
        <v>361</v>
      </c>
      <c r="BK28" s="464"/>
      <c r="BL28" s="465">
        <f>SUM(BL21:BL27)</f>
        <v>3195.4699999999993</v>
      </c>
      <c r="BM28" s="464"/>
      <c r="BN28" s="465">
        <f>SUM(BN21:BN27)</f>
        <v>2364.2690000000002</v>
      </c>
      <c r="BO28" s="501">
        <f>SUM(BO21:BO27)</f>
        <v>5559.7389999999996</v>
      </c>
      <c r="BP28" s="467"/>
      <c r="BQ28" s="491" t="s">
        <v>126</v>
      </c>
      <c r="BR28" s="491" t="s">
        <v>322</v>
      </c>
      <c r="BS28" s="497">
        <f>SUM(BS22:BS27)</f>
        <v>295</v>
      </c>
      <c r="BT28" s="464"/>
      <c r="BU28" s="465">
        <f>SUM(BU21:BU27)</f>
        <v>2309.8799999999997</v>
      </c>
      <c r="BV28" s="464"/>
      <c r="BW28" s="465">
        <f>SUM(BW21:BW27)</f>
        <v>1708.9549999999999</v>
      </c>
      <c r="BX28" s="501">
        <f>SUM(BX21:BX27)</f>
        <v>4018.8349999999996</v>
      </c>
      <c r="BY28" s="1018"/>
    </row>
    <row r="29" spans="1:85" s="429" customFormat="1" ht="15" customHeight="1" x14ac:dyDescent="0.25">
      <c r="A29" s="488">
        <v>45805</v>
      </c>
      <c r="B29" s="511" t="s">
        <v>100</v>
      </c>
      <c r="C29" s="547">
        <v>2819.3560000000002</v>
      </c>
      <c r="D29" s="547">
        <v>0</v>
      </c>
      <c r="E29" s="547">
        <v>6808.0959999999995</v>
      </c>
      <c r="F29" s="547">
        <v>4333.9089999999997</v>
      </c>
      <c r="G29" s="547">
        <v>2181.3319999999999</v>
      </c>
      <c r="H29" s="547">
        <v>2184.799</v>
      </c>
      <c r="I29" s="547">
        <v>4479.2340000000004</v>
      </c>
      <c r="J29" s="547">
        <v>2966.6770000000001</v>
      </c>
      <c r="K29" s="547">
        <v>2497.3180000000002</v>
      </c>
      <c r="L29" s="547">
        <v>2281.1579999999999</v>
      </c>
      <c r="M29" s="547">
        <v>2201.4110000000001</v>
      </c>
      <c r="N29" s="547">
        <v>3069.0810000000001</v>
      </c>
      <c r="O29" s="547">
        <v>970.58399999999995</v>
      </c>
      <c r="P29" s="547">
        <v>5331.826</v>
      </c>
      <c r="Q29" s="547">
        <v>3541.107</v>
      </c>
      <c r="R29" s="547">
        <f t="shared" si="2"/>
        <v>45665.888000000006</v>
      </c>
      <c r="S29" s="474"/>
      <c r="AP29" s="480" t="s">
        <v>369</v>
      </c>
      <c r="AQ29" s="481" t="s">
        <v>369</v>
      </c>
      <c r="AR29" s="481" t="s">
        <v>369</v>
      </c>
      <c r="AS29" s="481" t="s">
        <v>369</v>
      </c>
      <c r="AT29" s="481" t="s">
        <v>369</v>
      </c>
      <c r="AV29" s="493">
        <v>45740</v>
      </c>
      <c r="AW29" s="493">
        <v>45792</v>
      </c>
      <c r="AX29" s="493">
        <v>45792</v>
      </c>
      <c r="AY29" s="494">
        <v>289</v>
      </c>
      <c r="AZ29" s="144">
        <f t="shared" si="12"/>
        <v>3916.52</v>
      </c>
      <c r="BA29" s="496">
        <v>2229.37</v>
      </c>
      <c r="BB29" s="496">
        <v>30.45</v>
      </c>
      <c r="BC29" s="144">
        <f t="shared" si="5"/>
        <v>7.82</v>
      </c>
      <c r="BD29" s="496">
        <v>1649.38</v>
      </c>
      <c r="BE29" s="496">
        <v>7.32</v>
      </c>
      <c r="BF29" s="502"/>
      <c r="BG29" s="1018"/>
      <c r="BH29" s="499" t="s">
        <v>128</v>
      </c>
      <c r="BI29" s="484"/>
      <c r="BJ29" s="465"/>
      <c r="BK29" s="464"/>
      <c r="BL29" s="465"/>
      <c r="BM29" s="464"/>
      <c r="BN29" s="465"/>
      <c r="BO29" s="465" t="s">
        <v>322</v>
      </c>
      <c r="BP29" s="467"/>
      <c r="BQ29" s="499" t="s">
        <v>128</v>
      </c>
      <c r="BR29" s="484"/>
      <c r="BS29" s="465"/>
      <c r="BT29" s="464"/>
      <c r="BU29" s="465"/>
      <c r="BV29" s="464"/>
      <c r="BW29" s="465"/>
      <c r="BX29" s="465" t="s">
        <v>322</v>
      </c>
      <c r="BY29" s="1018"/>
    </row>
    <row r="30" spans="1:85" s="429" customFormat="1" ht="15" customHeight="1" x14ac:dyDescent="0.25">
      <c r="A30" s="488">
        <v>45836</v>
      </c>
      <c r="B30" s="511" t="s">
        <v>100</v>
      </c>
      <c r="C30" s="547">
        <v>2845.1080000000002</v>
      </c>
      <c r="D30" s="547">
        <v>0</v>
      </c>
      <c r="E30" s="547">
        <v>6853.4870000000001</v>
      </c>
      <c r="F30" s="547">
        <v>4352.74</v>
      </c>
      <c r="G30" s="547">
        <v>2209.4870000000001</v>
      </c>
      <c r="H30" s="547">
        <v>2209.08</v>
      </c>
      <c r="I30" s="547">
        <v>4542.6570000000002</v>
      </c>
      <c r="J30" s="547">
        <v>2982.973</v>
      </c>
      <c r="K30" s="547">
        <v>2511.29</v>
      </c>
      <c r="L30" s="547">
        <v>2286.864</v>
      </c>
      <c r="M30" s="547">
        <v>2220.498</v>
      </c>
      <c r="N30" s="547">
        <v>3084.3820000000001</v>
      </c>
      <c r="O30" s="547">
        <v>976.98</v>
      </c>
      <c r="P30" s="547">
        <v>5335.1170000000002</v>
      </c>
      <c r="Q30" s="547">
        <v>3551.9209999999998</v>
      </c>
      <c r="R30" s="547">
        <f t="shared" si="2"/>
        <v>45962.584000000003</v>
      </c>
      <c r="S30" s="474"/>
      <c r="U30" s="546" t="s">
        <v>569</v>
      </c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  <c r="AM30" s="431"/>
      <c r="AN30" s="431"/>
      <c r="AP30" s="480" t="s">
        <v>369</v>
      </c>
      <c r="AQ30" s="481" t="s">
        <v>369</v>
      </c>
      <c r="AR30" s="481" t="s">
        <v>369</v>
      </c>
      <c r="AS30" s="481" t="s">
        <v>369</v>
      </c>
      <c r="AT30" s="481" t="s">
        <v>369</v>
      </c>
      <c r="AV30" s="493">
        <v>45771</v>
      </c>
      <c r="AW30" s="493">
        <v>45824</v>
      </c>
      <c r="AX30" s="493">
        <v>45824</v>
      </c>
      <c r="AY30" s="494">
        <v>244</v>
      </c>
      <c r="AZ30" s="144">
        <f t="shared" si="12"/>
        <v>3043.1800000000003</v>
      </c>
      <c r="BA30" s="496">
        <v>1728.85</v>
      </c>
      <c r="BB30" s="496">
        <v>28.49</v>
      </c>
      <c r="BC30" s="144">
        <f t="shared" si="5"/>
        <v>7.2</v>
      </c>
      <c r="BD30" s="496">
        <v>1279</v>
      </c>
      <c r="BE30" s="496">
        <v>6.84</v>
      </c>
      <c r="BF30" s="502"/>
      <c r="BG30" s="1018"/>
      <c r="BH30" s="499" t="s">
        <v>130</v>
      </c>
      <c r="BI30" s="484"/>
      <c r="BJ30" s="465"/>
      <c r="BK30" s="464"/>
      <c r="BL30" s="465"/>
      <c r="BM30" s="464"/>
      <c r="BN30" s="465"/>
      <c r="BO30" s="465" t="s">
        <v>322</v>
      </c>
      <c r="BP30" s="467"/>
      <c r="BQ30" s="499" t="s">
        <v>130</v>
      </c>
      <c r="BR30" s="484"/>
      <c r="BS30" s="465"/>
      <c r="BT30" s="464"/>
      <c r="BU30" s="465"/>
      <c r="BV30" s="464"/>
      <c r="BW30" s="465"/>
      <c r="BX30" s="465" t="s">
        <v>322</v>
      </c>
      <c r="BY30" s="1018"/>
    </row>
    <row r="31" spans="1:85" s="429" customFormat="1" ht="15" customHeight="1" x14ac:dyDescent="0.25">
      <c r="A31" s="488">
        <v>45866</v>
      </c>
      <c r="B31" s="511" t="s">
        <v>100</v>
      </c>
      <c r="C31" s="547">
        <v>2859.6579999999999</v>
      </c>
      <c r="D31" s="547">
        <v>0</v>
      </c>
      <c r="E31" s="547">
        <v>6883.8059999999996</v>
      </c>
      <c r="F31" s="547">
        <v>4371.6639999999998</v>
      </c>
      <c r="G31" s="547">
        <v>2237.09</v>
      </c>
      <c r="H31" s="547">
        <v>2236.4749999999999</v>
      </c>
      <c r="I31" s="547">
        <v>4599.0429999999997</v>
      </c>
      <c r="J31" s="547">
        <v>2998.2069999999999</v>
      </c>
      <c r="K31" s="547">
        <v>2526.018</v>
      </c>
      <c r="L31" s="547">
        <v>2290.7249999999999</v>
      </c>
      <c r="M31" s="547">
        <v>2233.4589999999998</v>
      </c>
      <c r="N31" s="547">
        <v>3100.83</v>
      </c>
      <c r="O31" s="547">
        <v>983.73199999999997</v>
      </c>
      <c r="P31" s="547">
        <v>5340.9840000000004</v>
      </c>
      <c r="Q31" s="547">
        <v>3567.9609999999998</v>
      </c>
      <c r="R31" s="547">
        <f t="shared" si="2"/>
        <v>46229.651999999995</v>
      </c>
      <c r="S31" s="474"/>
      <c r="U31" s="1009" t="s">
        <v>544</v>
      </c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431"/>
      <c r="AN31" s="431"/>
      <c r="AP31" s="480" t="s">
        <v>369</v>
      </c>
      <c r="AQ31" s="481" t="s">
        <v>369</v>
      </c>
      <c r="AR31" s="481" t="s">
        <v>369</v>
      </c>
      <c r="AS31" s="481" t="s">
        <v>369</v>
      </c>
      <c r="AT31" s="481" t="s">
        <v>369</v>
      </c>
      <c r="AV31" s="493">
        <v>45800</v>
      </c>
      <c r="AW31" s="493">
        <v>45853</v>
      </c>
      <c r="AX31" s="493">
        <v>45853</v>
      </c>
      <c r="AY31" s="494">
        <v>309</v>
      </c>
      <c r="AZ31" s="144">
        <f t="shared" si="12"/>
        <v>4380.4100000000008</v>
      </c>
      <c r="BA31" s="496">
        <v>2497.73</v>
      </c>
      <c r="BB31" s="496">
        <v>28</v>
      </c>
      <c r="BC31" s="144">
        <f t="shared" si="5"/>
        <v>8.17</v>
      </c>
      <c r="BD31" s="496">
        <v>1847.96</v>
      </c>
      <c r="BE31" s="496">
        <v>6.72</v>
      </c>
      <c r="BF31" s="536" t="s">
        <v>135</v>
      </c>
      <c r="BG31" s="1018"/>
      <c r="BH31" s="499" t="s">
        <v>99</v>
      </c>
      <c r="BI31" s="484"/>
      <c r="BJ31" s="465"/>
      <c r="BK31" s="464"/>
      <c r="BL31" s="465"/>
      <c r="BM31" s="464"/>
      <c r="BN31" s="465"/>
      <c r="BO31" s="465">
        <f>BO28</f>
        <v>5559.7389999999996</v>
      </c>
      <c r="BP31" s="467"/>
      <c r="BQ31" s="484" t="s">
        <v>99</v>
      </c>
      <c r="BR31" s="484"/>
      <c r="BS31" s="465"/>
      <c r="BT31" s="464"/>
      <c r="BU31" s="465"/>
      <c r="BV31" s="464"/>
      <c r="BW31" s="465"/>
      <c r="BX31" s="465">
        <f>BX28</f>
        <v>4018.8349999999996</v>
      </c>
      <c r="BY31" s="1018"/>
    </row>
    <row r="32" spans="1:85" s="429" customFormat="1" ht="15" customHeight="1" x14ac:dyDescent="0.25">
      <c r="A32" s="488">
        <v>45897</v>
      </c>
      <c r="B32" s="511" t="s">
        <v>100</v>
      </c>
      <c r="C32" s="547">
        <v>2881.5729999999999</v>
      </c>
      <c r="D32" s="547">
        <v>0</v>
      </c>
      <c r="E32" s="547">
        <v>6907.8419999999996</v>
      </c>
      <c r="F32" s="547">
        <v>4394.0789999999997</v>
      </c>
      <c r="G32" s="547">
        <v>2266.6869999999999</v>
      </c>
      <c r="H32" s="547">
        <v>2266.2060000000001</v>
      </c>
      <c r="I32" s="547">
        <v>4658.3249999999998</v>
      </c>
      <c r="J32" s="547">
        <v>3014.01</v>
      </c>
      <c r="K32" s="547">
        <v>2539.9499999999998</v>
      </c>
      <c r="L32" s="547">
        <v>2295.4409999999998</v>
      </c>
      <c r="M32" s="547">
        <v>2255.9380000000001</v>
      </c>
      <c r="N32" s="547">
        <v>3117.38</v>
      </c>
      <c r="O32" s="547">
        <v>991.37699999999995</v>
      </c>
      <c r="P32" s="547">
        <v>5346.02</v>
      </c>
      <c r="Q32" s="547">
        <v>3582.4670000000001</v>
      </c>
      <c r="R32" s="547">
        <f t="shared" si="2"/>
        <v>46517.294999999991</v>
      </c>
      <c r="S32" s="474"/>
      <c r="AP32" s="480" t="s">
        <v>369</v>
      </c>
      <c r="AQ32" s="481" t="s">
        <v>369</v>
      </c>
      <c r="AR32" s="481" t="s">
        <v>369</v>
      </c>
      <c r="AS32" s="481" t="s">
        <v>369</v>
      </c>
      <c r="AT32" s="481" t="s">
        <v>369</v>
      </c>
      <c r="AV32" s="493">
        <v>45832</v>
      </c>
      <c r="AW32" s="493">
        <v>45887</v>
      </c>
      <c r="AX32" s="493">
        <v>45887</v>
      </c>
      <c r="AY32" s="494">
        <v>288</v>
      </c>
      <c r="AZ32" s="144">
        <f t="shared" si="12"/>
        <v>3870.3299999999995</v>
      </c>
      <c r="BA32" s="496">
        <v>2215.9499999999998</v>
      </c>
      <c r="BB32" s="496">
        <v>12.24</v>
      </c>
      <c r="BC32" s="144">
        <f t="shared" si="5"/>
        <v>7.74</v>
      </c>
      <c r="BD32" s="496">
        <v>1639.45</v>
      </c>
      <c r="BE32" s="496">
        <v>2.69</v>
      </c>
      <c r="BF32" s="502"/>
      <c r="BG32" s="1018"/>
      <c r="BH32" s="548"/>
      <c r="BY32" s="1018"/>
    </row>
    <row r="33" spans="1:77" s="429" customFormat="1" ht="15" customHeight="1" x14ac:dyDescent="0.25">
      <c r="A33" s="488">
        <v>45928</v>
      </c>
      <c r="B33" s="511" t="s">
        <v>100</v>
      </c>
      <c r="C33" s="547">
        <v>2901.9929999999999</v>
      </c>
      <c r="D33" s="547">
        <v>0</v>
      </c>
      <c r="E33" s="547">
        <v>6935.39</v>
      </c>
      <c r="F33" s="547">
        <v>4415.2370000000001</v>
      </c>
      <c r="G33" s="547">
        <v>2299.2570000000001</v>
      </c>
      <c r="H33" s="547">
        <v>2299.6480000000001</v>
      </c>
      <c r="I33" s="547">
        <v>4680.8879999999999</v>
      </c>
      <c r="J33" s="547">
        <v>3029.9760000000001</v>
      </c>
      <c r="K33" s="547">
        <v>2555.0830000000001</v>
      </c>
      <c r="L33" s="547">
        <v>2299.5500000000002</v>
      </c>
      <c r="M33" s="547">
        <v>2277.98</v>
      </c>
      <c r="N33" s="547">
        <v>3135.3649999999998</v>
      </c>
      <c r="O33" s="547">
        <v>999.90800000000002</v>
      </c>
      <c r="P33" s="547">
        <v>5350.3310000000001</v>
      </c>
      <c r="Q33" s="547">
        <v>3593.277</v>
      </c>
      <c r="R33" s="547">
        <f t="shared" si="2"/>
        <v>46773.883000000002</v>
      </c>
      <c r="S33" s="474"/>
      <c r="AP33" s="480" t="s">
        <v>369</v>
      </c>
      <c r="AQ33" s="481" t="s">
        <v>369</v>
      </c>
      <c r="AR33" s="481" t="s">
        <v>369</v>
      </c>
      <c r="AS33" s="481" t="s">
        <v>369</v>
      </c>
      <c r="AT33" s="481" t="s">
        <v>369</v>
      </c>
      <c r="AV33" s="549">
        <v>45860</v>
      </c>
      <c r="AW33" s="493">
        <v>45915</v>
      </c>
      <c r="AX33" s="550" t="s">
        <v>356</v>
      </c>
      <c r="AY33" s="494">
        <v>20</v>
      </c>
      <c r="AZ33" s="144">
        <f t="shared" si="12"/>
        <v>650.78</v>
      </c>
      <c r="BA33" s="496">
        <v>363.2</v>
      </c>
      <c r="BB33" s="496">
        <v>15.61</v>
      </c>
      <c r="BC33" s="144">
        <f t="shared" si="5"/>
        <v>18.940000000000001</v>
      </c>
      <c r="BD33" s="496">
        <v>268.54000000000002</v>
      </c>
      <c r="BE33" s="496">
        <v>3.43</v>
      </c>
      <c r="BF33" s="536" t="s">
        <v>136</v>
      </c>
      <c r="BG33" s="1018"/>
      <c r="BH33" s="548"/>
      <c r="BY33" s="1018"/>
    </row>
    <row r="34" spans="1:77" s="429" customFormat="1" ht="15" customHeight="1" x14ac:dyDescent="0.25">
      <c r="A34" s="488">
        <v>45958</v>
      </c>
      <c r="B34" s="511" t="s">
        <v>100</v>
      </c>
      <c r="C34" s="547">
        <v>2922.1660000000002</v>
      </c>
      <c r="D34" s="547">
        <v>0</v>
      </c>
      <c r="E34" s="547">
        <v>6945.799</v>
      </c>
      <c r="F34" s="547">
        <v>4433.9449999999997</v>
      </c>
      <c r="G34" s="547">
        <v>2332.998</v>
      </c>
      <c r="H34" s="547">
        <v>2334.0540000000001</v>
      </c>
      <c r="I34" s="547">
        <v>4702.7569999999996</v>
      </c>
      <c r="J34" s="547">
        <v>3044.1329999999998</v>
      </c>
      <c r="K34" s="547">
        <v>2568.2170000000001</v>
      </c>
      <c r="L34" s="547">
        <v>2302.8939999999998</v>
      </c>
      <c r="M34" s="547">
        <v>2303.538</v>
      </c>
      <c r="N34" s="547">
        <v>3152.2570000000001</v>
      </c>
      <c r="O34" s="547">
        <v>1007.78</v>
      </c>
      <c r="P34" s="547">
        <v>5354.3320000000003</v>
      </c>
      <c r="Q34" s="547">
        <v>3603.9070000000002</v>
      </c>
      <c r="R34" s="547">
        <f t="shared" si="2"/>
        <v>47008.776999999995</v>
      </c>
      <c r="S34" s="474"/>
      <c r="AP34" s="551">
        <f>LANÇTºS!R33</f>
        <v>45901</v>
      </c>
      <c r="AQ34" s="471">
        <v>102.13</v>
      </c>
      <c r="AR34" s="552">
        <f>$X$4</f>
        <v>236.41</v>
      </c>
      <c r="AS34" s="471">
        <v>570.55999999999995</v>
      </c>
      <c r="AT34" s="552">
        <f>$X$19+$AA$19+ROUND(LANÇTºS!S37/14,2)</f>
        <v>581.8900000000001</v>
      </c>
      <c r="AV34" s="549">
        <v>45891</v>
      </c>
      <c r="AW34" s="493">
        <v>45945</v>
      </c>
      <c r="AX34" s="550" t="s">
        <v>356</v>
      </c>
      <c r="AY34" s="494">
        <f>BS27</f>
        <v>0</v>
      </c>
      <c r="AZ34" s="144">
        <f t="shared" si="12"/>
        <v>0</v>
      </c>
      <c r="BA34" s="496">
        <f>BU27</f>
        <v>0</v>
      </c>
      <c r="BB34" s="496">
        <v>0</v>
      </c>
      <c r="BC34" s="144" t="e">
        <f t="shared" si="5"/>
        <v>#DIV/0!</v>
      </c>
      <c r="BD34" s="496">
        <f>BW27</f>
        <v>0</v>
      </c>
      <c r="BE34" s="496">
        <v>0</v>
      </c>
      <c r="BF34" s="553" t="s">
        <v>261</v>
      </c>
      <c r="BG34" s="1018"/>
      <c r="BH34" s="548"/>
      <c r="BY34" s="1018"/>
    </row>
    <row r="35" spans="1:77" s="429" customFormat="1" ht="15" customHeight="1" x14ac:dyDescent="0.25">
      <c r="A35" s="488">
        <v>45988</v>
      </c>
      <c r="B35" s="511" t="s">
        <v>100</v>
      </c>
      <c r="C35" s="547">
        <v>2943.5120000000002</v>
      </c>
      <c r="D35" s="547">
        <v>0</v>
      </c>
      <c r="E35" s="547">
        <v>6968.7520000000004</v>
      </c>
      <c r="F35" s="547">
        <v>4454.1090000000004</v>
      </c>
      <c r="G35" s="547">
        <v>2367.0149999999999</v>
      </c>
      <c r="H35" s="547">
        <v>2371.5309999999999</v>
      </c>
      <c r="I35" s="547">
        <v>4725.6549999999997</v>
      </c>
      <c r="J35" s="547">
        <v>3058.5250000000001</v>
      </c>
      <c r="K35" s="547">
        <v>2582.0619999999999</v>
      </c>
      <c r="L35" s="547">
        <v>2306.1149999999998</v>
      </c>
      <c r="M35" s="547">
        <v>2320.8020000000001</v>
      </c>
      <c r="N35" s="547">
        <v>3171.152</v>
      </c>
      <c r="O35" s="547">
        <v>1015.9349999999999</v>
      </c>
      <c r="P35" s="547">
        <v>5359.1480000000001</v>
      </c>
      <c r="Q35" s="547">
        <v>3615.8719999999998</v>
      </c>
      <c r="R35" s="547">
        <f t="shared" si="2"/>
        <v>47260.185000000005</v>
      </c>
      <c r="S35" s="474"/>
      <c r="AP35" s="551" t="s">
        <v>369</v>
      </c>
      <c r="AQ35" s="471" t="s">
        <v>369</v>
      </c>
      <c r="AR35" s="471" t="s">
        <v>369</v>
      </c>
      <c r="AS35" s="471" t="s">
        <v>369</v>
      </c>
      <c r="AT35" s="471" t="s">
        <v>369</v>
      </c>
      <c r="AV35" s="493">
        <v>45860</v>
      </c>
      <c r="AW35" s="493">
        <v>45915</v>
      </c>
      <c r="AX35" s="493">
        <v>45912</v>
      </c>
      <c r="AY35" s="494">
        <v>311</v>
      </c>
      <c r="AZ35" s="144">
        <f t="shared" si="12"/>
        <v>4411.43</v>
      </c>
      <c r="BA35" s="496">
        <v>2524.5700000000002</v>
      </c>
      <c r="BB35" s="496">
        <v>15.61</v>
      </c>
      <c r="BC35" s="144">
        <f t="shared" si="5"/>
        <v>8.17</v>
      </c>
      <c r="BD35" s="496">
        <v>1867.82</v>
      </c>
      <c r="BE35" s="496">
        <v>3.43</v>
      </c>
      <c r="BF35" s="536" t="s">
        <v>258</v>
      </c>
      <c r="BG35" s="1018"/>
      <c r="BH35" s="548"/>
      <c r="BY35" s="1018"/>
    </row>
    <row r="36" spans="1:77" s="429" customFormat="1" ht="20.25" customHeight="1" x14ac:dyDescent="0.25">
      <c r="A36" s="488">
        <v>46019</v>
      </c>
      <c r="B36" s="511" t="s">
        <v>100</v>
      </c>
      <c r="C36" s="547">
        <v>2965.83</v>
      </c>
      <c r="D36" s="547">
        <v>0</v>
      </c>
      <c r="E36" s="547">
        <v>6996.308</v>
      </c>
      <c r="F36" s="547">
        <v>4477.6980000000003</v>
      </c>
      <c r="G36" s="547">
        <v>2396.634</v>
      </c>
      <c r="H36" s="547">
        <v>2406.0149999999999</v>
      </c>
      <c r="I36" s="547">
        <v>4745.6220000000003</v>
      </c>
      <c r="J36" s="547">
        <v>3074.752</v>
      </c>
      <c r="K36" s="547">
        <v>2597.3780000000002</v>
      </c>
      <c r="L36" s="547">
        <v>2312.2170000000001</v>
      </c>
      <c r="M36" s="547">
        <v>2346.0239999999999</v>
      </c>
      <c r="N36" s="547">
        <v>3190.299</v>
      </c>
      <c r="O36" s="547">
        <v>1024.2539999999999</v>
      </c>
      <c r="P36" s="547">
        <v>5365.7269999999999</v>
      </c>
      <c r="Q36" s="547">
        <v>3633.8330000000001</v>
      </c>
      <c r="R36" s="547">
        <f t="shared" si="2"/>
        <v>47532.591</v>
      </c>
      <c r="S36" s="474"/>
      <c r="AP36" s="551" t="s">
        <v>369</v>
      </c>
      <c r="AQ36" s="471" t="s">
        <v>369</v>
      </c>
      <c r="AR36" s="471" t="s">
        <v>369</v>
      </c>
      <c r="AS36" s="471" t="s">
        <v>369</v>
      </c>
      <c r="AT36" s="471" t="s">
        <v>369</v>
      </c>
      <c r="AV36" s="493">
        <v>45891</v>
      </c>
      <c r="AW36" s="493">
        <v>45945</v>
      </c>
      <c r="AX36" s="493">
        <v>45945</v>
      </c>
      <c r="AY36" s="494">
        <v>345</v>
      </c>
      <c r="AZ36" s="144">
        <f t="shared" si="12"/>
        <v>5204.8200000000006</v>
      </c>
      <c r="BA36" s="496">
        <v>2980.78</v>
      </c>
      <c r="BB36" s="496">
        <v>15.28</v>
      </c>
      <c r="BC36" s="144">
        <f t="shared" si="5"/>
        <v>8.68</v>
      </c>
      <c r="BD36" s="496">
        <v>2205.4</v>
      </c>
      <c r="BE36" s="496">
        <v>3.36</v>
      </c>
      <c r="BF36" s="536" t="s">
        <v>328</v>
      </c>
      <c r="BG36" s="1018"/>
      <c r="BH36" s="548"/>
      <c r="BY36" s="1018"/>
    </row>
    <row r="37" spans="1:77" s="429" customFormat="1" ht="20.25" customHeight="1" x14ac:dyDescent="0.25">
      <c r="A37" s="488">
        <v>46050</v>
      </c>
      <c r="B37" s="511" t="s">
        <v>100</v>
      </c>
      <c r="C37" s="547">
        <v>2983.2759999999998</v>
      </c>
      <c r="D37" s="547">
        <v>0</v>
      </c>
      <c r="E37" s="547">
        <v>7021.616</v>
      </c>
      <c r="F37" s="547">
        <v>4499.1760000000004</v>
      </c>
      <c r="G37" s="547">
        <v>2417.2750000000001</v>
      </c>
      <c r="H37" s="547">
        <v>2438.3850000000002</v>
      </c>
      <c r="I37" s="547">
        <v>4765.2439999999997</v>
      </c>
      <c r="J37" s="547">
        <v>3103.9369999999999</v>
      </c>
      <c r="K37" s="547">
        <v>2613.08</v>
      </c>
      <c r="L37" s="547">
        <v>2317.8319999999999</v>
      </c>
      <c r="M37" s="547">
        <v>2347.3649999999998</v>
      </c>
      <c r="N37" s="547">
        <v>3203.7539999999999</v>
      </c>
      <c r="O37" s="547">
        <v>1031.989</v>
      </c>
      <c r="P37" s="547">
        <v>5370.4979999999996</v>
      </c>
      <c r="Q37" s="547">
        <v>3647.9769999999999</v>
      </c>
      <c r="R37" s="547">
        <f t="shared" si="2"/>
        <v>47761.404000000002</v>
      </c>
      <c r="S37" s="474"/>
      <c r="AP37" s="551">
        <v>45931</v>
      </c>
      <c r="AQ37" s="471">
        <v>348.46</v>
      </c>
      <c r="AR37" s="552">
        <f t="shared" ref="AR37:AR41" si="20">$X$4</f>
        <v>236.41</v>
      </c>
      <c r="AS37" s="471">
        <v>478.07</v>
      </c>
      <c r="AT37" s="552">
        <f>$X$19+$AA$19+ROUND(LANÇTºS!W37/14,2)</f>
        <v>558.93000000000006</v>
      </c>
      <c r="AV37" s="493">
        <v>45923</v>
      </c>
      <c r="AW37" s="493">
        <v>45978</v>
      </c>
      <c r="AX37" s="493">
        <v>45978</v>
      </c>
      <c r="AY37" s="494">
        <v>274</v>
      </c>
      <c r="AZ37" s="283">
        <f t="shared" si="12"/>
        <v>3715.8899999999994</v>
      </c>
      <c r="BA37" s="496">
        <v>2045.31</v>
      </c>
      <c r="BB37" s="496">
        <v>1.1000000000000001</v>
      </c>
      <c r="BC37" s="144">
        <f t="shared" si="5"/>
        <v>7.47</v>
      </c>
      <c r="BD37" s="554">
        <v>1669.24</v>
      </c>
      <c r="BE37" s="496">
        <v>0.24</v>
      </c>
      <c r="BF37" s="555" t="s">
        <v>357</v>
      </c>
      <c r="BG37" s="1018"/>
      <c r="BH37" s="548"/>
      <c r="BY37" s="1018"/>
    </row>
    <row r="38" spans="1:77" s="429" customFormat="1" ht="15" customHeight="1" x14ac:dyDescent="0.25">
      <c r="A38" s="488">
        <v>46081</v>
      </c>
      <c r="B38" s="511" t="s">
        <v>100</v>
      </c>
      <c r="C38" s="547">
        <v>3004.288</v>
      </c>
      <c r="D38" s="547">
        <v>0</v>
      </c>
      <c r="E38" s="547">
        <v>7046.0720000000001</v>
      </c>
      <c r="F38" s="547">
        <v>4520.8509999999997</v>
      </c>
      <c r="G38" s="547">
        <v>2434.7139999999999</v>
      </c>
      <c r="H38" s="547">
        <v>2472.444</v>
      </c>
      <c r="I38" s="547">
        <v>4788.6710000000003</v>
      </c>
      <c r="J38" s="547">
        <v>3150.2939999999999</v>
      </c>
      <c r="K38" s="547">
        <v>2627.2429999999999</v>
      </c>
      <c r="L38" s="547">
        <v>2321.4259999999999</v>
      </c>
      <c r="M38" s="547">
        <v>2352.7260000000001</v>
      </c>
      <c r="N38" s="547">
        <v>3217.6779999999999</v>
      </c>
      <c r="O38" s="547">
        <v>1038.48</v>
      </c>
      <c r="P38" s="547">
        <v>5375.9049999999997</v>
      </c>
      <c r="Q38" s="547">
        <v>3660.88</v>
      </c>
      <c r="R38" s="547">
        <f t="shared" si="2"/>
        <v>48011.671999999999</v>
      </c>
      <c r="S38" s="474"/>
      <c r="T38" s="556" t="s">
        <v>433</v>
      </c>
      <c r="U38" s="557"/>
      <c r="V38" s="557"/>
      <c r="W38" s="557"/>
      <c r="X38" s="557"/>
      <c r="Y38" s="557"/>
      <c r="Z38" s="557"/>
      <c r="AP38" s="551">
        <v>45962</v>
      </c>
      <c r="AQ38" s="471">
        <v>351.47</v>
      </c>
      <c r="AR38" s="552">
        <f t="shared" si="20"/>
        <v>236.41</v>
      </c>
      <c r="AS38" s="471">
        <v>435.18</v>
      </c>
      <c r="AT38" s="552">
        <f>$X$19+$AA$19+ROUND(LANÇTºS!AA37/14,2)</f>
        <v>548.85</v>
      </c>
      <c r="AV38" s="493">
        <v>45954</v>
      </c>
      <c r="AW38" s="493">
        <v>46006</v>
      </c>
      <c r="AX38" s="493">
        <v>46006</v>
      </c>
      <c r="AY38" s="494">
        <v>247</v>
      </c>
      <c r="AZ38" s="144">
        <f t="shared" si="12"/>
        <v>3062.91</v>
      </c>
      <c r="BA38" s="496">
        <v>1760.49</v>
      </c>
      <c r="BB38" s="496">
        <v>0</v>
      </c>
      <c r="BC38" s="144">
        <f t="shared" si="5"/>
        <v>7.13</v>
      </c>
      <c r="BD38" s="496">
        <v>1302.42</v>
      </c>
      <c r="BE38" s="496">
        <v>0</v>
      </c>
      <c r="BF38" s="558" t="s">
        <v>357</v>
      </c>
      <c r="BG38" s="1018"/>
      <c r="BH38" s="548"/>
      <c r="BI38" s="511"/>
      <c r="BY38" s="1018"/>
    </row>
    <row r="39" spans="1:77" s="429" customFormat="1" ht="15" customHeight="1" x14ac:dyDescent="0.25">
      <c r="A39" s="488">
        <v>46109</v>
      </c>
      <c r="B39" s="511" t="s">
        <v>100</v>
      </c>
      <c r="C39" s="547">
        <v>3026.174</v>
      </c>
      <c r="D39" s="547">
        <v>0</v>
      </c>
      <c r="E39" s="547">
        <v>7062.835</v>
      </c>
      <c r="F39" s="547">
        <v>4540.6099999999997</v>
      </c>
      <c r="G39" s="547">
        <v>2454.7020000000002</v>
      </c>
      <c r="H39" s="547">
        <v>2498.0030000000002</v>
      </c>
      <c r="I39" s="547">
        <v>4812.4480000000003</v>
      </c>
      <c r="J39" s="547">
        <v>3175.7150000000001</v>
      </c>
      <c r="K39" s="547">
        <v>2640.6840000000002</v>
      </c>
      <c r="L39" s="547">
        <v>2325.4050000000002</v>
      </c>
      <c r="M39" s="547">
        <v>2353.4079999999999</v>
      </c>
      <c r="N39" s="547">
        <v>3231.136</v>
      </c>
      <c r="O39" s="547">
        <v>1045.67</v>
      </c>
      <c r="P39" s="547">
        <v>5380.4359999999997</v>
      </c>
      <c r="Q39" s="547">
        <v>3674.989</v>
      </c>
      <c r="R39" s="547">
        <f t="shared" ref="R39:R45" si="21">SUM(C39:Q39)</f>
        <v>48222.215000000004</v>
      </c>
      <c r="S39" s="474"/>
      <c r="T39" s="559" t="s">
        <v>434</v>
      </c>
      <c r="AA39" s="429" t="s">
        <v>431</v>
      </c>
      <c r="AG39" s="556" t="s">
        <v>433</v>
      </c>
      <c r="AH39" s="557"/>
      <c r="AI39" s="557"/>
      <c r="AJ39" s="557"/>
      <c r="AK39" s="557"/>
      <c r="AP39" s="551">
        <v>45992</v>
      </c>
      <c r="AQ39" s="471">
        <v>346.4</v>
      </c>
      <c r="AR39" s="552">
        <f t="shared" si="20"/>
        <v>236.41</v>
      </c>
      <c r="AS39" s="471">
        <v>490.06</v>
      </c>
      <c r="AT39" s="552">
        <f>$X$19+$AA$19+ROUND(LANÇTºS!AE37/14,2)</f>
        <v>561.78</v>
      </c>
      <c r="AV39" s="493">
        <v>45987</v>
      </c>
      <c r="AW39" s="493">
        <v>46037</v>
      </c>
      <c r="AX39" s="560">
        <v>46036</v>
      </c>
      <c r="AY39" s="494">
        <v>269</v>
      </c>
      <c r="AZ39" s="144">
        <f t="shared" si="12"/>
        <v>3466.7200000000003</v>
      </c>
      <c r="BA39" s="496">
        <v>1992.57</v>
      </c>
      <c r="BB39" s="496">
        <v>0</v>
      </c>
      <c r="BC39" s="144">
        <f t="shared" si="5"/>
        <v>7.41</v>
      </c>
      <c r="BD39" s="496">
        <v>1474.15</v>
      </c>
      <c r="BE39" s="496">
        <v>0</v>
      </c>
      <c r="BF39" s="558" t="s">
        <v>391</v>
      </c>
      <c r="BG39" s="1018"/>
      <c r="BY39" s="1018"/>
    </row>
    <row r="40" spans="1:77" s="429" customFormat="1" ht="15" customHeight="1" x14ac:dyDescent="0.25">
      <c r="A40" s="488"/>
      <c r="B40" s="877" t="s">
        <v>125</v>
      </c>
      <c r="C40" s="140">
        <f t="shared" ref="C40:Q40" si="22">C39-C38</f>
        <v>21.885999999999967</v>
      </c>
      <c r="D40" s="140">
        <f t="shared" si="22"/>
        <v>0</v>
      </c>
      <c r="E40" s="140">
        <f t="shared" si="22"/>
        <v>16.76299999999992</v>
      </c>
      <c r="F40" s="140">
        <f t="shared" si="22"/>
        <v>19.759000000000015</v>
      </c>
      <c r="G40" s="140">
        <f t="shared" si="22"/>
        <v>19.988000000000284</v>
      </c>
      <c r="H40" s="140">
        <f t="shared" si="22"/>
        <v>25.559000000000196</v>
      </c>
      <c r="I40" s="140">
        <f t="shared" si="22"/>
        <v>23.777000000000044</v>
      </c>
      <c r="J40" s="140">
        <f t="shared" si="22"/>
        <v>25.421000000000276</v>
      </c>
      <c r="K40" s="140">
        <f t="shared" si="22"/>
        <v>13.441000000000258</v>
      </c>
      <c r="L40" s="140">
        <f t="shared" si="22"/>
        <v>3.9790000000002692</v>
      </c>
      <c r="M40" s="140">
        <f t="shared" si="22"/>
        <v>0.681999999999789</v>
      </c>
      <c r="N40" s="140">
        <f t="shared" si="22"/>
        <v>13.458000000000084</v>
      </c>
      <c r="O40" s="140">
        <f t="shared" si="22"/>
        <v>7.1900000000000546</v>
      </c>
      <c r="P40" s="140">
        <f t="shared" si="22"/>
        <v>4.5309999999999491</v>
      </c>
      <c r="Q40" s="140">
        <f t="shared" si="22"/>
        <v>14.108999999999924</v>
      </c>
      <c r="R40" s="140">
        <f t="shared" si="21"/>
        <v>210.54300000000103</v>
      </c>
      <c r="S40" s="474"/>
      <c r="T40" s="559" t="s">
        <v>444</v>
      </c>
      <c r="AA40" s="429" t="s">
        <v>431</v>
      </c>
      <c r="AG40" s="559" t="s">
        <v>450</v>
      </c>
      <c r="AP40" s="551">
        <v>46023</v>
      </c>
      <c r="AQ40" s="471">
        <v>0</v>
      </c>
      <c r="AR40" s="552">
        <f t="shared" si="20"/>
        <v>236.41</v>
      </c>
      <c r="AS40" s="471">
        <v>526.57999999999993</v>
      </c>
      <c r="AT40" s="552">
        <f>$X$19+$AA$19+ROUND(LANÇTºS!AI37/14,2)</f>
        <v>542.16000000000008</v>
      </c>
      <c r="AV40" s="493">
        <v>46020</v>
      </c>
      <c r="AW40" s="493">
        <v>46071</v>
      </c>
      <c r="AX40" s="493">
        <v>46071</v>
      </c>
      <c r="AY40" s="494">
        <v>189</v>
      </c>
      <c r="AZ40" s="144">
        <f t="shared" si="12"/>
        <v>2101.4300000000003</v>
      </c>
      <c r="BA40" s="496">
        <v>1207.9100000000001</v>
      </c>
      <c r="BB40" s="496">
        <v>0</v>
      </c>
      <c r="BC40" s="144">
        <f t="shared" si="5"/>
        <v>6.39</v>
      </c>
      <c r="BD40" s="496">
        <v>893.52</v>
      </c>
      <c r="BE40" s="496">
        <v>0</v>
      </c>
      <c r="BG40" s="1019"/>
      <c r="BY40" s="1019"/>
    </row>
    <row r="41" spans="1:77" s="429" customFormat="1" ht="15" customHeight="1" x14ac:dyDescent="0.25">
      <c r="A41" s="488"/>
      <c r="B41" s="561" t="s">
        <v>257</v>
      </c>
      <c r="C41" s="547">
        <f>ROUND(C40/$AY$43,3)</f>
        <v>9.6000000000000002E-2</v>
      </c>
      <c r="D41" s="547">
        <f t="shared" ref="D41:Q41" si="23">ROUND(D40/$AY$43,3)</f>
        <v>0</v>
      </c>
      <c r="E41" s="547">
        <f t="shared" si="23"/>
        <v>7.2999999999999995E-2</v>
      </c>
      <c r="F41" s="547">
        <f t="shared" si="23"/>
        <v>8.5999999999999993E-2</v>
      </c>
      <c r="G41" s="547">
        <f t="shared" si="23"/>
        <v>8.6999999999999994E-2</v>
      </c>
      <c r="H41" s="547">
        <f t="shared" si="23"/>
        <v>0.112</v>
      </c>
      <c r="I41" s="547">
        <f t="shared" si="23"/>
        <v>0.104</v>
      </c>
      <c r="J41" s="547">
        <f t="shared" si="23"/>
        <v>0.111</v>
      </c>
      <c r="K41" s="547">
        <f t="shared" si="23"/>
        <v>5.8999999999999997E-2</v>
      </c>
      <c r="L41" s="547">
        <f t="shared" si="23"/>
        <v>1.7000000000000001E-2</v>
      </c>
      <c r="M41" s="547">
        <f t="shared" si="23"/>
        <v>3.0000000000000001E-3</v>
      </c>
      <c r="N41" s="547">
        <f t="shared" si="23"/>
        <v>5.8999999999999997E-2</v>
      </c>
      <c r="O41" s="547">
        <f t="shared" si="23"/>
        <v>3.1E-2</v>
      </c>
      <c r="P41" s="547">
        <f t="shared" si="23"/>
        <v>0.02</v>
      </c>
      <c r="Q41" s="547">
        <f t="shared" si="23"/>
        <v>6.2E-2</v>
      </c>
      <c r="R41" s="140">
        <f t="shared" si="21"/>
        <v>0.91999999999999993</v>
      </c>
      <c r="S41" s="474"/>
      <c r="T41" s="546" t="s">
        <v>568</v>
      </c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G41" s="559" t="s">
        <v>451</v>
      </c>
      <c r="AP41" s="551">
        <v>46054</v>
      </c>
      <c r="AQ41" s="471">
        <v>0</v>
      </c>
      <c r="AR41" s="552">
        <f t="shared" si="20"/>
        <v>236.41</v>
      </c>
      <c r="AS41" s="471">
        <v>463.47999999999996</v>
      </c>
      <c r="AT41" s="552">
        <f>$X$19+$AA$19+ROUND(LANÇTºS!AM37/14,2)</f>
        <v>550.80999999999995</v>
      </c>
      <c r="AV41" s="560">
        <v>46050</v>
      </c>
      <c r="AW41" s="560">
        <v>46099</v>
      </c>
      <c r="AX41" s="560">
        <v>46099</v>
      </c>
      <c r="AY41" s="562">
        <v>83</v>
      </c>
      <c r="AZ41" s="421">
        <f t="shared" ref="AZ41" si="24">BA41+BB41+BD41+BE41</f>
        <v>997.74</v>
      </c>
      <c r="BA41" s="563">
        <v>582.15</v>
      </c>
      <c r="BB41" s="563">
        <v>0</v>
      </c>
      <c r="BC41" s="421">
        <f t="shared" ref="BC41" si="25">ROUND((BA41+BB41)/AY41,2)</f>
        <v>7.01</v>
      </c>
      <c r="BD41" s="563">
        <v>415.59</v>
      </c>
      <c r="BE41" s="563">
        <v>0</v>
      </c>
    </row>
    <row r="42" spans="1:77" s="429" customFormat="1" ht="15" customHeight="1" x14ac:dyDescent="0.25">
      <c r="A42" s="488"/>
      <c r="B42" s="141" t="s">
        <v>127</v>
      </c>
      <c r="C42" s="140">
        <f t="shared" ref="C42:Q42" si="26">C38-C37</f>
        <v>21.012000000000171</v>
      </c>
      <c r="D42" s="140">
        <f t="shared" si="26"/>
        <v>0</v>
      </c>
      <c r="E42" s="140">
        <f t="shared" si="26"/>
        <v>24.456000000000131</v>
      </c>
      <c r="F42" s="140">
        <f t="shared" si="26"/>
        <v>21.674999999999272</v>
      </c>
      <c r="G42" s="140">
        <f t="shared" si="26"/>
        <v>17.438999999999851</v>
      </c>
      <c r="H42" s="140">
        <f t="shared" si="26"/>
        <v>34.058999999999742</v>
      </c>
      <c r="I42" s="140">
        <f t="shared" si="26"/>
        <v>23.427000000000589</v>
      </c>
      <c r="J42" s="140">
        <f t="shared" si="26"/>
        <v>46.356999999999971</v>
      </c>
      <c r="K42" s="140">
        <f t="shared" si="26"/>
        <v>14.163000000000011</v>
      </c>
      <c r="L42" s="140">
        <f t="shared" si="26"/>
        <v>3.5940000000000509</v>
      </c>
      <c r="M42" s="140">
        <f t="shared" si="26"/>
        <v>5.3610000000003311</v>
      </c>
      <c r="N42" s="140">
        <f t="shared" si="26"/>
        <v>13.923999999999978</v>
      </c>
      <c r="O42" s="140">
        <f t="shared" si="26"/>
        <v>6.4909999999999854</v>
      </c>
      <c r="P42" s="140">
        <f t="shared" si="26"/>
        <v>5.4070000000001528</v>
      </c>
      <c r="Q42" s="140">
        <f t="shared" si="26"/>
        <v>12.903000000000247</v>
      </c>
      <c r="R42" s="140">
        <f t="shared" si="21"/>
        <v>250.26800000000048</v>
      </c>
      <c r="S42" s="474"/>
      <c r="T42" s="1009" t="s">
        <v>545</v>
      </c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P42" s="551">
        <v>46082</v>
      </c>
      <c r="AQ42" s="471">
        <v>0</v>
      </c>
      <c r="AR42" s="552">
        <f>$X$4</f>
        <v>236.41</v>
      </c>
      <c r="AS42" s="471">
        <v>454.67</v>
      </c>
      <c r="AT42" s="552">
        <f>$X$19+$AA$19+ROUND(LANÇTºS!AQ37/14,2)</f>
        <v>545.95000000000005</v>
      </c>
      <c r="AV42" s="493">
        <v>46078</v>
      </c>
      <c r="AW42" s="493">
        <v>46127</v>
      </c>
      <c r="AX42" s="493"/>
      <c r="AY42" s="494">
        <v>76</v>
      </c>
      <c r="AZ42" s="144">
        <f>BA42+BB42+BD42+BE42</f>
        <v>1010.35</v>
      </c>
      <c r="BA42" s="496">
        <v>581.08000000000004</v>
      </c>
      <c r="BB42" s="496">
        <v>0</v>
      </c>
      <c r="BC42" s="144">
        <f>ROUND((BA42+BB42)/AY42,2)</f>
        <v>7.65</v>
      </c>
      <c r="BD42" s="496">
        <v>429.27</v>
      </c>
      <c r="BE42" s="496">
        <v>0</v>
      </c>
    </row>
    <row r="43" spans="1:77" s="429" customFormat="1" ht="15" customHeight="1" x14ac:dyDescent="0.25">
      <c r="A43" s="488"/>
      <c r="B43" s="878" t="s">
        <v>129</v>
      </c>
      <c r="C43" s="140">
        <f t="shared" ref="C43:Q43" si="27">C40-C42</f>
        <v>0.87399999999979627</v>
      </c>
      <c r="D43" s="140">
        <f t="shared" si="27"/>
        <v>0</v>
      </c>
      <c r="E43" s="140">
        <f t="shared" si="27"/>
        <v>-7.693000000000211</v>
      </c>
      <c r="F43" s="140">
        <f t="shared" si="27"/>
        <v>-1.9159999999992579</v>
      </c>
      <c r="G43" s="140">
        <f t="shared" si="27"/>
        <v>2.5490000000004329</v>
      </c>
      <c r="H43" s="140">
        <f t="shared" si="27"/>
        <v>-8.4999999999995453</v>
      </c>
      <c r="I43" s="140">
        <f t="shared" si="27"/>
        <v>0.3499999999994543</v>
      </c>
      <c r="J43" s="140">
        <f t="shared" si="27"/>
        <v>-20.935999999999694</v>
      </c>
      <c r="K43" s="140">
        <f t="shared" si="27"/>
        <v>-0.72199999999975262</v>
      </c>
      <c r="L43" s="140">
        <f t="shared" si="27"/>
        <v>0.38500000000021828</v>
      </c>
      <c r="M43" s="140">
        <f t="shared" si="27"/>
        <v>-4.6790000000005421</v>
      </c>
      <c r="N43" s="140">
        <f t="shared" si="27"/>
        <v>-0.4659999999998945</v>
      </c>
      <c r="O43" s="140">
        <f t="shared" si="27"/>
        <v>0.69900000000006912</v>
      </c>
      <c r="P43" s="140">
        <f t="shared" si="27"/>
        <v>-0.87600000000020373</v>
      </c>
      <c r="Q43" s="140">
        <f t="shared" si="27"/>
        <v>1.2059999999996762</v>
      </c>
      <c r="R43" s="140">
        <f t="shared" si="21"/>
        <v>-39.724999999999454</v>
      </c>
      <c r="S43" s="474"/>
      <c r="AP43" s="551">
        <v>46113</v>
      </c>
      <c r="AQ43" s="471">
        <v>236.41</v>
      </c>
      <c r="AR43" s="552">
        <f>$X$4</f>
        <v>236.41</v>
      </c>
      <c r="AS43" s="471">
        <v>564.68000000000006</v>
      </c>
      <c r="AT43" s="552">
        <f>$X$19+$AA$19+ROUND(LANÇTºS!AU37/14,2)</f>
        <v>564.68000000000006</v>
      </c>
      <c r="AV43" s="493">
        <v>46097</v>
      </c>
      <c r="AW43" s="493">
        <v>46157</v>
      </c>
      <c r="AX43" s="493"/>
      <c r="AY43" s="494">
        <v>229</v>
      </c>
      <c r="AZ43" s="496">
        <f>BA43+BB43+BD43+BE43</f>
        <v>2943.7</v>
      </c>
      <c r="BA43" s="496">
        <v>1692.15</v>
      </c>
      <c r="BB43" s="496">
        <v>0</v>
      </c>
      <c r="BC43" s="496">
        <f>ROUND((BA43+BB43)/AY43,2)</f>
        <v>7.39</v>
      </c>
      <c r="BD43" s="496">
        <v>1251.55</v>
      </c>
      <c r="BE43" s="496">
        <v>0</v>
      </c>
    </row>
    <row r="44" spans="1:77" s="429" customFormat="1" ht="15" customHeight="1" x14ac:dyDescent="0.25">
      <c r="A44" s="488"/>
      <c r="B44" s="879" t="s">
        <v>131</v>
      </c>
      <c r="C44" s="140">
        <f t="shared" ref="C44:L44" si="28">(C38-C37)-(C37-C36)</f>
        <v>3.5660000000002583</v>
      </c>
      <c r="D44" s="140">
        <f t="shared" si="28"/>
        <v>0</v>
      </c>
      <c r="E44" s="140">
        <f t="shared" si="28"/>
        <v>-0.85199999999986176</v>
      </c>
      <c r="F44" s="140">
        <f t="shared" si="28"/>
        <v>0.19699999999920692</v>
      </c>
      <c r="G44" s="140">
        <f t="shared" si="28"/>
        <v>-3.2020000000002256</v>
      </c>
      <c r="H44" s="140">
        <f t="shared" si="28"/>
        <v>1.6889999999993961</v>
      </c>
      <c r="I44" s="140">
        <f t="shared" si="28"/>
        <v>3.8050000000012005</v>
      </c>
      <c r="J44" s="140">
        <f t="shared" si="28"/>
        <v>17.172000000000025</v>
      </c>
      <c r="K44" s="140">
        <f t="shared" si="28"/>
        <v>-1.5389999999997599</v>
      </c>
      <c r="L44" s="140">
        <f t="shared" si="28"/>
        <v>-2.0209999999997308</v>
      </c>
      <c r="M44" s="140">
        <f>(M37-M36)-(M36-M35)</f>
        <v>-23.880999999999858</v>
      </c>
      <c r="N44" s="140">
        <f>(N38-N37)-(N37-N36)</f>
        <v>0.46900000000005093</v>
      </c>
      <c r="O44" s="140">
        <f>(O38-O37)-(O37-O36)</f>
        <v>-1.2440000000001419</v>
      </c>
      <c r="P44" s="140">
        <f>(P38-P37)-(P37-P36)</f>
        <v>0.63600000000042201</v>
      </c>
      <c r="Q44" s="140">
        <f>(Q38-Q37)-(Q37-Q36)</f>
        <v>-1.2409999999995307</v>
      </c>
      <c r="R44" s="140">
        <f t="shared" si="21"/>
        <v>-6.4459999999985484</v>
      </c>
      <c r="S44" s="474"/>
      <c r="AP44" s="551">
        <v>46143</v>
      </c>
      <c r="AQ44" s="471"/>
      <c r="AR44" s="552">
        <f>$X$4</f>
        <v>236.41</v>
      </c>
      <c r="AS44" s="471"/>
      <c r="AT44" s="552">
        <f>$X$19+$AA$19+ROUND(LANÇTºS!AQ37/14,2)</f>
        <v>545.95000000000005</v>
      </c>
      <c r="AV44" s="493"/>
      <c r="AW44" s="493"/>
      <c r="AX44" s="493"/>
      <c r="AY44" s="494"/>
      <c r="AZ44" s="496">
        <f>BA44+BB44+BD44+BE44</f>
        <v>0</v>
      </c>
      <c r="BA44" s="496"/>
      <c r="BB44" s="496"/>
      <c r="BC44" s="496" t="e">
        <f>ROUND((BA44+BB44)/AY44,2)</f>
        <v>#DIV/0!</v>
      </c>
      <c r="BD44" s="496"/>
      <c r="BE44" s="496"/>
    </row>
    <row r="45" spans="1:77" s="429" customFormat="1" ht="15" customHeight="1" x14ac:dyDescent="0.25">
      <c r="A45" s="488"/>
      <c r="B45" s="880" t="s">
        <v>133</v>
      </c>
      <c r="C45" s="140">
        <f t="shared" ref="C45:L45" si="29">(C37-C36)-(C36-C35)</f>
        <v>-4.8719999999998436</v>
      </c>
      <c r="D45" s="140">
        <f t="shared" si="29"/>
        <v>0</v>
      </c>
      <c r="E45" s="140">
        <f t="shared" si="29"/>
        <v>-2.2479999999995925</v>
      </c>
      <c r="F45" s="140">
        <f t="shared" si="29"/>
        <v>-2.1109999999998763</v>
      </c>
      <c r="G45" s="140">
        <f t="shared" si="29"/>
        <v>-8.9780000000000655</v>
      </c>
      <c r="H45" s="140">
        <f t="shared" si="29"/>
        <v>-2.113999999999578</v>
      </c>
      <c r="I45" s="140">
        <f t="shared" si="29"/>
        <v>-0.34500000000116415</v>
      </c>
      <c r="J45" s="140">
        <f t="shared" si="29"/>
        <v>12.958000000000084</v>
      </c>
      <c r="K45" s="140">
        <f t="shared" si="29"/>
        <v>0.38599999999951251</v>
      </c>
      <c r="L45" s="140">
        <f t="shared" si="29"/>
        <v>-0.48700000000053478</v>
      </c>
      <c r="M45" s="140">
        <f>M44-M43</f>
        <v>-19.201999999999316</v>
      </c>
      <c r="N45" s="140">
        <f>(N37-N36)-(N36-N35)</f>
        <v>-5.6920000000000073</v>
      </c>
      <c r="O45" s="140">
        <f>(O37-O36)-(O36-O35)</f>
        <v>-0.58399999999983265</v>
      </c>
      <c r="P45" s="140">
        <f>(P37-P36)-(P36-P35)</f>
        <v>-1.8079999999999927</v>
      </c>
      <c r="Q45" s="140">
        <f>(Q37-Q36)-(Q36-Q35)</f>
        <v>-3.817000000000462</v>
      </c>
      <c r="R45" s="140">
        <f t="shared" si="21"/>
        <v>-38.914000000000669</v>
      </c>
      <c r="S45" s="474"/>
    </row>
    <row r="46" spans="1:77" s="429" customFormat="1" ht="15" customHeight="1" x14ac:dyDescent="0.25">
      <c r="A46" s="488">
        <v>45044</v>
      </c>
      <c r="B46" s="511" t="s">
        <v>16</v>
      </c>
      <c r="C46" s="547">
        <v>247.339</v>
      </c>
      <c r="D46" s="547">
        <v>24.434999999999999</v>
      </c>
      <c r="E46" s="547">
        <v>844.35900000000004</v>
      </c>
      <c r="F46" s="547">
        <v>549.4</v>
      </c>
      <c r="G46" s="547">
        <v>324.815</v>
      </c>
      <c r="H46" s="547">
        <v>294.21899999999999</v>
      </c>
      <c r="I46" s="547">
        <v>683.40099999999995</v>
      </c>
      <c r="J46" s="547">
        <v>351.01600000000002</v>
      </c>
      <c r="K46" s="547">
        <v>257.65499999999997</v>
      </c>
      <c r="L46" s="547">
        <v>380.78</v>
      </c>
      <c r="M46" s="547">
        <v>323.32400000000001</v>
      </c>
      <c r="N46" s="547">
        <v>581.12900000000002</v>
      </c>
      <c r="O46" s="547">
        <v>349.495</v>
      </c>
      <c r="P46" s="547">
        <v>312.57100000000003</v>
      </c>
      <c r="Q46" s="547">
        <v>330.21699999999998</v>
      </c>
      <c r="R46" s="547">
        <f t="shared" ref="R46:R80" si="30">SUM(C46:Q46)</f>
        <v>5854.1549999999988</v>
      </c>
      <c r="S46" s="474"/>
    </row>
    <row r="47" spans="1:77" s="429" customFormat="1" ht="15" customHeight="1" x14ac:dyDescent="0.25">
      <c r="A47" s="488">
        <v>45074</v>
      </c>
      <c r="B47" s="511" t="s">
        <v>16</v>
      </c>
      <c r="C47" s="547">
        <v>247.339</v>
      </c>
      <c r="D47" s="547">
        <v>24.434999999999999</v>
      </c>
      <c r="E47" s="547">
        <v>848.57500000000005</v>
      </c>
      <c r="F47" s="547">
        <v>552.61</v>
      </c>
      <c r="G47" s="547">
        <v>326.08600000000001</v>
      </c>
      <c r="H47" s="547">
        <v>296.15499999999997</v>
      </c>
      <c r="I47" s="547">
        <v>687.64599999999996</v>
      </c>
      <c r="J47" s="547">
        <v>351.94200000000001</v>
      </c>
      <c r="K47" s="547">
        <v>259.13299999999998</v>
      </c>
      <c r="L47" s="547">
        <v>381.05599999999998</v>
      </c>
      <c r="M47" s="547">
        <v>326.11700000000002</v>
      </c>
      <c r="N47" s="547">
        <v>581.79999999999995</v>
      </c>
      <c r="O47" s="547">
        <v>351.036</v>
      </c>
      <c r="P47" s="547">
        <v>314.40100000000001</v>
      </c>
      <c r="Q47" s="547">
        <v>331.70100000000002</v>
      </c>
      <c r="R47" s="547">
        <f t="shared" si="30"/>
        <v>5880.0320000000002</v>
      </c>
      <c r="S47" s="474"/>
    </row>
    <row r="48" spans="1:77" s="429" customFormat="1" ht="15" customHeight="1" x14ac:dyDescent="0.25">
      <c r="A48" s="488">
        <v>45105</v>
      </c>
      <c r="B48" s="511" t="s">
        <v>16</v>
      </c>
      <c r="C48" s="547">
        <v>247.339</v>
      </c>
      <c r="D48" s="547">
        <v>24.484000000000002</v>
      </c>
      <c r="E48" s="547">
        <v>852.755</v>
      </c>
      <c r="F48" s="547">
        <v>556.73299999999995</v>
      </c>
      <c r="G48" s="547">
        <v>328.81200000000001</v>
      </c>
      <c r="H48" s="547">
        <v>299.19</v>
      </c>
      <c r="I48" s="547">
        <v>692.10500000000002</v>
      </c>
      <c r="J48" s="547">
        <v>352.98700000000002</v>
      </c>
      <c r="K48" s="547">
        <v>260.97000000000003</v>
      </c>
      <c r="L48" s="547">
        <v>381.23200000000003</v>
      </c>
      <c r="M48" s="547">
        <v>328.74400000000003</v>
      </c>
      <c r="N48" s="547">
        <v>582.73599999999999</v>
      </c>
      <c r="O48" s="547">
        <v>353.01499999999999</v>
      </c>
      <c r="P48" s="547">
        <v>316.60500000000002</v>
      </c>
      <c r="Q48" s="547">
        <v>333.73</v>
      </c>
      <c r="R48" s="547">
        <f t="shared" si="30"/>
        <v>5911.4369999999999</v>
      </c>
      <c r="S48" s="474"/>
    </row>
    <row r="49" spans="1:56" s="429" customFormat="1" ht="15" customHeight="1" x14ac:dyDescent="0.25">
      <c r="A49" s="488">
        <v>45138</v>
      </c>
      <c r="B49" s="511" t="s">
        <v>16</v>
      </c>
      <c r="C49" s="547">
        <v>247.339</v>
      </c>
      <c r="D49" s="547">
        <v>24.503</v>
      </c>
      <c r="E49" s="547">
        <v>857.90200000000004</v>
      </c>
      <c r="F49" s="547">
        <v>559.94000000000005</v>
      </c>
      <c r="G49" s="547">
        <v>331.541</v>
      </c>
      <c r="H49" s="547">
        <v>301.637</v>
      </c>
      <c r="I49" s="547">
        <v>698.41600000000005</v>
      </c>
      <c r="J49" s="547">
        <v>354.38200000000001</v>
      </c>
      <c r="K49" s="547">
        <v>262.63299999999998</v>
      </c>
      <c r="L49" s="547">
        <v>381.39</v>
      </c>
      <c r="M49" s="547">
        <v>331.435</v>
      </c>
      <c r="N49" s="547">
        <v>583.63099999999997</v>
      </c>
      <c r="O49" s="547">
        <v>353.935</v>
      </c>
      <c r="P49" s="547">
        <v>319.37599999999998</v>
      </c>
      <c r="Q49" s="547">
        <v>335.80799999999999</v>
      </c>
      <c r="R49" s="547">
        <f t="shared" si="30"/>
        <v>5943.8680000000013</v>
      </c>
      <c r="S49" s="474"/>
    </row>
    <row r="50" spans="1:56" s="429" customFormat="1" ht="15" customHeight="1" x14ac:dyDescent="0.25">
      <c r="A50" s="488">
        <v>45166</v>
      </c>
      <c r="B50" s="511" t="s">
        <v>16</v>
      </c>
      <c r="C50" s="547">
        <v>247.339</v>
      </c>
      <c r="D50" s="547">
        <v>24.867999999999999</v>
      </c>
      <c r="E50" s="547">
        <v>862.40200000000004</v>
      </c>
      <c r="F50" s="547">
        <v>563.53700000000003</v>
      </c>
      <c r="G50" s="547">
        <v>334.19400000000002</v>
      </c>
      <c r="H50" s="547">
        <v>303.75400000000002</v>
      </c>
      <c r="I50" s="547">
        <v>702.73</v>
      </c>
      <c r="J50" s="547">
        <v>355.47300000000001</v>
      </c>
      <c r="K50" s="547">
        <v>263.89100000000002</v>
      </c>
      <c r="L50" s="547">
        <v>381.505</v>
      </c>
      <c r="M50" s="547">
        <v>333.37599999999998</v>
      </c>
      <c r="N50" s="547">
        <v>584.35900000000004</v>
      </c>
      <c r="O50" s="547">
        <v>354.55399999999997</v>
      </c>
      <c r="P50" s="547">
        <v>321.59100000000001</v>
      </c>
      <c r="Q50" s="547">
        <v>338.28899999999999</v>
      </c>
      <c r="R50" s="547">
        <f t="shared" si="30"/>
        <v>5971.862000000001</v>
      </c>
      <c r="S50" s="474"/>
    </row>
    <row r="51" spans="1:56" s="429" customFormat="1" ht="15" customHeight="1" x14ac:dyDescent="0.25">
      <c r="A51" s="488">
        <v>45197</v>
      </c>
      <c r="B51" s="511" t="s">
        <v>16</v>
      </c>
      <c r="C51" s="547">
        <v>247.339</v>
      </c>
      <c r="D51" s="547">
        <v>25.024999999999999</v>
      </c>
      <c r="E51" s="547">
        <v>865.57299999999998</v>
      </c>
      <c r="F51" s="547">
        <v>566.63499999999999</v>
      </c>
      <c r="G51" s="547">
        <v>336.34899999999999</v>
      </c>
      <c r="H51" s="547">
        <v>305.93400000000003</v>
      </c>
      <c r="I51" s="547">
        <v>707.56799999999998</v>
      </c>
      <c r="J51" s="547">
        <v>356.64600000000002</v>
      </c>
      <c r="K51" s="547">
        <v>264.995</v>
      </c>
      <c r="L51" s="547">
        <v>381.59300000000002</v>
      </c>
      <c r="M51" s="547">
        <v>335.56099999999998</v>
      </c>
      <c r="N51" s="547">
        <v>585.02200000000005</v>
      </c>
      <c r="O51" s="547">
        <v>355.42599999999999</v>
      </c>
      <c r="P51" s="547">
        <v>323.70499999999998</v>
      </c>
      <c r="Q51" s="547">
        <v>340.05</v>
      </c>
      <c r="R51" s="547">
        <f t="shared" si="30"/>
        <v>5997.4210000000003</v>
      </c>
      <c r="S51" s="474"/>
    </row>
    <row r="52" spans="1:56" s="429" customFormat="1" ht="15" customHeight="1" x14ac:dyDescent="0.25">
      <c r="A52" s="488">
        <v>45227</v>
      </c>
      <c r="B52" s="511" t="s">
        <v>16</v>
      </c>
      <c r="C52" s="547">
        <v>247.339</v>
      </c>
      <c r="D52" s="547">
        <v>25.538</v>
      </c>
      <c r="E52" s="547">
        <v>868.00900000000001</v>
      </c>
      <c r="F52" s="547">
        <v>569.68100000000004</v>
      </c>
      <c r="G52" s="547">
        <v>338.197</v>
      </c>
      <c r="H52" s="547">
        <v>307.80099999999999</v>
      </c>
      <c r="I52" s="547">
        <v>711.59</v>
      </c>
      <c r="J52" s="547">
        <v>357.572</v>
      </c>
      <c r="K52" s="547">
        <v>266.108</v>
      </c>
      <c r="L52" s="547">
        <v>381.68700000000001</v>
      </c>
      <c r="M52" s="547">
        <v>338.05700000000002</v>
      </c>
      <c r="N52" s="547">
        <v>585.74800000000005</v>
      </c>
      <c r="O52" s="547">
        <v>356.36200000000002</v>
      </c>
      <c r="P52" s="547">
        <v>325.83699999999999</v>
      </c>
      <c r="Q52" s="547">
        <v>341.51</v>
      </c>
      <c r="R52" s="547">
        <f t="shared" si="30"/>
        <v>6021.0360000000019</v>
      </c>
      <c r="S52" s="474"/>
      <c r="AP52" s="556" t="s">
        <v>433</v>
      </c>
      <c r="AQ52" s="557"/>
      <c r="AR52" s="557"/>
      <c r="AS52" s="557"/>
      <c r="AT52" s="557"/>
      <c r="AU52" s="557"/>
      <c r="AV52" s="557"/>
      <c r="AW52" s="556" t="s">
        <v>433</v>
      </c>
      <c r="AX52" s="557"/>
      <c r="AY52" s="557"/>
      <c r="AZ52" s="557"/>
      <c r="BA52" s="557"/>
      <c r="BB52" s="557"/>
      <c r="BC52" s="557"/>
    </row>
    <row r="53" spans="1:56" s="429" customFormat="1" ht="15" customHeight="1" x14ac:dyDescent="0.25">
      <c r="A53" s="488">
        <v>45258</v>
      </c>
      <c r="B53" s="511" t="s">
        <v>16</v>
      </c>
      <c r="C53" s="547">
        <v>247.339</v>
      </c>
      <c r="D53" s="547">
        <v>25.831</v>
      </c>
      <c r="E53" s="547">
        <v>871.48199999999997</v>
      </c>
      <c r="F53" s="547">
        <v>572.16300000000001</v>
      </c>
      <c r="G53" s="547">
        <v>340.27</v>
      </c>
      <c r="H53" s="547">
        <v>309.423</v>
      </c>
      <c r="I53" s="547">
        <v>715.65200000000004</v>
      </c>
      <c r="J53" s="547">
        <v>358.45499999999998</v>
      </c>
      <c r="K53" s="547">
        <v>267.589</v>
      </c>
      <c r="L53" s="547">
        <v>381.88400000000001</v>
      </c>
      <c r="M53" s="547">
        <v>340.94900000000001</v>
      </c>
      <c r="N53" s="547">
        <v>586.51800000000003</v>
      </c>
      <c r="O53" s="547">
        <v>357.42899999999997</v>
      </c>
      <c r="P53" s="547">
        <v>325.96899999999999</v>
      </c>
      <c r="Q53" s="547">
        <v>343.476</v>
      </c>
      <c r="R53" s="547">
        <f t="shared" si="30"/>
        <v>6044.4289999999992</v>
      </c>
      <c r="S53" s="474"/>
      <c r="AP53" s="559" t="s">
        <v>429</v>
      </c>
      <c r="AW53" s="559" t="s">
        <v>429</v>
      </c>
      <c r="BD53" s="429" t="s">
        <v>431</v>
      </c>
    </row>
    <row r="54" spans="1:56" s="429" customFormat="1" ht="15" customHeight="1" x14ac:dyDescent="0.25">
      <c r="A54" s="488">
        <v>45288</v>
      </c>
      <c r="B54" s="511" t="s">
        <v>16</v>
      </c>
      <c r="C54" s="547">
        <v>247.339</v>
      </c>
      <c r="D54" s="547">
        <v>26.256</v>
      </c>
      <c r="E54" s="547">
        <v>876.62699999999995</v>
      </c>
      <c r="F54" s="547">
        <v>575.78899999999999</v>
      </c>
      <c r="G54" s="547">
        <v>341.93599999999998</v>
      </c>
      <c r="H54" s="547">
        <v>311.23399999999998</v>
      </c>
      <c r="I54" s="547">
        <v>719.76199999999994</v>
      </c>
      <c r="J54" s="547">
        <v>359.34699999999998</v>
      </c>
      <c r="K54" s="547">
        <v>269.173</v>
      </c>
      <c r="L54" s="547">
        <v>381.96699999999998</v>
      </c>
      <c r="M54" s="547">
        <v>343.14800000000002</v>
      </c>
      <c r="N54" s="547">
        <v>587.14499999999998</v>
      </c>
      <c r="O54" s="547">
        <v>358.25599999999997</v>
      </c>
      <c r="P54" s="547">
        <v>325.96899999999999</v>
      </c>
      <c r="Q54" s="547">
        <v>345.96699999999998</v>
      </c>
      <c r="R54" s="547">
        <f t="shared" si="30"/>
        <v>6069.915</v>
      </c>
      <c r="S54" s="474"/>
      <c r="AP54" s="559" t="s">
        <v>430</v>
      </c>
      <c r="AW54" s="559" t="s">
        <v>430</v>
      </c>
      <c r="BD54" s="429" t="s">
        <v>431</v>
      </c>
    </row>
    <row r="55" spans="1:56" s="429" customFormat="1" ht="15" customHeight="1" x14ac:dyDescent="0.25">
      <c r="A55" s="488">
        <v>45319</v>
      </c>
      <c r="B55" s="511" t="s">
        <v>16</v>
      </c>
      <c r="C55" s="547">
        <v>247.339</v>
      </c>
      <c r="D55" s="547">
        <v>26.286000000000001</v>
      </c>
      <c r="E55" s="547">
        <v>881.68600000000004</v>
      </c>
      <c r="F55" s="547">
        <v>579.125</v>
      </c>
      <c r="G55" s="547">
        <v>345.59399999999999</v>
      </c>
      <c r="H55" s="547">
        <v>313.23599999999999</v>
      </c>
      <c r="I55" s="547">
        <v>724.61099999999999</v>
      </c>
      <c r="J55" s="547">
        <v>360.29700000000003</v>
      </c>
      <c r="K55" s="547">
        <v>270.84899999999999</v>
      </c>
      <c r="L55" s="547">
        <v>382.10599999999999</v>
      </c>
      <c r="M55" s="547">
        <v>345.14499999999998</v>
      </c>
      <c r="N55" s="547">
        <v>588.26300000000003</v>
      </c>
      <c r="O55" s="547">
        <v>359.26</v>
      </c>
      <c r="P55" s="547">
        <v>325.96899999999999</v>
      </c>
      <c r="Q55" s="547">
        <v>348.16800000000001</v>
      </c>
      <c r="R55" s="547">
        <f t="shared" si="30"/>
        <v>6097.9339999999993</v>
      </c>
      <c r="S55" s="474"/>
    </row>
    <row r="56" spans="1:56" s="429" customFormat="1" ht="15" customHeight="1" x14ac:dyDescent="0.25">
      <c r="A56" s="488">
        <v>45350</v>
      </c>
      <c r="B56" s="511" t="s">
        <v>16</v>
      </c>
      <c r="C56" s="547">
        <v>247.339</v>
      </c>
      <c r="D56" s="547">
        <v>26.341999999999999</v>
      </c>
      <c r="E56" s="547">
        <v>886.31</v>
      </c>
      <c r="F56" s="547">
        <v>581.93100000000004</v>
      </c>
      <c r="G56" s="547">
        <v>348.22899999999998</v>
      </c>
      <c r="H56" s="547">
        <v>315.83300000000003</v>
      </c>
      <c r="I56" s="547">
        <v>728.95</v>
      </c>
      <c r="J56" s="547">
        <v>361.08100000000002</v>
      </c>
      <c r="K56" s="547">
        <v>272.55799999999999</v>
      </c>
      <c r="L56" s="547">
        <v>382.31900000000002</v>
      </c>
      <c r="M56" s="547">
        <v>347.76299999999998</v>
      </c>
      <c r="N56" s="547">
        <v>588.96400000000006</v>
      </c>
      <c r="O56" s="547">
        <v>360.61099999999999</v>
      </c>
      <c r="P56" s="547">
        <v>325.96899999999999</v>
      </c>
      <c r="Q56" s="547">
        <v>351.14100000000002</v>
      </c>
      <c r="R56" s="547">
        <f t="shared" si="30"/>
        <v>6125.34</v>
      </c>
      <c r="S56" s="474"/>
    </row>
    <row r="57" spans="1:56" s="429" customFormat="1" ht="15" customHeight="1" x14ac:dyDescent="0.25">
      <c r="A57" s="488">
        <v>45379</v>
      </c>
      <c r="B57" s="511" t="s">
        <v>16</v>
      </c>
      <c r="C57" s="547">
        <v>247.339</v>
      </c>
      <c r="D57" s="547">
        <v>26.437000000000001</v>
      </c>
      <c r="E57" s="547">
        <v>890.55899999999997</v>
      </c>
      <c r="F57" s="547">
        <v>584.34400000000005</v>
      </c>
      <c r="G57" s="547">
        <v>351.04700000000003</v>
      </c>
      <c r="H57" s="547">
        <v>317.62099999999998</v>
      </c>
      <c r="I57" s="547">
        <v>731.68700000000001</v>
      </c>
      <c r="J57" s="547">
        <v>361.71300000000002</v>
      </c>
      <c r="K57" s="547">
        <v>273.87</v>
      </c>
      <c r="L57" s="547">
        <v>382.82499999999999</v>
      </c>
      <c r="M57" s="547">
        <v>349.77499999999998</v>
      </c>
      <c r="N57" s="547">
        <v>589.71100000000001</v>
      </c>
      <c r="O57" s="547">
        <v>362.92099999999999</v>
      </c>
      <c r="P57" s="547">
        <v>325.96899999999999</v>
      </c>
      <c r="Q57" s="547">
        <v>353.71499999999997</v>
      </c>
      <c r="R57" s="547">
        <f t="shared" si="30"/>
        <v>6149.5330000000004</v>
      </c>
      <c r="S57" s="474"/>
    </row>
    <row r="58" spans="1:56" s="429" customFormat="1" ht="15" customHeight="1" x14ac:dyDescent="0.25">
      <c r="A58" s="488">
        <v>45411</v>
      </c>
      <c r="B58" s="511" t="s">
        <v>16</v>
      </c>
      <c r="C58" s="547">
        <v>247.339</v>
      </c>
      <c r="D58" s="547">
        <v>26.489000000000001</v>
      </c>
      <c r="E58" s="547">
        <v>895.18100000000004</v>
      </c>
      <c r="F58" s="547">
        <v>587.56299999999999</v>
      </c>
      <c r="G58" s="547">
        <v>352.87700000000001</v>
      </c>
      <c r="H58" s="547">
        <v>319.70699999999999</v>
      </c>
      <c r="I58" s="547">
        <v>734.81500000000005</v>
      </c>
      <c r="J58" s="547">
        <v>362.42099999999999</v>
      </c>
      <c r="K58" s="547">
        <v>275.61500000000001</v>
      </c>
      <c r="L58" s="547">
        <v>383.31299999999999</v>
      </c>
      <c r="M58" s="547">
        <v>352.12200000000001</v>
      </c>
      <c r="N58" s="547">
        <v>590.41999999999996</v>
      </c>
      <c r="O58" s="547">
        <v>364.95400000000001</v>
      </c>
      <c r="P58" s="547">
        <v>325.96899999999999</v>
      </c>
      <c r="Q58" s="547">
        <v>356.14699999999999</v>
      </c>
      <c r="R58" s="547">
        <f t="shared" si="30"/>
        <v>6174.9319999999998</v>
      </c>
      <c r="S58" s="474"/>
    </row>
    <row r="59" spans="1:56" s="429" customFormat="1" ht="15" customHeight="1" x14ac:dyDescent="0.25">
      <c r="A59" s="488">
        <v>45441</v>
      </c>
      <c r="B59" s="511" t="s">
        <v>16</v>
      </c>
      <c r="C59" s="547">
        <v>247.339</v>
      </c>
      <c r="D59" s="547">
        <v>26.581</v>
      </c>
      <c r="E59" s="547">
        <v>899.35199999999998</v>
      </c>
      <c r="F59" s="547">
        <v>590.11099999999999</v>
      </c>
      <c r="G59" s="547">
        <v>354.88400000000001</v>
      </c>
      <c r="H59" s="547">
        <v>321.04599999999999</v>
      </c>
      <c r="I59" s="547">
        <v>739.02</v>
      </c>
      <c r="J59" s="547">
        <v>362.60899999999998</v>
      </c>
      <c r="K59" s="547">
        <v>276.428</v>
      </c>
      <c r="L59" s="547">
        <v>383.68599999999998</v>
      </c>
      <c r="M59" s="547">
        <v>354.07400000000001</v>
      </c>
      <c r="N59" s="547">
        <v>590.99</v>
      </c>
      <c r="O59" s="547">
        <v>367.18</v>
      </c>
      <c r="P59" s="547">
        <v>325.96899999999999</v>
      </c>
      <c r="Q59" s="547">
        <v>357.91199999999998</v>
      </c>
      <c r="R59" s="547">
        <f t="shared" si="30"/>
        <v>6197.1809999999996</v>
      </c>
      <c r="S59" s="474"/>
    </row>
    <row r="60" spans="1:56" s="429" customFormat="1" x14ac:dyDescent="0.25">
      <c r="A60" s="488">
        <v>45471</v>
      </c>
      <c r="B60" s="511" t="s">
        <v>16</v>
      </c>
      <c r="C60" s="547">
        <v>247.339</v>
      </c>
      <c r="D60" s="547">
        <v>26.617000000000001</v>
      </c>
      <c r="E60" s="547">
        <v>902.72400000000005</v>
      </c>
      <c r="F60" s="547">
        <v>593.34699999999998</v>
      </c>
      <c r="G60" s="547">
        <v>356.44</v>
      </c>
      <c r="H60" s="547">
        <v>323.03399999999999</v>
      </c>
      <c r="I60" s="547">
        <v>742.84100000000001</v>
      </c>
      <c r="J60" s="547">
        <v>363.137</v>
      </c>
      <c r="K60" s="547">
        <v>277.93400000000003</v>
      </c>
      <c r="L60" s="547">
        <v>384.47500000000002</v>
      </c>
      <c r="M60" s="547">
        <v>355.99099999999999</v>
      </c>
      <c r="N60" s="547">
        <v>591.572</v>
      </c>
      <c r="O60" s="547">
        <v>368.62599999999998</v>
      </c>
      <c r="P60" s="547">
        <v>325.96899999999999</v>
      </c>
      <c r="Q60" s="547">
        <v>359.887</v>
      </c>
      <c r="R60" s="547">
        <f t="shared" si="30"/>
        <v>6219.9330000000009</v>
      </c>
      <c r="S60" s="474"/>
    </row>
    <row r="61" spans="1:56" s="429" customFormat="1" x14ac:dyDescent="0.25">
      <c r="A61" s="488">
        <v>45501</v>
      </c>
      <c r="B61" s="511" t="s">
        <v>16</v>
      </c>
      <c r="C61" s="547">
        <v>247.339</v>
      </c>
      <c r="D61" s="547">
        <v>26.648</v>
      </c>
      <c r="E61" s="547">
        <v>908.48500000000001</v>
      </c>
      <c r="F61" s="547">
        <v>596.26700000000005</v>
      </c>
      <c r="G61" s="547">
        <v>358.66899999999998</v>
      </c>
      <c r="H61" s="547">
        <v>325.18900000000002</v>
      </c>
      <c r="I61" s="547">
        <v>747.18200000000002</v>
      </c>
      <c r="J61" s="547">
        <v>364.036</v>
      </c>
      <c r="K61" s="547">
        <v>279.952</v>
      </c>
      <c r="L61" s="547">
        <v>385.19299999999998</v>
      </c>
      <c r="M61" s="547">
        <v>358.34399999999999</v>
      </c>
      <c r="N61" s="547">
        <v>592.173</v>
      </c>
      <c r="O61" s="547">
        <v>370.00299999999999</v>
      </c>
      <c r="P61" s="547">
        <v>325.96899999999999</v>
      </c>
      <c r="Q61" s="547">
        <v>361.52600000000001</v>
      </c>
      <c r="R61" s="547">
        <f t="shared" si="30"/>
        <v>6246.9749999999995</v>
      </c>
      <c r="S61" s="474"/>
    </row>
    <row r="62" spans="1:56" s="429" customFormat="1" x14ac:dyDescent="0.25">
      <c r="A62" s="488">
        <v>45532</v>
      </c>
      <c r="B62" s="511" t="s">
        <v>16</v>
      </c>
      <c r="C62" s="547">
        <v>247.339</v>
      </c>
      <c r="D62" s="547">
        <v>26.672999999999998</v>
      </c>
      <c r="E62" s="547">
        <v>914.93499999999995</v>
      </c>
      <c r="F62" s="547">
        <v>599.39499999999998</v>
      </c>
      <c r="G62" s="547">
        <v>361.06400000000002</v>
      </c>
      <c r="H62" s="547">
        <v>327.47899999999998</v>
      </c>
      <c r="I62" s="547">
        <v>752.22400000000005</v>
      </c>
      <c r="J62" s="547">
        <v>365.20299999999997</v>
      </c>
      <c r="K62" s="547">
        <v>281.80799999999999</v>
      </c>
      <c r="L62" s="547">
        <v>385.55099999999999</v>
      </c>
      <c r="M62" s="547">
        <v>361.46499999999997</v>
      </c>
      <c r="N62" s="547">
        <v>592.83500000000004</v>
      </c>
      <c r="O62" s="547">
        <v>371.71</v>
      </c>
      <c r="P62" s="547">
        <v>326.166</v>
      </c>
      <c r="Q62" s="547">
        <v>362.69499999999999</v>
      </c>
      <c r="R62" s="547">
        <f t="shared" si="30"/>
        <v>6276.5420000000004</v>
      </c>
      <c r="S62" s="474"/>
    </row>
    <row r="63" spans="1:56" s="429" customFormat="1" ht="15" customHeight="1" x14ac:dyDescent="0.25">
      <c r="A63" s="488">
        <v>45563</v>
      </c>
      <c r="B63" s="511" t="s">
        <v>16</v>
      </c>
      <c r="C63" s="547">
        <v>247.339</v>
      </c>
      <c r="D63" s="547">
        <v>26.748999999999999</v>
      </c>
      <c r="E63" s="547">
        <v>919.09699999999998</v>
      </c>
      <c r="F63" s="547">
        <v>602.202</v>
      </c>
      <c r="G63" s="547">
        <v>363.21100000000001</v>
      </c>
      <c r="H63" s="547">
        <v>329.18799999999999</v>
      </c>
      <c r="I63" s="547">
        <v>756.279</v>
      </c>
      <c r="J63" s="547">
        <v>366.286</v>
      </c>
      <c r="K63" s="547">
        <v>283.30700000000002</v>
      </c>
      <c r="L63" s="547">
        <v>385.99599999999998</v>
      </c>
      <c r="M63" s="547">
        <v>364.21300000000002</v>
      </c>
      <c r="N63" s="547">
        <v>593.43299999999999</v>
      </c>
      <c r="O63" s="547">
        <v>373.71899999999999</v>
      </c>
      <c r="P63" s="547">
        <v>326.56700000000001</v>
      </c>
      <c r="Q63" s="547">
        <v>364.13600000000002</v>
      </c>
      <c r="R63" s="547">
        <f t="shared" si="30"/>
        <v>6301.7220000000007</v>
      </c>
      <c r="S63" s="474"/>
    </row>
    <row r="64" spans="1:56" s="429" customFormat="1" ht="15" customHeight="1" x14ac:dyDescent="0.25">
      <c r="A64" s="488">
        <v>45593</v>
      </c>
      <c r="B64" s="511" t="s">
        <v>16</v>
      </c>
      <c r="C64" s="547">
        <v>247.339</v>
      </c>
      <c r="D64" s="547">
        <v>26.838000000000001</v>
      </c>
      <c r="E64" s="547">
        <v>922.07899999999995</v>
      </c>
      <c r="F64" s="547">
        <v>604.774</v>
      </c>
      <c r="G64" s="547">
        <v>365.82600000000002</v>
      </c>
      <c r="H64" s="547">
        <v>331.45</v>
      </c>
      <c r="I64" s="547">
        <v>760.14300000000003</v>
      </c>
      <c r="J64" s="547">
        <v>367.48899999999998</v>
      </c>
      <c r="K64" s="547">
        <v>284.48599999999999</v>
      </c>
      <c r="L64" s="547">
        <v>386.3</v>
      </c>
      <c r="M64" s="547">
        <v>366.923</v>
      </c>
      <c r="N64" s="547">
        <v>594.33299999999997</v>
      </c>
      <c r="O64" s="547">
        <v>374.99599999999998</v>
      </c>
      <c r="P64" s="547">
        <v>326.577</v>
      </c>
      <c r="Q64" s="547">
        <v>365.38200000000001</v>
      </c>
      <c r="R64" s="547">
        <f t="shared" si="30"/>
        <v>6324.9349999999986</v>
      </c>
      <c r="S64" s="474"/>
    </row>
    <row r="65" spans="1:50" s="429" customFormat="1" ht="56.25" customHeight="1" x14ac:dyDescent="0.25">
      <c r="A65" s="488">
        <v>45624</v>
      </c>
      <c r="B65" s="511" t="s">
        <v>16</v>
      </c>
      <c r="C65" s="547">
        <v>247.339</v>
      </c>
      <c r="D65" s="547">
        <v>26.88</v>
      </c>
      <c r="E65" s="547">
        <v>924.48199999999997</v>
      </c>
      <c r="F65" s="547">
        <v>608.00300000000004</v>
      </c>
      <c r="G65" s="547">
        <v>368.221</v>
      </c>
      <c r="H65" s="547">
        <v>333.41500000000002</v>
      </c>
      <c r="I65" s="547">
        <v>764.38400000000001</v>
      </c>
      <c r="J65" s="547">
        <v>368.48599999999999</v>
      </c>
      <c r="K65" s="547">
        <v>285.899</v>
      </c>
      <c r="L65" s="547">
        <v>387.10399999999998</v>
      </c>
      <c r="M65" s="547">
        <v>369.18099999999998</v>
      </c>
      <c r="N65" s="547">
        <v>595.22699999999998</v>
      </c>
      <c r="O65" s="547">
        <v>376.69600000000003</v>
      </c>
      <c r="P65" s="547">
        <v>326.577</v>
      </c>
      <c r="Q65" s="547">
        <v>367.22500000000002</v>
      </c>
      <c r="R65" s="547">
        <f t="shared" si="30"/>
        <v>6349.1189999999997</v>
      </c>
      <c r="S65" s="474"/>
    </row>
    <row r="66" spans="1:50" s="429" customFormat="1" x14ac:dyDescent="0.25">
      <c r="A66" s="488">
        <v>45654</v>
      </c>
      <c r="B66" s="511" t="s">
        <v>16</v>
      </c>
      <c r="C66" s="547">
        <v>247.339</v>
      </c>
      <c r="D66" s="547">
        <v>26.939</v>
      </c>
      <c r="E66" s="547">
        <v>929.30399999999997</v>
      </c>
      <c r="F66" s="547">
        <v>610.82399999999996</v>
      </c>
      <c r="G66" s="547">
        <v>370.91500000000002</v>
      </c>
      <c r="H66" s="547">
        <v>335.18299999999999</v>
      </c>
      <c r="I66" s="547">
        <v>768.31399999999996</v>
      </c>
      <c r="J66" s="547">
        <v>369.255</v>
      </c>
      <c r="K66" s="547">
        <v>287.37400000000002</v>
      </c>
      <c r="L66" s="547">
        <v>387.96</v>
      </c>
      <c r="M66" s="547">
        <v>370.99900000000002</v>
      </c>
      <c r="N66" s="547">
        <v>595.65300000000002</v>
      </c>
      <c r="O66" s="547">
        <v>378.18099999999998</v>
      </c>
      <c r="P66" s="547">
        <v>326.577</v>
      </c>
      <c r="Q66" s="547">
        <v>368.69400000000002</v>
      </c>
      <c r="R66" s="547">
        <f t="shared" si="30"/>
        <v>6373.5110000000004</v>
      </c>
      <c r="S66" s="474"/>
    </row>
    <row r="67" spans="1:50" s="429" customFormat="1" ht="15" customHeight="1" x14ac:dyDescent="0.25">
      <c r="A67" s="488">
        <v>45686</v>
      </c>
      <c r="B67" s="511" t="s">
        <v>16</v>
      </c>
      <c r="C67" s="547">
        <v>247.339</v>
      </c>
      <c r="D67" s="547">
        <v>26.984000000000002</v>
      </c>
      <c r="E67" s="547">
        <v>933.63499999999999</v>
      </c>
      <c r="F67" s="547">
        <v>612.904</v>
      </c>
      <c r="G67" s="547">
        <v>374.50299999999999</v>
      </c>
      <c r="H67" s="547">
        <v>337.358</v>
      </c>
      <c r="I67" s="547">
        <v>773.03599999999994</v>
      </c>
      <c r="J67" s="547">
        <v>370.13900000000001</v>
      </c>
      <c r="K67" s="547">
        <v>289.25099999999998</v>
      </c>
      <c r="L67" s="547">
        <v>388.58800000000002</v>
      </c>
      <c r="M67" s="547">
        <v>374.41399999999999</v>
      </c>
      <c r="N67" s="547">
        <v>596.75599999999997</v>
      </c>
      <c r="O67" s="547">
        <v>380.65</v>
      </c>
      <c r="P67" s="547">
        <v>326.68599999999998</v>
      </c>
      <c r="Q67" s="547">
        <v>370.45</v>
      </c>
      <c r="R67" s="547">
        <f t="shared" si="30"/>
        <v>6402.6929999999993</v>
      </c>
      <c r="S67" s="474"/>
    </row>
    <row r="68" spans="1:50" s="429" customFormat="1" ht="15" customHeight="1" x14ac:dyDescent="0.25">
      <c r="A68" s="488">
        <v>45716</v>
      </c>
      <c r="B68" s="511" t="s">
        <v>16</v>
      </c>
      <c r="C68" s="547">
        <v>247.339</v>
      </c>
      <c r="D68" s="547">
        <v>27.004999999999999</v>
      </c>
      <c r="E68" s="547">
        <v>938.22400000000005</v>
      </c>
      <c r="F68" s="547">
        <v>615.93899999999996</v>
      </c>
      <c r="G68" s="547">
        <v>376.62799999999999</v>
      </c>
      <c r="H68" s="547">
        <v>338.827</v>
      </c>
      <c r="I68" s="547">
        <v>777.91700000000003</v>
      </c>
      <c r="J68" s="547">
        <v>371.96300000000002</v>
      </c>
      <c r="K68" s="547">
        <v>290.86200000000002</v>
      </c>
      <c r="L68" s="547">
        <v>389.00700000000001</v>
      </c>
      <c r="M68" s="547">
        <v>377.00700000000001</v>
      </c>
      <c r="N68" s="547">
        <v>597.32899999999995</v>
      </c>
      <c r="O68" s="547">
        <v>384.077</v>
      </c>
      <c r="P68" s="547">
        <v>326.68599999999998</v>
      </c>
      <c r="Q68" s="547">
        <v>372.70299999999997</v>
      </c>
      <c r="R68" s="547">
        <f t="shared" si="30"/>
        <v>6431.512999999999</v>
      </c>
      <c r="S68" s="474"/>
    </row>
    <row r="69" spans="1:50" s="429" customFormat="1" ht="45" customHeight="1" x14ac:dyDescent="0.25">
      <c r="A69" s="488">
        <v>45745</v>
      </c>
      <c r="B69" s="511" t="s">
        <v>16</v>
      </c>
      <c r="C69" s="547">
        <v>247.339</v>
      </c>
      <c r="D69" s="547">
        <v>27.042000000000002</v>
      </c>
      <c r="E69" s="547">
        <v>942.63300000000004</v>
      </c>
      <c r="F69" s="547">
        <v>618.673</v>
      </c>
      <c r="G69" s="547">
        <v>379.10199999999998</v>
      </c>
      <c r="H69" s="547">
        <v>340.54700000000003</v>
      </c>
      <c r="I69" s="547">
        <v>782.62800000000004</v>
      </c>
      <c r="J69" s="547">
        <v>372.88400000000001</v>
      </c>
      <c r="K69" s="547">
        <v>291.661</v>
      </c>
      <c r="L69" s="547">
        <v>389.15800000000002</v>
      </c>
      <c r="M69" s="547">
        <v>379.04</v>
      </c>
      <c r="N69" s="547">
        <v>597.83199999999999</v>
      </c>
      <c r="O69" s="547">
        <v>387.221</v>
      </c>
      <c r="P69" s="547">
        <v>326.68599999999998</v>
      </c>
      <c r="Q69" s="547">
        <v>374.387</v>
      </c>
      <c r="R69" s="547">
        <f t="shared" si="30"/>
        <v>6456.8329999999996</v>
      </c>
      <c r="S69" s="474"/>
    </row>
    <row r="70" spans="1:50" s="429" customFormat="1" ht="15" customHeight="1" x14ac:dyDescent="0.25">
      <c r="A70" s="488">
        <v>45775</v>
      </c>
      <c r="B70" s="511" t="s">
        <v>16</v>
      </c>
      <c r="C70" s="547">
        <v>247.339</v>
      </c>
      <c r="D70" s="547">
        <v>27.106000000000002</v>
      </c>
      <c r="E70" s="547">
        <v>946.69100000000003</v>
      </c>
      <c r="F70" s="547">
        <v>622.745</v>
      </c>
      <c r="G70" s="547">
        <v>381.971</v>
      </c>
      <c r="H70" s="547">
        <v>342.113</v>
      </c>
      <c r="I70" s="547">
        <v>787.27300000000002</v>
      </c>
      <c r="J70" s="547">
        <v>374.01100000000002</v>
      </c>
      <c r="K70" s="547">
        <v>292.86399999999998</v>
      </c>
      <c r="L70" s="547">
        <v>389.38</v>
      </c>
      <c r="M70" s="547">
        <v>380.98899999999998</v>
      </c>
      <c r="N70" s="547">
        <v>598.69100000000003</v>
      </c>
      <c r="O70" s="547">
        <v>390.55900000000003</v>
      </c>
      <c r="P70" s="547">
        <v>326.68900000000002</v>
      </c>
      <c r="Q70" s="547">
        <v>376.10199999999998</v>
      </c>
      <c r="R70" s="547">
        <f t="shared" si="30"/>
        <v>6484.5229999999992</v>
      </c>
      <c r="S70" s="474"/>
    </row>
    <row r="71" spans="1:50" s="429" customFormat="1" ht="15" customHeight="1" x14ac:dyDescent="0.25">
      <c r="A71" s="488">
        <v>45805</v>
      </c>
      <c r="B71" s="511" t="s">
        <v>16</v>
      </c>
      <c r="C71" s="547">
        <v>247.339</v>
      </c>
      <c r="D71" s="547">
        <v>27.126000000000001</v>
      </c>
      <c r="E71" s="547">
        <v>950.48500000000001</v>
      </c>
      <c r="F71" s="547">
        <v>625.73500000000001</v>
      </c>
      <c r="G71" s="547">
        <v>384.048</v>
      </c>
      <c r="H71" s="547">
        <v>343.541</v>
      </c>
      <c r="I71" s="547">
        <v>791.97799999999995</v>
      </c>
      <c r="J71" s="547">
        <v>374.947</v>
      </c>
      <c r="K71" s="547">
        <v>294.27800000000002</v>
      </c>
      <c r="L71" s="547">
        <v>389.96499999999997</v>
      </c>
      <c r="M71" s="547">
        <v>382.447</v>
      </c>
      <c r="N71" s="547">
        <v>599.26700000000005</v>
      </c>
      <c r="O71" s="547">
        <v>394.14299999999997</v>
      </c>
      <c r="P71" s="547">
        <v>326.68900000000002</v>
      </c>
      <c r="Q71" s="547">
        <v>377.92200000000003</v>
      </c>
      <c r="R71" s="547">
        <f t="shared" si="30"/>
        <v>6509.9100000000017</v>
      </c>
      <c r="S71" s="474"/>
    </row>
    <row r="72" spans="1:50" s="429" customFormat="1" ht="15" customHeight="1" x14ac:dyDescent="0.25">
      <c r="A72" s="488">
        <v>45836</v>
      </c>
      <c r="B72" s="511" t="s">
        <v>16</v>
      </c>
      <c r="C72" s="547">
        <v>247.339</v>
      </c>
      <c r="D72" s="547">
        <v>27.172999999999998</v>
      </c>
      <c r="E72" s="547">
        <v>954.81899999999996</v>
      </c>
      <c r="F72" s="547">
        <v>628.28399999999999</v>
      </c>
      <c r="G72" s="547">
        <v>386.125</v>
      </c>
      <c r="H72" s="547">
        <v>345.20800000000003</v>
      </c>
      <c r="I72" s="547">
        <v>797.56399999999996</v>
      </c>
      <c r="J72" s="547">
        <v>376.02199999999999</v>
      </c>
      <c r="K72" s="547">
        <v>295.60500000000002</v>
      </c>
      <c r="L72" s="547">
        <v>390.67700000000002</v>
      </c>
      <c r="M72" s="547">
        <v>384.33100000000002</v>
      </c>
      <c r="N72" s="547">
        <v>600.02499999999998</v>
      </c>
      <c r="O72" s="547">
        <v>397.786</v>
      </c>
      <c r="P72" s="547">
        <v>326.68900000000002</v>
      </c>
      <c r="Q72" s="547">
        <v>379.43799999999999</v>
      </c>
      <c r="R72" s="547">
        <f t="shared" si="30"/>
        <v>6537.085</v>
      </c>
      <c r="S72" s="474"/>
    </row>
    <row r="73" spans="1:50" s="429" customFormat="1" ht="15" customHeight="1" x14ac:dyDescent="0.25">
      <c r="A73" s="488">
        <v>45866</v>
      </c>
      <c r="B73" s="511" t="s">
        <v>16</v>
      </c>
      <c r="C73" s="547">
        <v>247.339</v>
      </c>
      <c r="D73" s="547">
        <v>27.199000000000002</v>
      </c>
      <c r="E73" s="547">
        <v>959.72</v>
      </c>
      <c r="F73" s="547">
        <v>631.62099999999998</v>
      </c>
      <c r="G73" s="547">
        <v>387.88900000000001</v>
      </c>
      <c r="H73" s="547">
        <v>347.00599999999997</v>
      </c>
      <c r="I73" s="547">
        <v>802.03899999999999</v>
      </c>
      <c r="J73" s="547">
        <v>377.16500000000002</v>
      </c>
      <c r="K73" s="547">
        <v>296.95100000000002</v>
      </c>
      <c r="L73" s="547">
        <v>391.08</v>
      </c>
      <c r="M73" s="547">
        <v>385.66699999999997</v>
      </c>
      <c r="N73" s="547">
        <v>601.55399999999997</v>
      </c>
      <c r="O73" s="547">
        <v>401.91500000000002</v>
      </c>
      <c r="P73" s="547">
        <v>326.7</v>
      </c>
      <c r="Q73" s="547">
        <v>381.52800000000002</v>
      </c>
      <c r="R73" s="547">
        <f t="shared" si="30"/>
        <v>6565.3730000000005</v>
      </c>
      <c r="S73" s="474"/>
    </row>
    <row r="74" spans="1:50" s="429" customFormat="1" ht="15" customHeight="1" x14ac:dyDescent="0.25">
      <c r="A74" s="488">
        <v>45897</v>
      </c>
      <c r="B74" s="511" t="s">
        <v>16</v>
      </c>
      <c r="C74" s="547">
        <v>247.339</v>
      </c>
      <c r="D74" s="547">
        <v>27.209</v>
      </c>
      <c r="E74" s="547">
        <v>964.69100000000003</v>
      </c>
      <c r="F74" s="547">
        <v>634.88199999999995</v>
      </c>
      <c r="G74" s="547">
        <v>389.49</v>
      </c>
      <c r="H74" s="547">
        <v>348.58499999999998</v>
      </c>
      <c r="I74" s="547">
        <v>807.303</v>
      </c>
      <c r="J74" s="547">
        <v>378.20299999999997</v>
      </c>
      <c r="K74" s="547">
        <v>298.37200000000001</v>
      </c>
      <c r="L74" s="547">
        <v>392.00700000000001</v>
      </c>
      <c r="M74" s="547">
        <v>387.84699999999998</v>
      </c>
      <c r="N74" s="547">
        <v>602.55200000000002</v>
      </c>
      <c r="O74" s="547">
        <v>406.94400000000002</v>
      </c>
      <c r="P74" s="547">
        <v>326.71199999999999</v>
      </c>
      <c r="Q74" s="547">
        <v>383.27</v>
      </c>
      <c r="R74" s="547">
        <f t="shared" si="30"/>
        <v>6595.405999999999</v>
      </c>
      <c r="S74" s="474"/>
    </row>
    <row r="75" spans="1:50" s="429" customFormat="1" ht="15" customHeight="1" x14ac:dyDescent="0.25">
      <c r="A75" s="488">
        <v>45928</v>
      </c>
      <c r="B75" s="511" t="s">
        <v>16</v>
      </c>
      <c r="C75" s="547">
        <v>247.339</v>
      </c>
      <c r="D75" s="547">
        <v>27.332000000000001</v>
      </c>
      <c r="E75" s="547">
        <v>968.78399999999999</v>
      </c>
      <c r="F75" s="547">
        <v>638.36</v>
      </c>
      <c r="G75" s="547">
        <v>391.35500000000002</v>
      </c>
      <c r="H75" s="547">
        <v>350.16500000000002</v>
      </c>
      <c r="I75" s="547">
        <v>811.54600000000005</v>
      </c>
      <c r="J75" s="547">
        <v>379.32600000000002</v>
      </c>
      <c r="K75" s="547">
        <v>300.01499999999999</v>
      </c>
      <c r="L75" s="547">
        <v>392.60500000000002</v>
      </c>
      <c r="M75" s="547">
        <v>389.875</v>
      </c>
      <c r="N75" s="547">
        <v>603.27700000000004</v>
      </c>
      <c r="O75" s="547">
        <v>411.77</v>
      </c>
      <c r="P75" s="547">
        <v>326.71199999999999</v>
      </c>
      <c r="Q75" s="547">
        <v>384.62099999999998</v>
      </c>
      <c r="R75" s="547">
        <f t="shared" si="30"/>
        <v>6623.0820000000012</v>
      </c>
      <c r="S75" s="474"/>
    </row>
    <row r="76" spans="1:50" s="429" customFormat="1" ht="15" customHeight="1" x14ac:dyDescent="0.2">
      <c r="A76" s="488">
        <v>45958</v>
      </c>
      <c r="B76" s="511" t="s">
        <v>16</v>
      </c>
      <c r="C76" s="547">
        <v>247.339</v>
      </c>
      <c r="D76" s="547">
        <v>27.347000000000001</v>
      </c>
      <c r="E76" s="547">
        <v>969.81399999999996</v>
      </c>
      <c r="F76" s="547">
        <v>641.255</v>
      </c>
      <c r="G76" s="547">
        <v>392.69499999999999</v>
      </c>
      <c r="H76" s="547">
        <v>351.673</v>
      </c>
      <c r="I76" s="547">
        <v>815.40200000000004</v>
      </c>
      <c r="J76" s="547">
        <v>380.59199999999998</v>
      </c>
      <c r="K76" s="547">
        <v>301.43599999999998</v>
      </c>
      <c r="L76" s="547">
        <v>392.92500000000001</v>
      </c>
      <c r="M76" s="547">
        <v>391.42399999999998</v>
      </c>
      <c r="N76" s="547">
        <v>603.69899999999996</v>
      </c>
      <c r="O76" s="547">
        <v>415.541</v>
      </c>
      <c r="P76" s="547">
        <v>326.71199999999999</v>
      </c>
      <c r="Q76" s="547">
        <v>385.62799999999999</v>
      </c>
      <c r="R76" s="547">
        <f t="shared" si="30"/>
        <v>6643.4820000000009</v>
      </c>
      <c r="S76" s="565"/>
      <c r="AX76" s="424"/>
    </row>
    <row r="77" spans="1:50" s="429" customFormat="1" ht="15" customHeight="1" x14ac:dyDescent="0.25">
      <c r="A77" s="488">
        <v>45988</v>
      </c>
      <c r="B77" s="511" t="s">
        <v>16</v>
      </c>
      <c r="C77" s="547">
        <v>247.339</v>
      </c>
      <c r="D77" s="547">
        <v>27.349</v>
      </c>
      <c r="E77" s="547">
        <v>973.18399999999997</v>
      </c>
      <c r="F77" s="547">
        <v>644.173</v>
      </c>
      <c r="G77" s="547">
        <v>394.27600000000001</v>
      </c>
      <c r="H77" s="547">
        <v>353.62400000000002</v>
      </c>
      <c r="I77" s="547">
        <v>819.404</v>
      </c>
      <c r="J77" s="547">
        <v>381.55500000000001</v>
      </c>
      <c r="K77" s="547">
        <v>302.83999999999997</v>
      </c>
      <c r="L77" s="547">
        <v>393.33800000000002</v>
      </c>
      <c r="M77" s="547">
        <v>392.483</v>
      </c>
      <c r="N77" s="547">
        <v>604.35699999999997</v>
      </c>
      <c r="O77" s="547">
        <v>419.54</v>
      </c>
      <c r="P77" s="547">
        <v>326.71199999999999</v>
      </c>
      <c r="Q77" s="547">
        <v>387.04700000000003</v>
      </c>
      <c r="R77" s="547">
        <f t="shared" si="30"/>
        <v>6667.2209999999995</v>
      </c>
      <c r="S77" s="474"/>
    </row>
    <row r="78" spans="1:50" s="429" customFormat="1" ht="15" customHeight="1" x14ac:dyDescent="0.25">
      <c r="A78" s="488">
        <v>46019</v>
      </c>
      <c r="B78" s="511" t="s">
        <v>16</v>
      </c>
      <c r="C78" s="547">
        <v>247.339</v>
      </c>
      <c r="D78" s="547">
        <v>27.361000000000001</v>
      </c>
      <c r="E78" s="547">
        <v>977.43600000000004</v>
      </c>
      <c r="F78" s="547">
        <v>647.48599999999999</v>
      </c>
      <c r="G78" s="547">
        <v>395.97199999999998</v>
      </c>
      <c r="H78" s="547">
        <v>355.09899999999999</v>
      </c>
      <c r="I78" s="547">
        <v>823.07100000000003</v>
      </c>
      <c r="J78" s="547">
        <v>382.65600000000001</v>
      </c>
      <c r="K78" s="547">
        <v>304.101</v>
      </c>
      <c r="L78" s="547">
        <v>394.245</v>
      </c>
      <c r="M78" s="547">
        <v>394.10899999999998</v>
      </c>
      <c r="N78" s="547">
        <v>604.93399999999997</v>
      </c>
      <c r="O78" s="547">
        <v>422.94</v>
      </c>
      <c r="P78" s="547">
        <v>327.09300000000002</v>
      </c>
      <c r="Q78" s="547">
        <v>389.30200000000002</v>
      </c>
      <c r="R78" s="547">
        <f t="shared" si="30"/>
        <v>6693.1439999999993</v>
      </c>
      <c r="S78" s="474"/>
      <c r="AX78" s="430"/>
    </row>
    <row r="79" spans="1:50" s="429" customFormat="1" ht="15" customHeight="1" x14ac:dyDescent="0.25">
      <c r="A79" s="488">
        <v>46050</v>
      </c>
      <c r="B79" s="511" t="s">
        <v>16</v>
      </c>
      <c r="C79" s="547">
        <v>247.339</v>
      </c>
      <c r="D79" s="547">
        <v>27.361000000000001</v>
      </c>
      <c r="E79" s="547">
        <v>982.11900000000003</v>
      </c>
      <c r="F79" s="547">
        <v>650.82600000000002</v>
      </c>
      <c r="G79" s="547">
        <v>398.29199999999997</v>
      </c>
      <c r="H79" s="547">
        <v>356.27</v>
      </c>
      <c r="I79" s="547">
        <v>827.96500000000003</v>
      </c>
      <c r="J79" s="547">
        <v>383.46800000000002</v>
      </c>
      <c r="K79" s="547">
        <v>305.52</v>
      </c>
      <c r="L79" s="547">
        <v>394.69600000000003</v>
      </c>
      <c r="M79" s="547">
        <v>394.12299999999999</v>
      </c>
      <c r="N79" s="547">
        <v>605.74199999999996</v>
      </c>
      <c r="O79" s="547">
        <v>426.97800000000001</v>
      </c>
      <c r="P79" s="547">
        <v>327.40899999999999</v>
      </c>
      <c r="Q79" s="547">
        <v>390.94</v>
      </c>
      <c r="R79" s="547">
        <f t="shared" si="30"/>
        <v>6719.0479999999989</v>
      </c>
      <c r="S79" s="474"/>
      <c r="AX79" s="430"/>
    </row>
    <row r="80" spans="1:50" s="429" customFormat="1" ht="15" customHeight="1" x14ac:dyDescent="0.25">
      <c r="A80" s="488">
        <v>46081</v>
      </c>
      <c r="B80" s="511" t="s">
        <v>16</v>
      </c>
      <c r="C80" s="547">
        <v>247.339</v>
      </c>
      <c r="D80" s="547">
        <v>27.376000000000001</v>
      </c>
      <c r="E80" s="547">
        <v>986.60599999999999</v>
      </c>
      <c r="F80" s="547">
        <v>654.60599999999999</v>
      </c>
      <c r="G80" s="547">
        <v>399.82600000000002</v>
      </c>
      <c r="H80" s="547">
        <v>357.91199999999998</v>
      </c>
      <c r="I80" s="547">
        <v>832.81600000000003</v>
      </c>
      <c r="J80" s="547">
        <v>384.65800000000002</v>
      </c>
      <c r="K80" s="547">
        <v>306.774</v>
      </c>
      <c r="L80" s="547">
        <v>395.30099999999999</v>
      </c>
      <c r="M80" s="547">
        <v>394.13400000000001</v>
      </c>
      <c r="N80" s="547">
        <v>606.38400000000001</v>
      </c>
      <c r="O80" s="547">
        <v>430.88200000000001</v>
      </c>
      <c r="P80" s="547">
        <v>327.68900000000002</v>
      </c>
      <c r="Q80" s="547">
        <v>392.81299999999999</v>
      </c>
      <c r="R80" s="547">
        <f t="shared" si="30"/>
        <v>6745.116</v>
      </c>
      <c r="S80" s="474"/>
    </row>
    <row r="81" spans="1:19" s="429" customFormat="1" ht="15" customHeight="1" x14ac:dyDescent="0.25">
      <c r="A81" s="488">
        <v>46109</v>
      </c>
      <c r="B81" s="511" t="s">
        <v>16</v>
      </c>
      <c r="C81" s="547">
        <v>247.339</v>
      </c>
      <c r="D81" s="547">
        <v>27.376000000000001</v>
      </c>
      <c r="E81" s="547">
        <v>989.34699999999998</v>
      </c>
      <c r="F81" s="547">
        <v>658.66499999999996</v>
      </c>
      <c r="G81" s="547">
        <v>402.255</v>
      </c>
      <c r="H81" s="547">
        <v>359.32600000000002</v>
      </c>
      <c r="I81" s="547">
        <v>837.63599999999997</v>
      </c>
      <c r="J81" s="547">
        <v>385.87099999999998</v>
      </c>
      <c r="K81" s="547">
        <v>307.803</v>
      </c>
      <c r="L81" s="547">
        <v>395.88299999999998</v>
      </c>
      <c r="M81" s="547">
        <v>394.26400000000001</v>
      </c>
      <c r="N81" s="547">
        <v>607.16899999999998</v>
      </c>
      <c r="O81" s="547">
        <v>434.64299999999997</v>
      </c>
      <c r="P81" s="547">
        <v>328.11200000000002</v>
      </c>
      <c r="Q81" s="547">
        <v>395.25299999999999</v>
      </c>
      <c r="R81" s="547">
        <f t="shared" ref="R81:R86" si="31">SUM(C81:Q81)</f>
        <v>6770.942</v>
      </c>
      <c r="S81" s="474"/>
    </row>
    <row r="82" spans="1:19" s="429" customFormat="1" ht="15" customHeight="1" x14ac:dyDescent="0.25">
      <c r="A82" s="488"/>
      <c r="B82" s="877" t="s">
        <v>125</v>
      </c>
      <c r="C82" s="140">
        <f t="shared" ref="C82:Q82" si="32">C81-C80</f>
        <v>0</v>
      </c>
      <c r="D82" s="140">
        <f t="shared" si="32"/>
        <v>0</v>
      </c>
      <c r="E82" s="140">
        <f t="shared" si="32"/>
        <v>2.7409999999999854</v>
      </c>
      <c r="F82" s="140">
        <f t="shared" si="32"/>
        <v>4.0589999999999691</v>
      </c>
      <c r="G82" s="140">
        <f t="shared" si="32"/>
        <v>2.4289999999999736</v>
      </c>
      <c r="H82" s="140">
        <f t="shared" si="32"/>
        <v>1.4140000000000441</v>
      </c>
      <c r="I82" s="140">
        <f t="shared" si="32"/>
        <v>4.8199999999999363</v>
      </c>
      <c r="J82" s="140">
        <f t="shared" si="32"/>
        <v>1.2129999999999654</v>
      </c>
      <c r="K82" s="140">
        <f t="shared" si="32"/>
        <v>1.0289999999999964</v>
      </c>
      <c r="L82" s="140">
        <f t="shared" si="32"/>
        <v>0.58199999999999363</v>
      </c>
      <c r="M82" s="140">
        <f t="shared" si="32"/>
        <v>0.12999999999999545</v>
      </c>
      <c r="N82" s="140">
        <f t="shared" si="32"/>
        <v>0.78499999999996817</v>
      </c>
      <c r="O82" s="140">
        <f t="shared" si="32"/>
        <v>3.7609999999999673</v>
      </c>
      <c r="P82" s="140">
        <f t="shared" si="32"/>
        <v>0.42300000000000182</v>
      </c>
      <c r="Q82" s="140">
        <f t="shared" si="32"/>
        <v>2.4399999999999977</v>
      </c>
      <c r="R82" s="140">
        <f t="shared" si="31"/>
        <v>25.825999999999794</v>
      </c>
      <c r="S82" s="474"/>
    </row>
    <row r="83" spans="1:19" s="429" customFormat="1" ht="15" customHeight="1" x14ac:dyDescent="0.25">
      <c r="A83" s="488"/>
      <c r="B83" s="141" t="s">
        <v>127</v>
      </c>
      <c r="C83" s="140">
        <f t="shared" ref="C83:Q83" si="33">C80-C79</f>
        <v>0</v>
      </c>
      <c r="D83" s="140">
        <f t="shared" si="33"/>
        <v>1.5000000000000568E-2</v>
      </c>
      <c r="E83" s="140">
        <f t="shared" si="33"/>
        <v>4.4869999999999663</v>
      </c>
      <c r="F83" s="140">
        <f t="shared" si="33"/>
        <v>3.7799999999999727</v>
      </c>
      <c r="G83" s="140">
        <f t="shared" si="33"/>
        <v>1.5340000000000487</v>
      </c>
      <c r="H83" s="140">
        <f t="shared" si="33"/>
        <v>1.6419999999999959</v>
      </c>
      <c r="I83" s="140">
        <f t="shared" si="33"/>
        <v>4.8509999999999991</v>
      </c>
      <c r="J83" s="140">
        <f t="shared" si="33"/>
        <v>1.1899999999999977</v>
      </c>
      <c r="K83" s="140">
        <f t="shared" si="33"/>
        <v>1.2540000000000191</v>
      </c>
      <c r="L83" s="140">
        <f t="shared" si="33"/>
        <v>0.60499999999996135</v>
      </c>
      <c r="M83" s="140">
        <f t="shared" si="33"/>
        <v>1.1000000000024102E-2</v>
      </c>
      <c r="N83" s="140">
        <f t="shared" si="33"/>
        <v>0.64200000000005275</v>
      </c>
      <c r="O83" s="140">
        <f t="shared" si="33"/>
        <v>3.9039999999999964</v>
      </c>
      <c r="P83" s="140">
        <f t="shared" si="33"/>
        <v>0.28000000000002956</v>
      </c>
      <c r="Q83" s="140">
        <f t="shared" si="33"/>
        <v>1.8729999999999905</v>
      </c>
      <c r="R83" s="140">
        <f t="shared" si="31"/>
        <v>26.068000000000055</v>
      </c>
      <c r="S83" s="474"/>
    </row>
    <row r="84" spans="1:19" s="429" customFormat="1" ht="15" customHeight="1" x14ac:dyDescent="0.25">
      <c r="A84" s="488"/>
      <c r="B84" s="878" t="s">
        <v>129</v>
      </c>
      <c r="C84" s="140">
        <f t="shared" ref="C84:Q84" si="34">C82-C83</f>
        <v>0</v>
      </c>
      <c r="D84" s="140">
        <f t="shared" si="34"/>
        <v>-1.5000000000000568E-2</v>
      </c>
      <c r="E84" s="140">
        <f t="shared" si="34"/>
        <v>-1.7459999999999809</v>
      </c>
      <c r="F84" s="140">
        <f t="shared" si="34"/>
        <v>0.27899999999999636</v>
      </c>
      <c r="G84" s="140">
        <f t="shared" si="34"/>
        <v>0.89499999999992497</v>
      </c>
      <c r="H84" s="140">
        <f t="shared" si="34"/>
        <v>-0.2279999999999518</v>
      </c>
      <c r="I84" s="140">
        <f t="shared" si="34"/>
        <v>-3.1000000000062755E-2</v>
      </c>
      <c r="J84" s="140">
        <f t="shared" si="34"/>
        <v>2.2999999999967713E-2</v>
      </c>
      <c r="K84" s="140">
        <f t="shared" si="34"/>
        <v>-0.22500000000002274</v>
      </c>
      <c r="L84" s="140">
        <f t="shared" si="34"/>
        <v>-2.2999999999967713E-2</v>
      </c>
      <c r="M84" s="140">
        <f t="shared" si="34"/>
        <v>0.11899999999997135</v>
      </c>
      <c r="N84" s="140">
        <f t="shared" si="34"/>
        <v>0.14299999999991542</v>
      </c>
      <c r="O84" s="140">
        <f t="shared" si="34"/>
        <v>-0.1430000000000291</v>
      </c>
      <c r="P84" s="140">
        <f t="shared" si="34"/>
        <v>0.14299999999997226</v>
      </c>
      <c r="Q84" s="140">
        <f t="shared" si="34"/>
        <v>0.56700000000000728</v>
      </c>
      <c r="R84" s="140">
        <f t="shared" si="31"/>
        <v>-0.24200000000026023</v>
      </c>
      <c r="S84" s="474"/>
    </row>
    <row r="85" spans="1:19" s="429" customFormat="1" ht="15" customHeight="1" x14ac:dyDescent="0.25">
      <c r="A85" s="488"/>
      <c r="B85" s="879" t="s">
        <v>131</v>
      </c>
      <c r="C85" s="140">
        <f t="shared" ref="C85:Q85" si="35">(C80-C79)-(C79-C78)</f>
        <v>0</v>
      </c>
      <c r="D85" s="140">
        <f t="shared" si="35"/>
        <v>1.5000000000000568E-2</v>
      </c>
      <c r="E85" s="140">
        <f t="shared" si="35"/>
        <v>-0.19600000000002638</v>
      </c>
      <c r="F85" s="140">
        <f t="shared" si="35"/>
        <v>0.43999999999994088</v>
      </c>
      <c r="G85" s="140">
        <f t="shared" si="35"/>
        <v>-0.78599999999994452</v>
      </c>
      <c r="H85" s="140">
        <f t="shared" si="35"/>
        <v>0.47100000000000364</v>
      </c>
      <c r="I85" s="140">
        <f t="shared" si="35"/>
        <v>-4.3000000000006366E-2</v>
      </c>
      <c r="J85" s="140">
        <f t="shared" si="35"/>
        <v>0.3779999999999859</v>
      </c>
      <c r="K85" s="140">
        <f t="shared" si="35"/>
        <v>-0.16499999999996362</v>
      </c>
      <c r="L85" s="140">
        <f t="shared" si="35"/>
        <v>0.15399999999993952</v>
      </c>
      <c r="M85" s="140">
        <f t="shared" si="35"/>
        <v>-2.9999999999859028E-3</v>
      </c>
      <c r="N85" s="140">
        <f t="shared" si="35"/>
        <v>-0.16599999999993997</v>
      </c>
      <c r="O85" s="140">
        <f t="shared" si="35"/>
        <v>-0.13400000000001455</v>
      </c>
      <c r="P85" s="140">
        <f t="shared" si="35"/>
        <v>-3.5999999999944521E-2</v>
      </c>
      <c r="Q85" s="140">
        <f t="shared" si="35"/>
        <v>0.23500000000001364</v>
      </c>
      <c r="R85" s="142">
        <f t="shared" si="31"/>
        <v>0.16400000000005832</v>
      </c>
      <c r="S85" s="474"/>
    </row>
    <row r="86" spans="1:19" s="429" customFormat="1" ht="15" customHeight="1" x14ac:dyDescent="0.25">
      <c r="A86" s="488"/>
      <c r="B86" s="880" t="s">
        <v>133</v>
      </c>
      <c r="C86" s="140">
        <f t="shared" ref="C86:Q86" si="36">(C79-C78)-(C78-C77)</f>
        <v>0</v>
      </c>
      <c r="D86" s="140">
        <f t="shared" si="36"/>
        <v>-1.2000000000000455E-2</v>
      </c>
      <c r="E86" s="140">
        <f t="shared" si="36"/>
        <v>0.43099999999992633</v>
      </c>
      <c r="F86" s="140">
        <f t="shared" si="36"/>
        <v>2.7000000000043656E-2</v>
      </c>
      <c r="G86" s="140">
        <f t="shared" si="36"/>
        <v>0.62400000000002365</v>
      </c>
      <c r="H86" s="140">
        <f t="shared" si="36"/>
        <v>-0.30399999999997362</v>
      </c>
      <c r="I86" s="140">
        <f t="shared" si="36"/>
        <v>1.2269999999999754</v>
      </c>
      <c r="J86" s="140">
        <f t="shared" si="36"/>
        <v>-0.28899999999998727</v>
      </c>
      <c r="K86" s="140">
        <f t="shared" si="36"/>
        <v>0.15799999999995862</v>
      </c>
      <c r="L86" s="140">
        <f t="shared" si="36"/>
        <v>-0.45599999999996044</v>
      </c>
      <c r="M86" s="140">
        <f t="shared" si="36"/>
        <v>-1.6119999999999663</v>
      </c>
      <c r="N86" s="140">
        <f t="shared" si="36"/>
        <v>0.23099999999999454</v>
      </c>
      <c r="O86" s="140">
        <f t="shared" si="36"/>
        <v>0.63800000000003365</v>
      </c>
      <c r="P86" s="140">
        <f t="shared" si="36"/>
        <v>-6.500000000005457E-2</v>
      </c>
      <c r="Q86" s="140">
        <f t="shared" si="36"/>
        <v>-0.61700000000001864</v>
      </c>
      <c r="R86" s="142">
        <f t="shared" si="31"/>
        <v>-1.9000000000005457E-2</v>
      </c>
      <c r="S86" s="474"/>
    </row>
    <row r="87" spans="1:19" s="429" customFormat="1" ht="15" customHeight="1" x14ac:dyDescent="0.25">
      <c r="A87" s="488"/>
      <c r="B87" s="564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66"/>
      <c r="S87" s="474"/>
    </row>
    <row r="88" spans="1:19" s="429" customFormat="1" ht="15" customHeight="1" x14ac:dyDescent="0.25">
      <c r="A88" s="488"/>
      <c r="B88" s="564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66"/>
      <c r="S88" s="474"/>
    </row>
    <row r="89" spans="1:19" s="429" customFormat="1" ht="15" customHeight="1" x14ac:dyDescent="0.25">
      <c r="A89" s="488"/>
      <c r="B89" s="564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66"/>
      <c r="S89" s="474"/>
    </row>
    <row r="90" spans="1:19" s="429" customFormat="1" ht="15" customHeight="1" x14ac:dyDescent="0.25">
      <c r="A90" s="488"/>
      <c r="B90" s="564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66"/>
      <c r="S90" s="474"/>
    </row>
    <row r="91" spans="1:19" s="429" customFormat="1" ht="15" customHeight="1" x14ac:dyDescent="0.25">
      <c r="A91" s="488"/>
      <c r="B91" s="564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66"/>
      <c r="S91" s="474"/>
    </row>
    <row r="92" spans="1:19" s="429" customFormat="1" ht="15" customHeight="1" x14ac:dyDescent="0.25">
      <c r="A92" s="488"/>
      <c r="B92" s="564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66"/>
      <c r="S92" s="474"/>
    </row>
    <row r="93" spans="1:19" s="429" customFormat="1" ht="15" customHeight="1" x14ac:dyDescent="0.25">
      <c r="A93" s="488"/>
      <c r="B93" s="564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66"/>
      <c r="S93" s="474"/>
    </row>
    <row r="94" spans="1:19" s="429" customFormat="1" ht="15" customHeight="1" x14ac:dyDescent="0.25">
      <c r="A94" s="488"/>
      <c r="B94" s="564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66"/>
      <c r="S94" s="474"/>
    </row>
    <row r="95" spans="1:19" s="429" customFormat="1" ht="15" customHeight="1" x14ac:dyDescent="0.25">
      <c r="A95" s="488"/>
      <c r="B95" s="564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66"/>
      <c r="S95" s="474"/>
    </row>
    <row r="96" spans="1:19" s="429" customFormat="1" ht="15" customHeight="1" x14ac:dyDescent="0.25">
      <c r="A96" s="488"/>
      <c r="B96" s="564"/>
      <c r="C96" s="547"/>
      <c r="D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66"/>
      <c r="S96" s="474"/>
    </row>
    <row r="97" spans="1:55" s="429" customFormat="1" ht="15" customHeight="1" x14ac:dyDescent="0.25">
      <c r="A97" s="488"/>
      <c r="B97" s="564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66"/>
      <c r="S97" s="474"/>
    </row>
    <row r="98" spans="1:55" s="429" customFormat="1" ht="15" customHeight="1" x14ac:dyDescent="0.25">
      <c r="A98" s="472"/>
      <c r="B98" s="567"/>
      <c r="C98" s="474"/>
      <c r="D98" s="474"/>
      <c r="E98" s="474"/>
      <c r="F98" s="474"/>
      <c r="G98" s="474"/>
      <c r="H98" s="474"/>
      <c r="I98" s="474"/>
      <c r="J98" s="474"/>
      <c r="K98" s="474"/>
      <c r="L98" s="474"/>
      <c r="M98" s="474"/>
      <c r="N98" s="474"/>
      <c r="O98" s="474"/>
      <c r="P98" s="474"/>
      <c r="Q98" s="474"/>
      <c r="R98" s="474"/>
      <c r="S98" s="474"/>
    </row>
    <row r="99" spans="1:55" s="424" customFormat="1" ht="15.75" x14ac:dyDescent="0.25">
      <c r="A99" s="568" t="s">
        <v>392</v>
      </c>
      <c r="B99" s="569" t="s">
        <v>432</v>
      </c>
      <c r="C99" s="570"/>
      <c r="D99" s="571"/>
      <c r="E99" s="572"/>
      <c r="F99" s="570"/>
      <c r="G99" s="572"/>
      <c r="H99" s="569" t="s">
        <v>432</v>
      </c>
      <c r="I99" s="571"/>
      <c r="J99" s="571"/>
      <c r="K99" s="570"/>
      <c r="L99" s="571"/>
      <c r="M99" s="571"/>
      <c r="N99" s="571"/>
      <c r="O99" s="571"/>
      <c r="P99" s="569" t="s">
        <v>432</v>
      </c>
      <c r="Q99" s="571"/>
      <c r="R99" s="571"/>
      <c r="S99" s="571"/>
      <c r="T99" s="573"/>
      <c r="U99" s="574"/>
      <c r="V99" s="571"/>
    </row>
    <row r="100" spans="1:55" s="424" customFormat="1" ht="18" hidden="1" customHeight="1" x14ac:dyDescent="0.3">
      <c r="A100" s="575" t="s">
        <v>253</v>
      </c>
      <c r="B100" s="576"/>
      <c r="C100" s="577"/>
      <c r="D100" s="577"/>
      <c r="E100" s="577"/>
      <c r="F100" s="577"/>
      <c r="G100" s="576"/>
      <c r="H100" s="578"/>
      <c r="I100" s="579" t="s">
        <v>222</v>
      </c>
      <c r="J100" s="580"/>
      <c r="K100" s="580"/>
      <c r="L100" s="580"/>
      <c r="M100" s="580"/>
      <c r="N100" s="580"/>
      <c r="O100" s="580"/>
      <c r="P100" s="581"/>
      <c r="Q100" s="581"/>
      <c r="R100" s="581"/>
      <c r="S100" s="581"/>
      <c r="AY100" s="429"/>
      <c r="AZ100" s="430"/>
      <c r="BA100" s="430"/>
      <c r="BB100" s="430"/>
      <c r="BC100" s="430"/>
    </row>
    <row r="101" spans="1:55" s="424" customFormat="1" ht="15.75" hidden="1" x14ac:dyDescent="0.25">
      <c r="A101" s="582" t="s">
        <v>0</v>
      </c>
      <c r="B101" s="583" t="s">
        <v>2</v>
      </c>
      <c r="C101" s="584"/>
      <c r="D101" s="584"/>
      <c r="E101" s="584"/>
      <c r="F101" s="585"/>
      <c r="G101" s="586" t="s">
        <v>49</v>
      </c>
      <c r="H101" s="578"/>
      <c r="K101" s="587"/>
      <c r="L101" s="587"/>
      <c r="M101" s="587"/>
      <c r="N101" s="587"/>
      <c r="O101" s="587"/>
      <c r="P101" s="587"/>
      <c r="Q101" s="587"/>
      <c r="R101" s="587"/>
      <c r="S101" s="587"/>
      <c r="AY101" s="430"/>
      <c r="AZ101" s="430"/>
      <c r="BA101" s="430"/>
      <c r="BB101" s="430"/>
      <c r="BC101" s="430"/>
    </row>
    <row r="102" spans="1:55" s="424" customFormat="1" ht="15.75" hidden="1" x14ac:dyDescent="0.25">
      <c r="A102" s="588">
        <f>A214</f>
        <v>45880</v>
      </c>
      <c r="B102" s="589" t="s">
        <v>4</v>
      </c>
      <c r="C102" s="590"/>
      <c r="D102" s="590"/>
      <c r="E102" s="590"/>
      <c r="F102" s="591"/>
      <c r="G102" s="592">
        <f>G214</f>
        <v>1342.94</v>
      </c>
      <c r="H102" s="578"/>
      <c r="K102" s="587"/>
      <c r="L102" s="587"/>
      <c r="M102" s="587"/>
      <c r="N102" s="587"/>
      <c r="O102" s="587"/>
      <c r="P102" s="587"/>
      <c r="Q102" s="587"/>
      <c r="R102" s="587"/>
      <c r="S102" s="587"/>
      <c r="AY102" s="430"/>
      <c r="AZ102" s="430"/>
      <c r="BA102" s="430"/>
      <c r="BB102" s="430"/>
      <c r="BC102" s="430"/>
    </row>
    <row r="103" spans="1:55" s="424" customFormat="1" ht="15.75" hidden="1" x14ac:dyDescent="0.25">
      <c r="A103" s="593">
        <f>A215</f>
        <v>45880</v>
      </c>
      <c r="B103" s="594" t="s">
        <v>140</v>
      </c>
      <c r="C103" s="595"/>
      <c r="D103" s="595"/>
      <c r="E103" s="595"/>
      <c r="F103" s="596"/>
      <c r="G103" s="597">
        <f>G215-G215</f>
        <v>0</v>
      </c>
      <c r="H103" s="578"/>
      <c r="K103" s="587"/>
      <c r="L103" s="587"/>
      <c r="M103" s="587"/>
      <c r="N103" s="587"/>
      <c r="O103" s="587"/>
      <c r="P103" s="587"/>
      <c r="Q103" s="587"/>
      <c r="R103" s="587"/>
      <c r="S103" s="587"/>
      <c r="T103" s="598"/>
      <c r="U103" s="429"/>
      <c r="V103" s="429"/>
      <c r="W103" s="429"/>
      <c r="X103" s="429"/>
      <c r="Y103" s="451"/>
      <c r="Z103" s="599"/>
      <c r="AA103" s="599"/>
      <c r="AB103" s="429"/>
      <c r="AC103" s="451"/>
      <c r="AD103" s="599"/>
      <c r="AE103" s="599"/>
      <c r="AF103" s="429"/>
      <c r="AG103" s="600"/>
      <c r="AH103" s="599"/>
      <c r="AI103" s="599"/>
      <c r="AJ103" s="429"/>
      <c r="AK103" s="429"/>
      <c r="AL103" s="429"/>
      <c r="AM103" s="429"/>
      <c r="AN103" s="430"/>
      <c r="AV103" s="430"/>
      <c r="AW103" s="430"/>
      <c r="AX103" s="430"/>
      <c r="AY103" s="430"/>
      <c r="AZ103" s="430"/>
      <c r="BA103" s="430"/>
      <c r="BB103" s="430"/>
      <c r="BC103" s="430"/>
    </row>
    <row r="104" spans="1:55" s="425" customFormat="1" ht="15.75" hidden="1" x14ac:dyDescent="0.25">
      <c r="A104" s="601">
        <f>A216</f>
        <v>44967</v>
      </c>
      <c r="B104" s="589" t="s">
        <v>28</v>
      </c>
      <c r="C104" s="590"/>
      <c r="D104" s="590"/>
      <c r="E104" s="590"/>
      <c r="F104" s="591"/>
      <c r="G104" s="592">
        <f>G216</f>
        <v>0</v>
      </c>
      <c r="H104" s="578"/>
      <c r="J104" s="424"/>
      <c r="K104" s="587"/>
      <c r="L104" s="587"/>
      <c r="M104" s="587"/>
      <c r="N104" s="587"/>
      <c r="O104" s="587"/>
      <c r="P104" s="587"/>
      <c r="Q104" s="587"/>
      <c r="R104" s="587"/>
      <c r="S104" s="587"/>
      <c r="T104" s="424"/>
      <c r="U104" s="424"/>
      <c r="V104" s="424"/>
      <c r="W104" s="424"/>
      <c r="X104" s="424"/>
      <c r="Y104" s="581"/>
      <c r="Z104" s="581"/>
      <c r="AA104" s="581"/>
      <c r="AB104" s="581"/>
      <c r="AC104" s="581"/>
      <c r="AD104" s="581"/>
      <c r="AE104" s="581"/>
      <c r="AF104" s="581"/>
      <c r="AJ104" s="430"/>
      <c r="AK104" s="430"/>
      <c r="AL104" s="430"/>
      <c r="AM104" s="430"/>
      <c r="AN104" s="430"/>
      <c r="AV104" s="430"/>
      <c r="AW104" s="430"/>
      <c r="AX104" s="430"/>
      <c r="AY104" s="430"/>
      <c r="AZ104" s="430"/>
      <c r="BA104" s="430"/>
      <c r="BB104" s="430"/>
      <c r="BC104" s="430"/>
    </row>
    <row r="105" spans="1:55" s="425" customFormat="1" ht="15.75" hidden="1" x14ac:dyDescent="0.25">
      <c r="A105" s="588">
        <f>A217</f>
        <v>45884</v>
      </c>
      <c r="B105" s="589" t="s">
        <v>5</v>
      </c>
      <c r="C105" s="590"/>
      <c r="D105" s="590"/>
      <c r="E105" s="590"/>
      <c r="F105" s="591"/>
      <c r="G105" s="592">
        <f>G217</f>
        <v>1231.1099999999999</v>
      </c>
      <c r="H105" s="578"/>
      <c r="J105" s="424"/>
      <c r="K105" s="587"/>
      <c r="L105" s="587"/>
      <c r="M105" s="587"/>
      <c r="N105" s="587"/>
      <c r="O105" s="587"/>
      <c r="P105" s="587"/>
      <c r="Q105" s="587"/>
      <c r="R105" s="587"/>
      <c r="S105" s="587"/>
      <c r="T105" s="424"/>
      <c r="U105" s="424"/>
      <c r="V105" s="424"/>
      <c r="W105" s="424"/>
      <c r="X105" s="424"/>
      <c r="Y105" s="581"/>
      <c r="Z105" s="581"/>
      <c r="AA105" s="581"/>
      <c r="AB105" s="581"/>
      <c r="AC105" s="581"/>
      <c r="AD105" s="581"/>
      <c r="AE105" s="581"/>
      <c r="AF105" s="581"/>
      <c r="AJ105" s="430"/>
      <c r="AK105" s="430"/>
      <c r="AL105" s="430"/>
      <c r="AM105" s="430"/>
      <c r="AN105" s="430"/>
      <c r="AV105" s="430"/>
      <c r="AW105" s="430"/>
      <c r="AX105" s="430"/>
      <c r="AY105" s="430"/>
      <c r="AZ105" s="430"/>
      <c r="BA105" s="430"/>
      <c r="BB105" s="430"/>
      <c r="BC105" s="430"/>
    </row>
    <row r="106" spans="1:55" s="425" customFormat="1" ht="15.75" hidden="1" x14ac:dyDescent="0.25">
      <c r="A106" s="601">
        <f>A217</f>
        <v>45884</v>
      </c>
      <c r="B106" s="589" t="s">
        <v>6</v>
      </c>
      <c r="C106" s="590"/>
      <c r="D106" s="590"/>
      <c r="E106" s="590"/>
      <c r="F106" s="591"/>
      <c r="G106" s="602">
        <f>C145</f>
        <v>236.41</v>
      </c>
      <c r="H106" s="578"/>
      <c r="J106" s="424"/>
      <c r="K106" s="587"/>
      <c r="L106" s="587"/>
      <c r="M106" s="587"/>
      <c r="N106" s="587"/>
      <c r="O106" s="587"/>
      <c r="P106" s="587"/>
      <c r="Q106" s="587"/>
      <c r="R106" s="587"/>
      <c r="S106" s="587"/>
      <c r="T106" s="424"/>
      <c r="AH106" s="430"/>
      <c r="AI106" s="430"/>
      <c r="AJ106" s="430"/>
      <c r="AK106" s="430"/>
      <c r="AL106" s="430"/>
      <c r="AM106" s="430"/>
      <c r="AN106" s="430"/>
      <c r="AV106" s="430"/>
      <c r="AW106" s="430"/>
      <c r="AX106" s="430"/>
      <c r="AY106" s="430"/>
      <c r="AZ106" s="430"/>
      <c r="BA106" s="430"/>
      <c r="BB106" s="430"/>
      <c r="BC106" s="430"/>
    </row>
    <row r="107" spans="1:55" s="425" customFormat="1" ht="15.75" hidden="1" x14ac:dyDescent="0.25">
      <c r="A107" s="601">
        <f t="shared" ref="A107:A118" si="37">A219</f>
        <v>45887</v>
      </c>
      <c r="B107" s="589" t="s">
        <v>7</v>
      </c>
      <c r="C107" s="590"/>
      <c r="D107" s="590"/>
      <c r="E107" s="590"/>
      <c r="F107" s="591"/>
      <c r="G107" s="592">
        <f>G219</f>
        <v>440.76</v>
      </c>
      <c r="H107" s="578"/>
      <c r="J107" s="424"/>
      <c r="K107" s="587"/>
      <c r="L107" s="587"/>
      <c r="M107" s="587"/>
      <c r="N107" s="587"/>
      <c r="O107" s="587"/>
      <c r="P107" s="587"/>
      <c r="Q107" s="587"/>
      <c r="R107" s="587"/>
      <c r="S107" s="587"/>
      <c r="T107" s="424"/>
      <c r="AH107" s="430"/>
      <c r="AI107" s="430"/>
      <c r="AJ107" s="430"/>
      <c r="AK107" s="430"/>
      <c r="AL107" s="430"/>
      <c r="AM107" s="430"/>
      <c r="AN107" s="430"/>
      <c r="AV107" s="430"/>
      <c r="AW107" s="430"/>
      <c r="AX107" s="430"/>
      <c r="AY107" s="430"/>
      <c r="AZ107" s="430"/>
      <c r="BA107" s="430"/>
      <c r="BB107" s="430"/>
      <c r="BC107" s="430"/>
    </row>
    <row r="108" spans="1:55" s="425" customFormat="1" ht="15.75" hidden="1" x14ac:dyDescent="0.25">
      <c r="A108" s="601">
        <f t="shared" si="37"/>
        <v>45889</v>
      </c>
      <c r="B108" s="589" t="s">
        <v>29</v>
      </c>
      <c r="C108" s="590"/>
      <c r="D108" s="590"/>
      <c r="E108" s="590"/>
      <c r="F108" s="591"/>
      <c r="G108" s="592">
        <f>G220</f>
        <v>226.01</v>
      </c>
      <c r="H108" s="578"/>
      <c r="J108" s="424"/>
      <c r="K108" s="587"/>
      <c r="L108" s="587"/>
      <c r="M108" s="587"/>
      <c r="N108" s="587"/>
      <c r="O108" s="587"/>
      <c r="P108" s="587"/>
      <c r="Q108" s="587"/>
      <c r="R108" s="587"/>
      <c r="S108" s="587"/>
      <c r="T108" s="424"/>
      <c r="AH108" s="430"/>
      <c r="AI108" s="430"/>
      <c r="AJ108" s="430"/>
      <c r="AK108" s="430"/>
      <c r="AL108" s="430"/>
      <c r="AM108" s="430"/>
      <c r="AN108" s="430"/>
      <c r="AV108" s="430"/>
      <c r="AW108" s="430"/>
      <c r="AX108" s="430"/>
      <c r="AY108" s="430"/>
      <c r="AZ108" s="430"/>
      <c r="BA108" s="430"/>
      <c r="BB108" s="430"/>
      <c r="BC108" s="430"/>
    </row>
    <row r="109" spans="1:55" s="425" customFormat="1" ht="15.75" hidden="1" x14ac:dyDescent="0.25">
      <c r="A109" s="601">
        <f t="shared" si="37"/>
        <v>45104</v>
      </c>
      <c r="B109" s="603" t="s">
        <v>87</v>
      </c>
      <c r="C109" s="590"/>
      <c r="D109" s="590"/>
      <c r="E109" s="590"/>
      <c r="F109" s="591"/>
      <c r="G109" s="592">
        <f>G221-G221</f>
        <v>0</v>
      </c>
      <c r="H109" s="578"/>
      <c r="J109" s="424"/>
      <c r="K109" s="587"/>
      <c r="L109" s="587"/>
      <c r="M109" s="587"/>
      <c r="N109" s="587"/>
      <c r="O109" s="587"/>
      <c r="P109" s="587"/>
      <c r="Q109" s="587"/>
      <c r="R109" s="587"/>
      <c r="S109" s="587"/>
      <c r="T109" s="424"/>
      <c r="AH109" s="430"/>
      <c r="AI109" s="430"/>
      <c r="AJ109" s="430"/>
      <c r="AK109" s="430"/>
      <c r="AL109" s="430"/>
      <c r="AM109" s="430"/>
      <c r="AN109" s="430"/>
      <c r="AV109" s="430"/>
      <c r="AW109" s="430"/>
      <c r="AX109" s="430"/>
      <c r="AY109" s="430"/>
      <c r="AZ109" s="430"/>
      <c r="BA109" s="430"/>
      <c r="BB109" s="430"/>
      <c r="BC109" s="430"/>
    </row>
    <row r="110" spans="1:55" s="425" customFormat="1" ht="15.75" hidden="1" x14ac:dyDescent="0.25">
      <c r="A110" s="601">
        <f t="shared" si="37"/>
        <v>45833</v>
      </c>
      <c r="B110" s="589" t="s">
        <v>40</v>
      </c>
      <c r="C110" s="590"/>
      <c r="D110" s="590"/>
      <c r="E110" s="590"/>
      <c r="F110" s="591"/>
      <c r="G110" s="592">
        <f t="shared" ref="G110:G122" si="38">G222</f>
        <v>0</v>
      </c>
      <c r="H110" s="578"/>
      <c r="J110" s="424"/>
      <c r="K110" s="587"/>
      <c r="L110" s="587"/>
      <c r="M110" s="587"/>
      <c r="N110" s="587"/>
      <c r="O110" s="587"/>
      <c r="P110" s="587"/>
      <c r="Q110" s="587"/>
      <c r="R110" s="587"/>
      <c r="S110" s="587"/>
      <c r="T110" s="424"/>
      <c r="AH110" s="430"/>
      <c r="AI110" s="430"/>
      <c r="AJ110" s="430"/>
      <c r="AK110" s="430"/>
      <c r="AL110" s="430"/>
      <c r="AM110" s="430"/>
      <c r="AN110" s="430"/>
      <c r="AV110" s="430"/>
      <c r="AW110" s="430"/>
      <c r="AX110" s="430"/>
      <c r="AY110" s="430"/>
      <c r="AZ110" s="430"/>
      <c r="BA110" s="430"/>
      <c r="BB110" s="430"/>
      <c r="BC110" s="430"/>
    </row>
    <row r="111" spans="1:55" s="425" customFormat="1" ht="15.75" hidden="1" x14ac:dyDescent="0.25">
      <c r="A111" s="601">
        <f t="shared" si="37"/>
        <v>45834</v>
      </c>
      <c r="B111" s="589" t="s">
        <v>38</v>
      </c>
      <c r="C111" s="604"/>
      <c r="D111" s="590"/>
      <c r="E111" s="590"/>
      <c r="F111" s="591"/>
      <c r="G111" s="592">
        <f t="shared" si="38"/>
        <v>0</v>
      </c>
      <c r="H111" s="578"/>
      <c r="J111" s="424"/>
      <c r="K111" s="587"/>
      <c r="L111" s="587"/>
      <c r="M111" s="587"/>
      <c r="N111" s="587"/>
      <c r="O111" s="587"/>
      <c r="P111" s="587"/>
      <c r="Q111" s="587"/>
      <c r="R111" s="587"/>
      <c r="S111" s="587"/>
      <c r="T111" s="424"/>
      <c r="AH111" s="430"/>
      <c r="AI111" s="430"/>
      <c r="AJ111" s="430"/>
      <c r="AK111" s="430"/>
      <c r="AL111" s="430"/>
      <c r="AM111" s="430"/>
      <c r="AN111" s="430"/>
      <c r="AV111" s="430"/>
      <c r="AW111" s="430"/>
      <c r="AX111" s="430"/>
      <c r="AY111" s="430"/>
      <c r="AZ111" s="430"/>
      <c r="BA111" s="430"/>
      <c r="BB111" s="430"/>
      <c r="BC111" s="430"/>
    </row>
    <row r="112" spans="1:55" s="425" customFormat="1" ht="15.75" hidden="1" x14ac:dyDescent="0.25">
      <c r="A112" s="601">
        <f t="shared" si="37"/>
        <v>45870</v>
      </c>
      <c r="B112" s="589" t="s">
        <v>252</v>
      </c>
      <c r="C112" s="604"/>
      <c r="D112" s="590"/>
      <c r="E112" s="590"/>
      <c r="F112" s="591"/>
      <c r="G112" s="592">
        <f t="shared" si="38"/>
        <v>24.6</v>
      </c>
      <c r="H112" s="578"/>
      <c r="O112" s="587"/>
      <c r="P112" s="587"/>
      <c r="Q112" s="587"/>
      <c r="R112" s="587"/>
      <c r="S112" s="587"/>
      <c r="T112" s="424"/>
      <c r="AH112" s="430"/>
      <c r="AI112" s="430"/>
      <c r="AJ112" s="430"/>
      <c r="AK112" s="430"/>
      <c r="AL112" s="430"/>
      <c r="AM112" s="430"/>
      <c r="AN112" s="430"/>
      <c r="AV112" s="430"/>
      <c r="AW112" s="430"/>
      <c r="AX112" s="430"/>
      <c r="AY112" s="430"/>
      <c r="AZ112" s="430"/>
      <c r="BA112" s="430"/>
      <c r="BB112" s="430"/>
      <c r="BC112" s="430"/>
    </row>
    <row r="113" spans="1:55" s="425" customFormat="1" ht="15.75" hidden="1" x14ac:dyDescent="0.25">
      <c r="A113" s="601">
        <f t="shared" si="37"/>
        <v>45845</v>
      </c>
      <c r="B113" s="594" t="s">
        <v>251</v>
      </c>
      <c r="C113" s="590"/>
      <c r="D113" s="590"/>
      <c r="E113" s="590"/>
      <c r="F113" s="591"/>
      <c r="G113" s="592">
        <f t="shared" si="38"/>
        <v>28.9</v>
      </c>
      <c r="H113" s="578"/>
      <c r="O113" s="587"/>
      <c r="P113" s="587"/>
      <c r="Q113" s="587"/>
      <c r="R113" s="587"/>
      <c r="S113" s="587"/>
      <c r="T113" s="424"/>
      <c r="AH113" s="430"/>
      <c r="AI113" s="430"/>
      <c r="AJ113" s="430"/>
      <c r="AK113" s="430"/>
      <c r="AL113" s="430"/>
      <c r="AM113" s="430"/>
      <c r="AN113" s="430"/>
      <c r="AV113" s="430"/>
      <c r="AW113" s="430"/>
      <c r="AX113" s="430"/>
      <c r="AY113" s="430"/>
      <c r="AZ113" s="430"/>
      <c r="BA113" s="430"/>
      <c r="BB113" s="430"/>
      <c r="BC113" s="430"/>
    </row>
    <row r="114" spans="1:55" s="425" customFormat="1" ht="15.75" hidden="1" x14ac:dyDescent="0.25">
      <c r="A114" s="601">
        <f t="shared" si="37"/>
        <v>45692</v>
      </c>
      <c r="B114" s="589" t="s">
        <v>34</v>
      </c>
      <c r="C114" s="590"/>
      <c r="D114" s="590"/>
      <c r="E114" s="590"/>
      <c r="F114" s="591"/>
      <c r="G114" s="592">
        <f t="shared" si="38"/>
        <v>0</v>
      </c>
      <c r="H114" s="578"/>
      <c r="O114" s="587"/>
      <c r="P114" s="587"/>
      <c r="Q114" s="587"/>
      <c r="R114" s="587"/>
      <c r="S114" s="587"/>
      <c r="T114" s="424"/>
      <c r="AH114" s="430"/>
      <c r="AI114" s="430"/>
      <c r="AJ114" s="430"/>
      <c r="AK114" s="430"/>
      <c r="AL114" s="430"/>
      <c r="AM114" s="430"/>
      <c r="AN114" s="430"/>
      <c r="AV114" s="430"/>
      <c r="AW114" s="430"/>
      <c r="AX114" s="430"/>
      <c r="AY114" s="430"/>
      <c r="AZ114" s="430"/>
      <c r="BA114" s="430"/>
      <c r="BB114" s="430"/>
      <c r="BC114" s="430"/>
    </row>
    <row r="115" spans="1:55" s="425" customFormat="1" ht="15.75" hidden="1" x14ac:dyDescent="0.25">
      <c r="A115" s="601">
        <f t="shared" si="37"/>
        <v>45803</v>
      </c>
      <c r="B115" s="589" t="s">
        <v>35</v>
      </c>
      <c r="C115" s="590"/>
      <c r="D115" s="590"/>
      <c r="E115" s="590"/>
      <c r="F115" s="591"/>
      <c r="G115" s="592">
        <f t="shared" si="38"/>
        <v>0</v>
      </c>
      <c r="H115" s="578"/>
      <c r="O115" s="587"/>
      <c r="P115" s="587"/>
      <c r="Q115" s="587"/>
      <c r="R115" s="587"/>
      <c r="S115" s="587"/>
      <c r="T115" s="424"/>
      <c r="AE115" s="429"/>
      <c r="AF115" s="429"/>
      <c r="AH115" s="430"/>
      <c r="AI115" s="430"/>
      <c r="AJ115" s="430"/>
      <c r="AK115" s="430"/>
      <c r="AL115" s="430"/>
      <c r="AM115" s="430"/>
      <c r="AN115" s="430"/>
      <c r="AV115" s="430"/>
      <c r="AW115" s="430"/>
      <c r="AX115" s="430"/>
      <c r="AY115" s="430"/>
      <c r="AZ115" s="430"/>
      <c r="BA115" s="430"/>
      <c r="BB115" s="430"/>
      <c r="BC115" s="430"/>
    </row>
    <row r="116" spans="1:55" s="425" customFormat="1" ht="15.75" hidden="1" x14ac:dyDescent="0.25">
      <c r="A116" s="601">
        <f t="shared" si="37"/>
        <v>45789</v>
      </c>
      <c r="B116" s="589" t="s">
        <v>36</v>
      </c>
      <c r="C116" s="590"/>
      <c r="D116" s="590"/>
      <c r="E116" s="590"/>
      <c r="F116" s="591"/>
      <c r="G116" s="592">
        <f t="shared" si="38"/>
        <v>0</v>
      </c>
      <c r="H116" s="578"/>
      <c r="O116" s="587"/>
      <c r="P116" s="587"/>
      <c r="Q116" s="587"/>
      <c r="R116" s="587"/>
      <c r="S116" s="587"/>
      <c r="T116" s="424"/>
      <c r="V116" s="429"/>
      <c r="W116" s="429"/>
      <c r="X116" s="429"/>
      <c r="Y116" s="429"/>
      <c r="Z116" s="429"/>
      <c r="AA116" s="429"/>
      <c r="AB116" s="429"/>
      <c r="AC116" s="429"/>
      <c r="AD116" s="429"/>
      <c r="AE116" s="429"/>
      <c r="AF116" s="429"/>
      <c r="AH116" s="430"/>
      <c r="AI116" s="430"/>
      <c r="AJ116" s="430"/>
      <c r="AK116" s="430"/>
      <c r="AL116" s="430"/>
      <c r="AM116" s="430"/>
      <c r="AN116" s="430"/>
      <c r="AV116" s="430"/>
      <c r="AW116" s="430"/>
      <c r="AX116" s="430"/>
      <c r="AY116" s="430"/>
      <c r="AZ116" s="430"/>
      <c r="BA116" s="430"/>
      <c r="BB116" s="430"/>
      <c r="BC116" s="430"/>
    </row>
    <row r="117" spans="1:55" s="425" customFormat="1" ht="15.75" hidden="1" x14ac:dyDescent="0.25">
      <c r="A117" s="601">
        <f t="shared" si="37"/>
        <v>45897</v>
      </c>
      <c r="B117" s="589" t="s">
        <v>8</v>
      </c>
      <c r="C117" s="590"/>
      <c r="D117" s="590"/>
      <c r="E117" s="590"/>
      <c r="F117" s="591"/>
      <c r="G117" s="592">
        <f t="shared" si="38"/>
        <v>151.6</v>
      </c>
      <c r="H117" s="578"/>
      <c r="J117" s="424"/>
      <c r="K117" s="587"/>
      <c r="L117" s="587"/>
      <c r="M117" s="587"/>
      <c r="N117" s="587"/>
      <c r="O117" s="587"/>
      <c r="P117" s="587"/>
      <c r="Q117" s="587"/>
      <c r="R117" s="587"/>
      <c r="S117" s="587"/>
      <c r="T117" s="424"/>
      <c r="U117" s="429"/>
      <c r="V117" s="429"/>
      <c r="W117" s="429"/>
      <c r="X117" s="429"/>
      <c r="Y117" s="429"/>
      <c r="Z117" s="429"/>
      <c r="AA117" s="429"/>
      <c r="AB117" s="429"/>
      <c r="AC117" s="429"/>
      <c r="AD117" s="429"/>
      <c r="AE117" s="429"/>
      <c r="AF117" s="429"/>
      <c r="AH117" s="430"/>
      <c r="AI117" s="430"/>
      <c r="AJ117" s="430"/>
      <c r="AK117" s="430"/>
      <c r="AL117" s="430"/>
      <c r="AM117" s="430"/>
      <c r="AN117" s="430"/>
      <c r="AV117" s="430"/>
      <c r="AW117" s="430"/>
      <c r="AX117" s="430"/>
      <c r="AY117" s="430"/>
      <c r="AZ117" s="430"/>
      <c r="BA117" s="430"/>
      <c r="BB117" s="430"/>
      <c r="BC117" s="430"/>
    </row>
    <row r="118" spans="1:55" s="425" customFormat="1" ht="15.75" hidden="1" x14ac:dyDescent="0.25">
      <c r="A118" s="601">
        <f t="shared" si="37"/>
        <v>45870</v>
      </c>
      <c r="B118" s="589" t="s">
        <v>9</v>
      </c>
      <c r="C118" s="590"/>
      <c r="D118" s="590"/>
      <c r="E118" s="590"/>
      <c r="F118" s="591"/>
      <c r="G118" s="592">
        <f t="shared" si="38"/>
        <v>65</v>
      </c>
      <c r="H118" s="578"/>
      <c r="J118" s="424"/>
      <c r="K118" s="587"/>
      <c r="L118" s="587"/>
      <c r="M118" s="587"/>
      <c r="N118" s="587"/>
      <c r="O118" s="587"/>
      <c r="P118" s="587"/>
      <c r="Q118" s="587"/>
      <c r="R118" s="587"/>
      <c r="S118" s="587"/>
      <c r="T118" s="424"/>
      <c r="U118" s="429"/>
      <c r="V118" s="429"/>
      <c r="W118" s="429"/>
      <c r="X118" s="429"/>
      <c r="Y118" s="429"/>
      <c r="Z118" s="429"/>
      <c r="AA118" s="429"/>
      <c r="AB118" s="429"/>
      <c r="AC118" s="429"/>
      <c r="AD118" s="429"/>
      <c r="AE118" s="429"/>
      <c r="AF118" s="429"/>
      <c r="AH118" s="430"/>
      <c r="AI118" s="430"/>
      <c r="AJ118" s="430"/>
      <c r="AK118" s="430"/>
      <c r="AL118" s="430"/>
      <c r="AM118" s="430"/>
      <c r="AN118" s="430"/>
      <c r="AV118" s="430"/>
      <c r="AW118" s="430"/>
      <c r="AX118" s="430"/>
      <c r="AY118" s="430"/>
      <c r="AZ118" s="430"/>
      <c r="BA118" s="430"/>
      <c r="BB118" s="430"/>
      <c r="BC118" s="430"/>
    </row>
    <row r="119" spans="1:55" s="425" customFormat="1" ht="15.75" hidden="1" x14ac:dyDescent="0.25">
      <c r="A119" s="605"/>
      <c r="B119" s="606"/>
      <c r="C119" s="607"/>
      <c r="D119" s="607"/>
      <c r="E119" s="607"/>
      <c r="F119" s="608"/>
      <c r="G119" s="592">
        <f t="shared" si="38"/>
        <v>0</v>
      </c>
      <c r="H119" s="578"/>
      <c r="I119" s="581"/>
      <c r="J119" s="424"/>
      <c r="K119" s="587"/>
      <c r="L119" s="587"/>
      <c r="M119" s="587"/>
      <c r="N119" s="587"/>
      <c r="O119" s="587"/>
      <c r="P119" s="587"/>
      <c r="Q119" s="587"/>
      <c r="R119" s="587"/>
      <c r="S119" s="587"/>
      <c r="T119" s="424"/>
      <c r="U119" s="429"/>
      <c r="V119" s="429"/>
      <c r="W119" s="429"/>
      <c r="X119" s="429"/>
      <c r="Y119" s="429"/>
      <c r="Z119" s="429"/>
      <c r="AA119" s="429"/>
      <c r="AB119" s="429"/>
      <c r="AC119" s="429"/>
      <c r="AD119" s="429"/>
      <c r="AE119" s="429"/>
      <c r="AF119" s="429"/>
      <c r="AH119" s="430"/>
      <c r="AI119" s="430"/>
      <c r="AJ119" s="430"/>
      <c r="AK119" s="430"/>
      <c r="AL119" s="430"/>
      <c r="AM119" s="430"/>
      <c r="AN119" s="430"/>
      <c r="AV119" s="430"/>
      <c r="AW119" s="430"/>
      <c r="AX119" s="430"/>
      <c r="AY119" s="430"/>
      <c r="AZ119" s="430"/>
      <c r="BA119" s="430"/>
      <c r="BB119" s="430"/>
      <c r="BC119" s="430"/>
    </row>
    <row r="120" spans="1:55" s="425" customFormat="1" ht="15.75" hidden="1" x14ac:dyDescent="0.25">
      <c r="A120" s="605"/>
      <c r="B120" s="606"/>
      <c r="C120" s="607"/>
      <c r="D120" s="607"/>
      <c r="E120" s="607"/>
      <c r="F120" s="608"/>
      <c r="G120" s="592">
        <f t="shared" si="38"/>
        <v>0</v>
      </c>
      <c r="H120" s="578"/>
      <c r="I120" s="581"/>
      <c r="J120" s="424"/>
      <c r="K120" s="587"/>
      <c r="L120" s="587"/>
      <c r="M120" s="587"/>
      <c r="N120" s="587"/>
      <c r="O120" s="587"/>
      <c r="P120" s="587"/>
      <c r="Q120" s="587"/>
      <c r="R120" s="587"/>
      <c r="S120" s="587"/>
      <c r="T120" s="424"/>
      <c r="V120" s="430"/>
      <c r="W120" s="430"/>
      <c r="X120" s="430"/>
      <c r="Y120" s="430"/>
      <c r="Z120" s="430"/>
      <c r="AA120" s="424"/>
      <c r="AB120" s="424"/>
      <c r="AC120" s="424"/>
      <c r="AH120" s="430"/>
      <c r="AI120" s="430"/>
      <c r="AJ120" s="430"/>
      <c r="AK120" s="430"/>
      <c r="AL120" s="430"/>
      <c r="AM120" s="430"/>
      <c r="AN120" s="430"/>
      <c r="AV120" s="430"/>
      <c r="AW120" s="430"/>
      <c r="AX120" s="430"/>
      <c r="AY120" s="430"/>
      <c r="AZ120" s="430"/>
      <c r="BA120" s="430"/>
      <c r="BB120" s="430"/>
      <c r="BC120" s="430"/>
    </row>
    <row r="121" spans="1:55" s="425" customFormat="1" ht="15.75" hidden="1" x14ac:dyDescent="0.25">
      <c r="A121" s="605"/>
      <c r="B121" s="606"/>
      <c r="C121" s="607"/>
      <c r="D121" s="607"/>
      <c r="E121" s="607"/>
      <c r="F121" s="608"/>
      <c r="G121" s="592">
        <f t="shared" si="38"/>
        <v>0</v>
      </c>
      <c r="H121" s="578"/>
      <c r="I121" s="581"/>
      <c r="J121" s="581"/>
      <c r="K121" s="581"/>
      <c r="L121" s="581"/>
      <c r="M121" s="581"/>
      <c r="N121" s="581"/>
      <c r="O121" s="581"/>
      <c r="P121" s="581"/>
      <c r="Q121" s="581"/>
      <c r="R121" s="581"/>
      <c r="S121" s="581"/>
      <c r="T121" s="581"/>
      <c r="V121" s="430"/>
      <c r="W121" s="430"/>
      <c r="X121" s="430"/>
      <c r="Y121" s="430"/>
      <c r="Z121" s="430"/>
      <c r="AA121" s="424"/>
      <c r="AB121" s="424"/>
      <c r="AC121" s="424"/>
      <c r="AH121" s="430"/>
      <c r="AI121" s="430"/>
      <c r="AJ121" s="430"/>
      <c r="AK121" s="430"/>
      <c r="AL121" s="430"/>
      <c r="AM121" s="430"/>
      <c r="AN121" s="430"/>
      <c r="AV121" s="430"/>
      <c r="AW121" s="430"/>
      <c r="AX121" s="430"/>
      <c r="AY121" s="430"/>
      <c r="AZ121" s="430"/>
      <c r="BA121" s="430"/>
      <c r="BB121" s="430"/>
      <c r="BC121" s="430"/>
    </row>
    <row r="122" spans="1:55" s="425" customFormat="1" ht="15.75" hidden="1" x14ac:dyDescent="0.25">
      <c r="A122" s="605"/>
      <c r="B122" s="606"/>
      <c r="C122" s="607"/>
      <c r="D122" s="607"/>
      <c r="E122" s="607"/>
      <c r="F122" s="608"/>
      <c r="G122" s="592">
        <f t="shared" si="38"/>
        <v>0</v>
      </c>
      <c r="H122" s="578"/>
      <c r="I122" s="581"/>
      <c r="J122" s="581"/>
      <c r="K122" s="581"/>
      <c r="L122" s="581"/>
      <c r="M122" s="581"/>
      <c r="N122" s="581"/>
      <c r="O122" s="581"/>
      <c r="P122" s="581"/>
      <c r="Q122" s="581"/>
      <c r="R122" s="581"/>
      <c r="S122" s="581"/>
      <c r="T122" s="581"/>
      <c r="V122" s="430"/>
      <c r="W122" s="430"/>
      <c r="X122" s="430"/>
      <c r="Y122" s="430"/>
      <c r="Z122" s="430"/>
      <c r="AA122" s="424"/>
      <c r="AB122" s="424"/>
      <c r="AC122" s="424"/>
      <c r="AH122" s="430"/>
      <c r="AI122" s="430"/>
      <c r="AJ122" s="430"/>
      <c r="AK122" s="430"/>
      <c r="AL122" s="430"/>
      <c r="AM122" s="430"/>
      <c r="AN122" s="430"/>
      <c r="AV122" s="430"/>
      <c r="AW122" s="430"/>
      <c r="AX122" s="430"/>
      <c r="AY122" s="430"/>
      <c r="AZ122" s="430"/>
      <c r="BA122" s="430"/>
      <c r="BB122" s="430"/>
      <c r="BC122" s="430"/>
    </row>
    <row r="123" spans="1:55" s="425" customFormat="1" ht="21" hidden="1" x14ac:dyDescent="0.35">
      <c r="A123" s="609" t="s">
        <v>10</v>
      </c>
      <c r="B123" s="610"/>
      <c r="C123" s="611"/>
      <c r="D123" s="611"/>
      <c r="E123" s="611"/>
      <c r="F123" s="611"/>
      <c r="G123" s="612">
        <f>SUM(G102:G122)</f>
        <v>3747.3300000000004</v>
      </c>
      <c r="H123" s="578"/>
      <c r="J123" s="581"/>
      <c r="K123" s="581"/>
      <c r="L123" s="581"/>
      <c r="M123" s="581"/>
      <c r="N123" s="581"/>
      <c r="O123" s="581"/>
      <c r="P123" s="581"/>
      <c r="Q123" s="581"/>
      <c r="R123" s="581"/>
      <c r="S123" s="581"/>
      <c r="T123" s="581"/>
      <c r="V123" s="430"/>
      <c r="W123" s="430"/>
      <c r="X123" s="430"/>
      <c r="Y123" s="430"/>
      <c r="Z123" s="430"/>
      <c r="AA123" s="424"/>
      <c r="AB123" s="424"/>
      <c r="AC123" s="424"/>
      <c r="AH123" s="430"/>
      <c r="AI123" s="430"/>
      <c r="AJ123" s="430"/>
      <c r="AK123" s="430"/>
      <c r="AL123" s="430"/>
      <c r="AM123" s="430"/>
      <c r="AN123" s="430"/>
      <c r="AV123" s="430"/>
      <c r="AW123" s="430"/>
      <c r="AX123" s="430"/>
      <c r="AY123" s="430"/>
      <c r="AZ123" s="430"/>
      <c r="BA123" s="430"/>
      <c r="BB123" s="430"/>
      <c r="BC123" s="430"/>
    </row>
    <row r="124" spans="1:55" s="425" customFormat="1" ht="21" hidden="1" x14ac:dyDescent="0.35">
      <c r="A124" s="613" t="s">
        <v>11</v>
      </c>
      <c r="B124" s="611"/>
      <c r="C124" s="611"/>
      <c r="D124" s="611"/>
      <c r="E124" s="611"/>
      <c r="F124" s="611"/>
      <c r="G124" s="614">
        <f>ROUND(G123/14,2)</f>
        <v>267.67</v>
      </c>
      <c r="H124" s="578"/>
      <c r="I124" s="581"/>
      <c r="J124" s="581"/>
      <c r="K124" s="581"/>
      <c r="L124" s="581"/>
      <c r="M124" s="581"/>
      <c r="N124" s="581"/>
      <c r="O124" s="581"/>
      <c r="P124" s="581"/>
      <c r="Q124" s="581"/>
      <c r="R124" s="581"/>
      <c r="S124" s="581"/>
      <c r="T124" s="581"/>
      <c r="V124" s="430"/>
      <c r="W124" s="430"/>
      <c r="X124" s="430"/>
      <c r="Y124" s="430"/>
      <c r="Z124" s="430"/>
      <c r="AA124" s="424"/>
      <c r="AB124" s="424"/>
      <c r="AC124" s="424"/>
      <c r="AH124" s="430"/>
      <c r="AI124" s="430"/>
      <c r="AJ124" s="430"/>
      <c r="AK124" s="430"/>
      <c r="AL124" s="430"/>
      <c r="AM124" s="430"/>
      <c r="AN124" s="430"/>
      <c r="AV124" s="430"/>
      <c r="AW124" s="430"/>
      <c r="AX124" s="430"/>
      <c r="AY124" s="430"/>
      <c r="AZ124" s="430"/>
      <c r="BA124" s="430"/>
      <c r="BB124" s="430"/>
      <c r="BC124" s="430"/>
    </row>
    <row r="125" spans="1:55" s="425" customFormat="1" ht="21" hidden="1" x14ac:dyDescent="0.35">
      <c r="A125" s="613" t="s">
        <v>33</v>
      </c>
      <c r="B125" s="611"/>
      <c r="C125" s="611"/>
      <c r="D125" s="611"/>
      <c r="E125" s="611"/>
      <c r="F125" s="611"/>
      <c r="G125" s="614">
        <f>ROUND(G124/13,2)</f>
        <v>20.59</v>
      </c>
      <c r="H125" s="578"/>
      <c r="I125" s="615" t="s">
        <v>239</v>
      </c>
      <c r="J125" s="615"/>
      <c r="K125" s="615"/>
      <c r="L125" s="615"/>
      <c r="M125" s="615"/>
      <c r="N125" s="615"/>
      <c r="O125" s="615"/>
      <c r="P125" s="615"/>
      <c r="Q125" s="581"/>
      <c r="R125" s="581"/>
      <c r="S125" s="581"/>
      <c r="T125" s="581"/>
      <c r="V125" s="430"/>
      <c r="W125" s="430"/>
      <c r="X125" s="430"/>
      <c r="Y125" s="430"/>
      <c r="Z125" s="430"/>
      <c r="AA125" s="424"/>
      <c r="AB125" s="424"/>
      <c r="AC125" s="424"/>
      <c r="AH125" s="430"/>
      <c r="AI125" s="430"/>
      <c r="AJ125" s="430"/>
      <c r="AK125" s="430"/>
      <c r="AL125" s="430"/>
      <c r="AM125" s="430"/>
      <c r="AN125" s="430"/>
      <c r="AV125" s="430"/>
      <c r="AW125" s="430"/>
      <c r="AX125" s="430"/>
      <c r="AY125" s="430"/>
      <c r="AZ125" s="430"/>
      <c r="BA125" s="430"/>
      <c r="BB125" s="430"/>
      <c r="BC125" s="430"/>
    </row>
    <row r="126" spans="1:55" s="425" customFormat="1" ht="21" hidden="1" x14ac:dyDescent="0.35">
      <c r="A126" s="613" t="s">
        <v>37</v>
      </c>
      <c r="B126" s="611"/>
      <c r="C126" s="611"/>
      <c r="D126" s="611"/>
      <c r="E126" s="611"/>
      <c r="F126" s="611"/>
      <c r="G126" s="612">
        <v>150</v>
      </c>
      <c r="H126" s="578"/>
      <c r="I126" s="581"/>
      <c r="J126" s="581"/>
      <c r="K126" s="581"/>
      <c r="L126" s="616"/>
      <c r="M126" s="581"/>
      <c r="N126" s="581"/>
      <c r="O126" s="581"/>
      <c r="P126" s="581"/>
      <c r="Q126" s="581"/>
      <c r="R126" s="581"/>
      <c r="S126" s="581"/>
      <c r="T126" s="581"/>
      <c r="V126" s="430"/>
      <c r="W126" s="430"/>
      <c r="X126" s="430"/>
      <c r="Y126" s="430"/>
      <c r="Z126" s="430"/>
      <c r="AA126" s="424"/>
      <c r="AB126" s="424"/>
      <c r="AC126" s="424"/>
      <c r="AH126" s="430"/>
      <c r="AI126" s="430"/>
      <c r="AJ126" s="430"/>
      <c r="AK126" s="430"/>
      <c r="AL126" s="430"/>
      <c r="AM126" s="430"/>
      <c r="AN126" s="430"/>
      <c r="AV126" s="430"/>
      <c r="AW126" s="430"/>
      <c r="AX126" s="430"/>
      <c r="AY126" s="430"/>
      <c r="AZ126" s="430"/>
      <c r="BA126" s="430"/>
      <c r="BB126" s="430"/>
      <c r="BC126" s="430"/>
    </row>
    <row r="127" spans="1:55" s="425" customFormat="1" ht="21" hidden="1" x14ac:dyDescent="0.35">
      <c r="A127" s="613" t="s">
        <v>12</v>
      </c>
      <c r="B127" s="611"/>
      <c r="C127" s="611"/>
      <c r="D127" s="611"/>
      <c r="E127" s="611"/>
      <c r="F127" s="611"/>
      <c r="G127" s="612">
        <f>G124+G125+G126</f>
        <v>438.26</v>
      </c>
      <c r="H127" s="578"/>
      <c r="I127" s="581"/>
      <c r="J127" s="581"/>
      <c r="K127" s="581"/>
      <c r="L127" s="616"/>
      <c r="M127" s="581"/>
      <c r="N127" s="581"/>
      <c r="O127" s="581"/>
      <c r="P127" s="581"/>
      <c r="Q127" s="581"/>
      <c r="R127" s="581"/>
      <c r="S127" s="581"/>
      <c r="T127" s="581"/>
      <c r="V127" s="430"/>
      <c r="W127" s="430"/>
      <c r="X127" s="430"/>
      <c r="Y127" s="430"/>
      <c r="Z127" s="430"/>
      <c r="AA127" s="424"/>
      <c r="AB127" s="424"/>
      <c r="AC127" s="424"/>
      <c r="AH127" s="430"/>
      <c r="AI127" s="430"/>
      <c r="AJ127" s="430"/>
      <c r="AK127" s="430"/>
      <c r="AL127" s="430"/>
      <c r="AM127" s="430"/>
      <c r="AN127" s="430"/>
      <c r="AV127" s="430"/>
      <c r="AW127" s="430"/>
      <c r="AX127" s="430"/>
      <c r="AY127" s="430"/>
      <c r="AZ127" s="430"/>
      <c r="BA127" s="430"/>
      <c r="BB127" s="430"/>
      <c r="BC127" s="430"/>
    </row>
    <row r="128" spans="1:55" s="425" customFormat="1" ht="15.75" hidden="1" x14ac:dyDescent="0.25">
      <c r="A128" s="617"/>
      <c r="B128" s="617"/>
      <c r="C128" s="617"/>
      <c r="D128" s="617"/>
      <c r="E128" s="617"/>
      <c r="F128" s="617"/>
      <c r="G128" s="617"/>
      <c r="H128" s="581"/>
      <c r="I128" s="616"/>
      <c r="J128" s="616"/>
      <c r="K128" s="616"/>
      <c r="L128" s="616"/>
      <c r="M128" s="581"/>
      <c r="N128" s="581"/>
      <c r="O128" s="581"/>
      <c r="P128" s="581"/>
      <c r="Q128" s="581"/>
      <c r="R128" s="581"/>
      <c r="S128" s="581"/>
      <c r="T128" s="581"/>
      <c r="V128" s="430"/>
      <c r="W128" s="430"/>
      <c r="X128" s="430"/>
      <c r="Y128" s="430"/>
      <c r="Z128" s="430"/>
      <c r="AA128" s="424"/>
      <c r="AB128" s="424"/>
      <c r="AC128" s="424"/>
      <c r="AH128" s="430"/>
      <c r="AI128" s="430"/>
      <c r="AJ128" s="430"/>
      <c r="AK128" s="430"/>
      <c r="AL128" s="430"/>
      <c r="AM128" s="430"/>
      <c r="AN128" s="430"/>
      <c r="AV128" s="430"/>
      <c r="AW128" s="430"/>
      <c r="AX128" s="430"/>
      <c r="AY128" s="430"/>
      <c r="AZ128" s="430"/>
      <c r="BA128" s="430"/>
      <c r="BB128" s="430"/>
      <c r="BC128" s="430"/>
    </row>
    <row r="129" spans="1:72" s="425" customFormat="1" ht="15.75" hidden="1" x14ac:dyDescent="0.25">
      <c r="A129" s="617"/>
      <c r="B129" s="618"/>
      <c r="C129" s="619"/>
      <c r="D129" s="619"/>
      <c r="E129" s="619"/>
      <c r="F129" s="620" t="s">
        <v>141</v>
      </c>
      <c r="G129" s="621">
        <f>G123-G106</f>
        <v>3510.9200000000005</v>
      </c>
      <c r="H129" s="581"/>
      <c r="I129" s="616"/>
      <c r="J129" s="616"/>
      <c r="K129" s="616"/>
      <c r="L129" s="616"/>
      <c r="M129" s="581"/>
      <c r="N129" s="581"/>
      <c r="O129" s="581"/>
      <c r="P129" s="581"/>
      <c r="Q129" s="581"/>
      <c r="R129" s="581"/>
      <c r="S129" s="581"/>
      <c r="T129" s="581"/>
      <c r="V129" s="430"/>
      <c r="W129" s="430"/>
      <c r="X129" s="430"/>
      <c r="Y129" s="430"/>
      <c r="Z129" s="430"/>
      <c r="AA129" s="424"/>
      <c r="AB129" s="424"/>
      <c r="AC129" s="424"/>
      <c r="AH129" s="430"/>
      <c r="AI129" s="430"/>
      <c r="AJ129" s="430"/>
      <c r="AK129" s="430"/>
      <c r="AL129" s="430"/>
      <c r="AM129" s="430"/>
      <c r="AN129" s="430"/>
      <c r="AV129" s="430"/>
      <c r="AW129" s="430"/>
      <c r="AX129" s="430"/>
      <c r="AY129" s="430"/>
      <c r="AZ129" s="430"/>
      <c r="BA129" s="430"/>
      <c r="BB129" s="430"/>
      <c r="BC129" s="430"/>
    </row>
    <row r="130" spans="1:72" s="425" customFormat="1" ht="15.75" hidden="1" x14ac:dyDescent="0.25">
      <c r="A130" s="622"/>
      <c r="B130" s="623"/>
      <c r="C130" s="623"/>
      <c r="D130" s="623"/>
      <c r="E130" s="623"/>
      <c r="F130" s="623"/>
      <c r="G130" s="621">
        <f>G236-G218-G235</f>
        <v>3510.920000000001</v>
      </c>
      <c r="H130" s="616"/>
      <c r="I130" s="616"/>
      <c r="J130" s="616"/>
      <c r="K130" s="616"/>
      <c r="L130" s="616"/>
      <c r="M130" s="581"/>
      <c r="N130" s="581"/>
      <c r="O130" s="581"/>
      <c r="P130" s="581"/>
      <c r="Q130" s="581"/>
      <c r="R130" s="581"/>
      <c r="S130" s="581"/>
      <c r="T130" s="581"/>
      <c r="V130" s="430"/>
      <c r="W130" s="430"/>
      <c r="X130" s="430"/>
      <c r="Y130" s="430"/>
      <c r="Z130" s="430"/>
      <c r="AA130" s="424"/>
      <c r="AB130" s="424"/>
      <c r="AC130" s="424"/>
      <c r="AH130" s="430"/>
      <c r="AI130" s="430"/>
      <c r="AJ130" s="430"/>
      <c r="AK130" s="430"/>
      <c r="AL130" s="430"/>
      <c r="AM130" s="430"/>
      <c r="AN130" s="430"/>
      <c r="AV130" s="430"/>
      <c r="AW130" s="430"/>
      <c r="AX130" s="430"/>
      <c r="AY130" s="430"/>
      <c r="AZ130" s="430"/>
      <c r="BA130" s="430"/>
      <c r="BB130" s="430"/>
      <c r="BC130" s="430"/>
    </row>
    <row r="131" spans="1:72" s="425" customFormat="1" ht="15.75" hidden="1" x14ac:dyDescent="0.25">
      <c r="A131" s="622"/>
      <c r="B131" s="623"/>
      <c r="C131" s="623"/>
      <c r="D131" s="623"/>
      <c r="E131" s="623"/>
      <c r="F131" s="623"/>
      <c r="G131" s="621">
        <f>G129-G130</f>
        <v>0</v>
      </c>
      <c r="H131" s="616"/>
      <c r="I131" s="616"/>
      <c r="J131" s="616"/>
      <c r="K131" s="624"/>
      <c r="L131" s="616"/>
      <c r="M131" s="581"/>
      <c r="N131" s="581"/>
      <c r="O131" s="581"/>
      <c r="P131" s="581"/>
      <c r="Q131" s="581"/>
      <c r="R131" s="581"/>
      <c r="S131" s="581"/>
      <c r="T131" s="581"/>
      <c r="V131" s="430"/>
      <c r="W131" s="430"/>
      <c r="X131" s="430"/>
      <c r="Y131" s="430"/>
      <c r="Z131" s="430"/>
      <c r="AA131" s="424"/>
      <c r="AB131" s="424"/>
      <c r="AC131" s="424"/>
      <c r="AH131" s="430"/>
      <c r="AI131" s="430"/>
      <c r="AJ131" s="430"/>
      <c r="AK131" s="430"/>
      <c r="AL131" s="430"/>
      <c r="AM131" s="430"/>
      <c r="AN131" s="430"/>
      <c r="AV131" s="430"/>
      <c r="AW131" s="430"/>
      <c r="AX131" s="430"/>
      <c r="AY131" s="430"/>
      <c r="AZ131" s="430"/>
      <c r="BA131" s="430"/>
      <c r="BB131" s="430"/>
      <c r="BC131" s="430"/>
    </row>
    <row r="132" spans="1:72" s="425" customFormat="1" ht="15.75" hidden="1" x14ac:dyDescent="0.25">
      <c r="A132" s="617"/>
      <c r="B132" s="617"/>
      <c r="C132" s="617"/>
      <c r="D132" s="617"/>
      <c r="E132" s="617"/>
      <c r="F132" s="617"/>
      <c r="G132" s="617"/>
      <c r="H132" s="616"/>
      <c r="I132" s="616"/>
      <c r="J132" s="616"/>
      <c r="K132" s="624"/>
      <c r="L132" s="616"/>
      <c r="M132" s="581"/>
      <c r="N132" s="581"/>
      <c r="O132" s="581"/>
      <c r="P132" s="581"/>
      <c r="Q132" s="581"/>
      <c r="R132" s="581"/>
      <c r="S132" s="581"/>
      <c r="T132" s="581"/>
      <c r="V132" s="430"/>
      <c r="W132" s="430"/>
      <c r="X132" s="430"/>
      <c r="Y132" s="430"/>
      <c r="Z132" s="430"/>
      <c r="AA132" s="424"/>
      <c r="AB132" s="424"/>
      <c r="AC132" s="424"/>
      <c r="AH132" s="430"/>
      <c r="AI132" s="430"/>
      <c r="AJ132" s="430"/>
      <c r="AK132" s="430"/>
      <c r="AL132" s="430"/>
      <c r="AM132" s="430"/>
      <c r="AN132" s="430"/>
      <c r="AV132" s="430"/>
      <c r="AW132" s="430"/>
      <c r="AX132" s="430"/>
      <c r="AY132" s="430"/>
      <c r="AZ132" s="430"/>
      <c r="BA132" s="430"/>
      <c r="BB132" s="430"/>
      <c r="BC132" s="430"/>
    </row>
    <row r="133" spans="1:72" s="429" customFormat="1" ht="15" customHeight="1" x14ac:dyDescent="0.25">
      <c r="A133" s="568" t="s">
        <v>392</v>
      </c>
      <c r="B133" s="569" t="s">
        <v>432</v>
      </c>
      <c r="C133" s="570"/>
      <c r="D133" s="571"/>
      <c r="E133" s="572"/>
      <c r="F133" s="570"/>
      <c r="G133" s="572"/>
      <c r="H133" s="569" t="s">
        <v>432</v>
      </c>
      <c r="I133" s="571"/>
      <c r="J133" s="571"/>
      <c r="K133" s="570"/>
      <c r="L133" s="571"/>
      <c r="M133" s="571"/>
      <c r="N133" s="571"/>
      <c r="O133" s="571"/>
      <c r="P133" s="569" t="s">
        <v>432</v>
      </c>
      <c r="Q133" s="571"/>
      <c r="R133" s="571"/>
      <c r="S133" s="571"/>
      <c r="T133" s="573"/>
      <c r="U133" s="574"/>
      <c r="V133" s="571"/>
      <c r="AV133" s="430"/>
      <c r="AW133" s="430"/>
      <c r="AX133" s="430"/>
      <c r="AY133" s="430"/>
    </row>
    <row r="134" spans="1:72" s="429" customFormat="1" ht="15" customHeight="1" x14ac:dyDescent="0.25">
      <c r="A134" s="472"/>
      <c r="B134" s="472"/>
      <c r="C134" s="472"/>
      <c r="D134" s="472"/>
      <c r="E134" s="472"/>
      <c r="F134" s="472"/>
      <c r="G134" s="472"/>
      <c r="H134" s="472"/>
      <c r="I134" s="472"/>
      <c r="J134" s="472"/>
      <c r="K134" s="474"/>
      <c r="L134" s="474"/>
      <c r="M134" s="474"/>
      <c r="N134" s="474"/>
      <c r="O134" s="474"/>
      <c r="P134" s="474"/>
      <c r="Q134" s="474"/>
      <c r="R134" s="474"/>
      <c r="S134" s="474"/>
      <c r="U134" s="472"/>
      <c r="V134" s="472"/>
      <c r="W134" s="474"/>
      <c r="X134" s="548"/>
      <c r="Y134" s="548"/>
      <c r="Z134" s="548"/>
      <c r="AA134" s="548"/>
      <c r="AB134" s="548"/>
      <c r="AC134" s="548"/>
      <c r="AV134" s="430"/>
      <c r="AW134" s="430"/>
      <c r="AX134" s="430"/>
      <c r="AY134" s="430"/>
    </row>
    <row r="135" spans="1:72" s="429" customFormat="1" ht="15" customHeight="1" x14ac:dyDescent="0.25">
      <c r="A135" s="472"/>
      <c r="B135" s="951" t="s">
        <v>279</v>
      </c>
      <c r="C135" s="625"/>
      <c r="D135" s="625"/>
      <c r="E135" s="625"/>
      <c r="F135" s="626"/>
      <c r="G135" s="627" t="b">
        <f>SUM(G145:G159)=SUM('PLAN P COND'!G48:G62)</f>
        <v>1</v>
      </c>
      <c r="H135" s="472"/>
      <c r="I135" s="628" t="s">
        <v>366</v>
      </c>
      <c r="J135" s="629"/>
      <c r="K135" s="630"/>
      <c r="L135" s="630"/>
      <c r="M135" s="630"/>
      <c r="N135" s="630"/>
      <c r="O135" s="630"/>
      <c r="P135" s="630"/>
      <c r="Q135" s="630"/>
      <c r="R135" s="630"/>
      <c r="S135" s="630"/>
      <c r="T135" s="631"/>
      <c r="U135" s="631"/>
      <c r="V135" s="631"/>
      <c r="AV135" s="430"/>
      <c r="AW135" s="430"/>
      <c r="AX135" s="430"/>
      <c r="AY135" s="430"/>
    </row>
    <row r="136" spans="1:72" s="429" customFormat="1" ht="15" customHeight="1" x14ac:dyDescent="0.3">
      <c r="A136" s="272" t="s">
        <v>286</v>
      </c>
      <c r="B136" s="422"/>
      <c r="C136" s="473"/>
      <c r="D136" s="473"/>
      <c r="E136" s="473"/>
      <c r="F136" s="473"/>
      <c r="G136" s="473"/>
      <c r="H136" s="473"/>
      <c r="I136" s="473"/>
      <c r="J136" s="473"/>
      <c r="K136" s="473"/>
      <c r="L136" s="473"/>
      <c r="M136" s="473"/>
      <c r="N136" s="473"/>
      <c r="O136" s="473"/>
      <c r="P136" s="473"/>
      <c r="Q136" s="473"/>
      <c r="R136" s="473"/>
      <c r="S136" s="473"/>
      <c r="AV136" s="430"/>
      <c r="AW136" s="430"/>
      <c r="AX136" s="430"/>
      <c r="AY136" s="430"/>
    </row>
    <row r="137" spans="1:72" s="429" customFormat="1" ht="15" customHeight="1" x14ac:dyDescent="0.2">
      <c r="A137" s="632" t="s">
        <v>13</v>
      </c>
      <c r="B137" s="633"/>
      <c r="C137" s="633"/>
      <c r="D137" s="633"/>
      <c r="E137" s="633"/>
      <c r="F137" s="633"/>
      <c r="G137" s="634"/>
      <c r="H137" s="511"/>
      <c r="I137" s="635" t="s">
        <v>297</v>
      </c>
      <c r="J137" s="580"/>
      <c r="K137" s="580"/>
      <c r="L137" s="580"/>
      <c r="M137" s="580"/>
      <c r="N137" s="580"/>
      <c r="O137" s="580"/>
      <c r="P137" s="473"/>
      <c r="Q137" s="473"/>
      <c r="R137" s="511"/>
      <c r="S137" s="511"/>
      <c r="T137" s="439"/>
      <c r="U137" s="439"/>
      <c r="V137" s="439"/>
      <c r="W137" s="439"/>
      <c r="X137" s="439"/>
      <c r="Y137" s="439"/>
      <c r="Z137" s="439"/>
      <c r="AA137" s="439"/>
      <c r="AB137" s="439"/>
      <c r="AC137" s="439"/>
      <c r="AD137" s="439"/>
      <c r="AE137" s="439"/>
      <c r="AF137" s="439"/>
      <c r="AG137" s="439"/>
      <c r="AH137" s="439"/>
      <c r="AI137" s="439"/>
      <c r="AJ137" s="439"/>
      <c r="AK137" s="439"/>
      <c r="AL137" s="439"/>
      <c r="AM137" s="439"/>
      <c r="AN137" s="439"/>
      <c r="AV137" s="439"/>
      <c r="AW137" s="439"/>
      <c r="AX137" s="439"/>
      <c r="AY137" s="439"/>
      <c r="AZ137" s="439"/>
      <c r="BA137" s="439"/>
      <c r="BB137" s="439"/>
      <c r="BC137" s="439"/>
      <c r="BD137" s="439"/>
      <c r="BE137" s="439"/>
      <c r="BF137" s="439"/>
      <c r="BG137" s="439"/>
      <c r="BH137" s="439"/>
      <c r="BI137" s="439"/>
      <c r="BJ137" s="439"/>
      <c r="BK137" s="439"/>
      <c r="BL137" s="439"/>
      <c r="BM137" s="439"/>
      <c r="BN137" s="439"/>
      <c r="BO137" s="439"/>
      <c r="BP137" s="439"/>
      <c r="BQ137" s="439"/>
      <c r="BR137" s="439"/>
      <c r="BS137" s="439"/>
      <c r="BT137" s="439"/>
    </row>
    <row r="138" spans="1:72" s="429" customFormat="1" ht="15" customHeight="1" x14ac:dyDescent="0.2">
      <c r="A138" s="636"/>
      <c r="B138" s="637"/>
      <c r="C138" s="637"/>
      <c r="D138" s="637"/>
      <c r="E138" s="637"/>
      <c r="F138" s="637"/>
      <c r="G138" s="637"/>
      <c r="H138" s="511"/>
      <c r="I138" s="635" t="s">
        <v>284</v>
      </c>
      <c r="J138" s="580"/>
      <c r="K138" s="580"/>
      <c r="L138" s="580"/>
      <c r="M138" s="580"/>
      <c r="N138" s="580"/>
      <c r="O138" s="580"/>
      <c r="P138" s="473"/>
      <c r="Q138" s="473"/>
      <c r="R138" s="511"/>
      <c r="S138" s="511"/>
      <c r="T138" s="439"/>
      <c r="U138" s="439"/>
      <c r="V138" s="439"/>
      <c r="W138" s="439"/>
      <c r="X138" s="439"/>
      <c r="Y138" s="439"/>
      <c r="Z138" s="439"/>
      <c r="AA138" s="439"/>
      <c r="AB138" s="439"/>
      <c r="AC138" s="439"/>
      <c r="AD138" s="439"/>
      <c r="AE138" s="439"/>
      <c r="AF138" s="439"/>
      <c r="AG138" s="439"/>
      <c r="AH138" s="439"/>
      <c r="AI138" s="439"/>
      <c r="AJ138" s="439"/>
      <c r="AK138" s="439"/>
      <c r="AL138" s="439"/>
      <c r="AM138" s="439"/>
      <c r="AN138" s="439"/>
      <c r="AV138" s="439"/>
      <c r="AW138" s="439"/>
      <c r="AX138" s="439"/>
      <c r="AY138" s="439"/>
      <c r="AZ138" s="439"/>
      <c r="BA138" s="439"/>
      <c r="BB138" s="439"/>
      <c r="BC138" s="439"/>
      <c r="BD138" s="439"/>
      <c r="BE138" s="439"/>
      <c r="BF138" s="439"/>
      <c r="BG138" s="439"/>
      <c r="BH138" s="439"/>
      <c r="BI138" s="439"/>
      <c r="BJ138" s="439"/>
      <c r="BK138" s="439"/>
      <c r="BL138" s="439"/>
      <c r="BM138" s="439"/>
      <c r="BN138" s="439"/>
      <c r="BO138" s="439"/>
      <c r="BP138" s="439"/>
      <c r="BQ138" s="439"/>
      <c r="BR138" s="439"/>
      <c r="BS138" s="439"/>
      <c r="BT138" s="439"/>
    </row>
    <row r="139" spans="1:72" s="429" customFormat="1" ht="15" customHeight="1" x14ac:dyDescent="0.25">
      <c r="A139" s="636"/>
      <c r="B139" s="637"/>
      <c r="C139" s="637"/>
      <c r="D139" s="638" t="s">
        <v>570</v>
      </c>
      <c r="E139" s="639" t="s">
        <v>571</v>
      </c>
      <c r="F139" s="637"/>
      <c r="G139" s="637"/>
      <c r="H139" s="511"/>
      <c r="I139" s="640" t="s">
        <v>459</v>
      </c>
      <c r="J139" s="641"/>
      <c r="K139" s="641"/>
      <c r="L139" s="641"/>
      <c r="M139" s="641"/>
      <c r="N139" s="641"/>
      <c r="O139" s="641"/>
      <c r="P139" s="641"/>
      <c r="Q139" s="473"/>
      <c r="R139" s="511"/>
      <c r="S139" s="511"/>
      <c r="T139" s="439"/>
      <c r="U139" s="439"/>
      <c r="V139" s="439"/>
      <c r="W139" s="439"/>
      <c r="X139" s="439"/>
      <c r="Y139" s="439"/>
      <c r="Z139" s="439"/>
      <c r="AA139" s="439"/>
      <c r="AB139" s="439"/>
      <c r="AC139" s="439"/>
      <c r="AD139" s="439"/>
      <c r="AE139" s="439"/>
      <c r="AF139" s="439"/>
      <c r="AG139" s="439"/>
      <c r="AH139" s="439"/>
      <c r="AI139" s="439"/>
      <c r="AJ139" s="439"/>
      <c r="AK139" s="439"/>
      <c r="AL139" s="439"/>
      <c r="AM139" s="439"/>
      <c r="AN139" s="439"/>
      <c r="AV139" s="439"/>
      <c r="AW139" s="439"/>
      <c r="AX139" s="439"/>
      <c r="AY139" s="439"/>
      <c r="AZ139" s="439"/>
      <c r="BA139" s="439"/>
      <c r="BB139" s="439"/>
      <c r="BC139" s="439"/>
      <c r="BD139" s="439"/>
      <c r="BE139" s="439"/>
      <c r="BF139" s="439"/>
      <c r="BG139" s="439"/>
      <c r="BH139" s="439"/>
      <c r="BI139" s="439"/>
      <c r="BJ139" s="439"/>
      <c r="BK139" s="439"/>
      <c r="BL139" s="439"/>
      <c r="BM139" s="439"/>
      <c r="BN139" s="439"/>
      <c r="BO139" s="439"/>
      <c r="BP139" s="439"/>
      <c r="BQ139" s="439"/>
      <c r="BR139" s="439"/>
      <c r="BS139" s="439"/>
      <c r="BT139" s="439"/>
    </row>
    <row r="140" spans="1:72" s="429" customFormat="1" ht="15" customHeight="1" x14ac:dyDescent="0.25">
      <c r="A140" s="950" t="s">
        <v>572</v>
      </c>
      <c r="B140" s="633"/>
      <c r="C140" s="633"/>
      <c r="D140" s="633"/>
      <c r="E140" s="633"/>
      <c r="F140" s="633"/>
      <c r="G140" s="634"/>
      <c r="I140" s="640" t="s">
        <v>298</v>
      </c>
      <c r="J140" s="641"/>
      <c r="K140" s="641"/>
      <c r="L140" s="641"/>
      <c r="M140" s="641"/>
      <c r="N140" s="641"/>
      <c r="O140" s="641"/>
      <c r="P140" s="641"/>
      <c r="Q140" s="473"/>
      <c r="R140" s="511"/>
      <c r="S140" s="511"/>
      <c r="T140" s="439"/>
      <c r="U140" s="439"/>
      <c r="V140" s="439"/>
      <c r="W140" s="439"/>
      <c r="X140" s="439"/>
      <c r="Y140" s="439"/>
      <c r="Z140" s="439"/>
      <c r="AA140" s="439"/>
      <c r="AB140" s="439"/>
      <c r="AC140" s="439"/>
      <c r="AD140" s="439"/>
      <c r="AE140" s="439"/>
      <c r="AF140" s="439"/>
      <c r="AG140" s="439"/>
      <c r="AH140" s="439"/>
      <c r="AI140" s="439"/>
      <c r="AJ140" s="439"/>
      <c r="AK140" s="439"/>
      <c r="AL140" s="439"/>
      <c r="AM140" s="439"/>
      <c r="AN140" s="439"/>
      <c r="AV140" s="439"/>
      <c r="AW140" s="439"/>
      <c r="AX140" s="439"/>
      <c r="AY140" s="439"/>
      <c r="AZ140" s="439"/>
      <c r="BA140" s="439"/>
      <c r="BB140" s="439"/>
      <c r="BC140" s="439"/>
      <c r="BD140" s="439"/>
      <c r="BE140" s="439"/>
      <c r="BF140" s="439"/>
      <c r="BG140" s="439"/>
      <c r="BH140" s="439"/>
      <c r="BI140" s="439"/>
      <c r="BJ140" s="439"/>
      <c r="BK140" s="439"/>
      <c r="BL140" s="439"/>
      <c r="BM140" s="439"/>
      <c r="BN140" s="439"/>
      <c r="BO140" s="439"/>
      <c r="BP140" s="439"/>
      <c r="BQ140" s="439"/>
      <c r="BR140" s="439"/>
      <c r="BS140" s="439"/>
      <c r="BT140" s="439"/>
    </row>
    <row r="141" spans="1:72" s="429" customFormat="1" ht="15" customHeight="1" x14ac:dyDescent="0.25">
      <c r="A141" s="636"/>
      <c r="B141" s="637"/>
      <c r="C141" s="637"/>
      <c r="D141" s="637"/>
      <c r="E141" s="637"/>
      <c r="F141" s="637"/>
      <c r="G141" s="637"/>
      <c r="H141" s="511"/>
      <c r="I141" s="473"/>
      <c r="J141" s="473"/>
      <c r="K141" s="473"/>
      <c r="L141" s="473"/>
      <c r="M141" s="473"/>
      <c r="N141" s="473"/>
      <c r="O141" s="473"/>
      <c r="P141" s="473"/>
      <c r="Q141" s="473"/>
      <c r="R141" s="511"/>
      <c r="S141" s="511"/>
      <c r="T141" s="439"/>
      <c r="U141" s="439"/>
      <c r="V141" s="439"/>
      <c r="W141" s="439"/>
      <c r="X141" s="439"/>
      <c r="Y141" s="439"/>
      <c r="Z141" s="439"/>
      <c r="AA141" s="439"/>
      <c r="AB141" s="439"/>
      <c r="AC141" s="439"/>
      <c r="AD141" s="439"/>
      <c r="AE141" s="439"/>
      <c r="AF141" s="439"/>
      <c r="AG141" s="439"/>
      <c r="AH141" s="439"/>
      <c r="AI141" s="439"/>
      <c r="AJ141" s="439"/>
      <c r="AK141" s="439"/>
      <c r="AL141" s="439"/>
      <c r="AM141" s="439"/>
      <c r="AN141" s="439"/>
      <c r="AV141" s="439"/>
      <c r="AW141" s="439"/>
      <c r="AX141" s="439"/>
      <c r="AY141" s="439"/>
      <c r="AZ141" s="439"/>
      <c r="BA141" s="439"/>
      <c r="BB141" s="439"/>
      <c r="BC141" s="439"/>
      <c r="BD141" s="439"/>
      <c r="BE141" s="439"/>
      <c r="BF141" s="439"/>
      <c r="BG141" s="439"/>
      <c r="BH141" s="439"/>
      <c r="BI141" s="439"/>
      <c r="BJ141" s="439"/>
      <c r="BK141" s="439"/>
      <c r="BL141" s="439"/>
      <c r="BM141" s="439"/>
      <c r="BN141" s="439"/>
      <c r="BO141" s="439"/>
      <c r="BP141" s="439"/>
      <c r="BQ141" s="439"/>
      <c r="BR141" s="439"/>
      <c r="BS141" s="439"/>
      <c r="BT141" s="439"/>
    </row>
    <row r="142" spans="1:72" s="429" customFormat="1" ht="15" customHeight="1" x14ac:dyDescent="0.25">
      <c r="A142" s="636"/>
      <c r="B142" s="637"/>
      <c r="C142" s="637"/>
      <c r="D142" s="637"/>
      <c r="E142" s="637"/>
      <c r="F142" s="637"/>
      <c r="G142" s="637"/>
      <c r="H142" s="511"/>
      <c r="I142" s="473"/>
      <c r="J142" s="511"/>
      <c r="K142" s="511"/>
      <c r="L142" s="511"/>
      <c r="M142" s="511"/>
      <c r="N142" s="511"/>
      <c r="O142" s="473"/>
      <c r="P142" s="511"/>
      <c r="Q142" s="511"/>
      <c r="R142" s="511"/>
      <c r="S142" s="511"/>
      <c r="BA142" s="439"/>
      <c r="BB142" s="439"/>
      <c r="BC142" s="439"/>
      <c r="BD142" s="439"/>
      <c r="BE142" s="439"/>
      <c r="BF142" s="439"/>
      <c r="BG142" s="439"/>
      <c r="BH142" s="439"/>
      <c r="BI142" s="439"/>
      <c r="BJ142" s="439"/>
      <c r="BK142" s="439"/>
      <c r="BL142" s="439"/>
      <c r="BM142" s="439"/>
      <c r="BN142" s="439"/>
      <c r="BO142" s="439"/>
      <c r="BP142" s="439"/>
      <c r="BQ142" s="439"/>
      <c r="BR142" s="439"/>
      <c r="BS142" s="439"/>
      <c r="BT142" s="439"/>
    </row>
    <row r="143" spans="1:72" s="429" customFormat="1" ht="15" customHeight="1" x14ac:dyDescent="0.25">
      <c r="A143" s="939" t="s">
        <v>14</v>
      </c>
      <c r="B143" s="940" t="s">
        <v>15</v>
      </c>
      <c r="C143" s="941"/>
      <c r="D143" s="940" t="s">
        <v>16</v>
      </c>
      <c r="E143" s="941"/>
      <c r="F143" s="942" t="s">
        <v>17</v>
      </c>
      <c r="G143" s="942" t="s">
        <v>18</v>
      </c>
      <c r="H143" s="943" t="s">
        <v>18</v>
      </c>
      <c r="I143" s="642" t="s">
        <v>142</v>
      </c>
      <c r="J143" s="642" t="s">
        <v>143</v>
      </c>
      <c r="K143" s="642" t="s">
        <v>144</v>
      </c>
      <c r="L143" s="643" t="s">
        <v>145</v>
      </c>
      <c r="M143" s="643" t="s">
        <v>142</v>
      </c>
      <c r="N143" s="439"/>
      <c r="O143" s="517"/>
      <c r="P143" s="517"/>
      <c r="Q143" s="517"/>
      <c r="R143" s="517"/>
      <c r="S143" s="517"/>
      <c r="BA143" s="439"/>
      <c r="BB143" s="439"/>
      <c r="BC143" s="439"/>
      <c r="BD143" s="439"/>
      <c r="BE143" s="439"/>
      <c r="BF143" s="439"/>
      <c r="BG143" s="439"/>
      <c r="BH143" s="439"/>
      <c r="BI143" s="439"/>
      <c r="BJ143" s="439"/>
      <c r="BK143" s="439"/>
      <c r="BL143" s="439"/>
      <c r="BM143" s="439"/>
      <c r="BN143" s="439"/>
      <c r="BO143" s="439"/>
      <c r="BP143" s="439"/>
      <c r="BQ143" s="439"/>
      <c r="BR143" s="439"/>
      <c r="BS143" s="439"/>
      <c r="BT143" s="439"/>
    </row>
    <row r="144" spans="1:72" s="429" customFormat="1" ht="15" customHeight="1" x14ac:dyDescent="0.25">
      <c r="A144" s="944" t="s">
        <v>19</v>
      </c>
      <c r="B144" s="945" t="s">
        <v>20</v>
      </c>
      <c r="C144" s="945" t="s">
        <v>21</v>
      </c>
      <c r="D144" s="945" t="s">
        <v>20</v>
      </c>
      <c r="E144" s="945" t="s">
        <v>22</v>
      </c>
      <c r="F144" s="944" t="s">
        <v>23</v>
      </c>
      <c r="G144" s="944" t="s">
        <v>23</v>
      </c>
      <c r="H144" s="946" t="s">
        <v>23</v>
      </c>
      <c r="I144" s="644" t="s">
        <v>19</v>
      </c>
      <c r="J144" s="644" t="s">
        <v>146</v>
      </c>
      <c r="K144" s="644" t="s">
        <v>147</v>
      </c>
      <c r="L144" s="645" t="s">
        <v>106</v>
      </c>
      <c r="M144" s="645" t="s">
        <v>148</v>
      </c>
      <c r="N144" s="439"/>
      <c r="O144" s="517"/>
      <c r="P144" s="517"/>
      <c r="Q144" s="517"/>
      <c r="R144" s="517"/>
      <c r="S144" s="517"/>
      <c r="BA144" s="439"/>
      <c r="BB144" s="439"/>
      <c r="BC144" s="439"/>
      <c r="BD144" s="439"/>
      <c r="BE144" s="439"/>
      <c r="BF144" s="439"/>
      <c r="BG144" s="439"/>
      <c r="BH144" s="439"/>
      <c r="BI144" s="439"/>
      <c r="BJ144" s="439"/>
      <c r="BK144" s="439"/>
      <c r="BL144" s="439"/>
      <c r="BM144" s="439"/>
      <c r="BN144" s="439"/>
      <c r="BO144" s="439"/>
      <c r="BP144" s="439"/>
      <c r="BQ144" s="439"/>
      <c r="BR144" s="439"/>
      <c r="BS144" s="439"/>
      <c r="BT144" s="439"/>
    </row>
    <row r="145" spans="1:72" s="429" customFormat="1" ht="15" customHeight="1" x14ac:dyDescent="0.2">
      <c r="A145" s="947" t="s">
        <v>24</v>
      </c>
      <c r="B145" s="937">
        <f>W4</f>
        <v>18.457000000000001</v>
      </c>
      <c r="C145" s="933">
        <f>X4</f>
        <v>236.41</v>
      </c>
      <c r="D145" s="938">
        <f>Z4</f>
        <v>0</v>
      </c>
      <c r="E145" s="933">
        <f>AA4</f>
        <v>0</v>
      </c>
      <c r="F145" s="948">
        <v>0</v>
      </c>
      <c r="G145" s="948">
        <v>0</v>
      </c>
      <c r="H145" s="949">
        <v>0</v>
      </c>
      <c r="I145" s="647" t="s">
        <v>149</v>
      </c>
      <c r="J145" s="647" t="s">
        <v>149</v>
      </c>
      <c r="K145" s="648" t="s">
        <v>149</v>
      </c>
      <c r="L145" s="648" t="s">
        <v>149</v>
      </c>
      <c r="M145" s="648" t="s">
        <v>149</v>
      </c>
      <c r="N145" s="439"/>
      <c r="O145" s="517"/>
      <c r="P145" s="517"/>
      <c r="Q145" s="517"/>
      <c r="R145" s="517"/>
      <c r="S145" s="517"/>
      <c r="T145" s="517"/>
      <c r="U145" s="488"/>
      <c r="V145" s="511"/>
      <c r="W145" s="511"/>
      <c r="X145" s="511"/>
      <c r="Y145" s="511"/>
      <c r="Z145" s="439"/>
      <c r="AA145" s="511"/>
      <c r="AB145" s="511"/>
      <c r="AC145" s="511"/>
      <c r="AD145" s="439"/>
      <c r="AE145" s="439"/>
      <c r="AF145" s="439"/>
      <c r="AG145" s="439"/>
      <c r="AH145" s="439"/>
      <c r="AI145" s="439"/>
      <c r="AJ145" s="439"/>
      <c r="AK145" s="439"/>
      <c r="AL145" s="439"/>
      <c r="AM145" s="439"/>
      <c r="BA145" s="439"/>
      <c r="BB145" s="439"/>
      <c r="BC145" s="439"/>
      <c r="BD145" s="439"/>
      <c r="BE145" s="439"/>
      <c r="BF145" s="439"/>
      <c r="BG145" s="439"/>
      <c r="BH145" s="439"/>
      <c r="BI145" s="439"/>
      <c r="BJ145" s="439"/>
      <c r="BK145" s="439"/>
      <c r="BL145" s="439"/>
      <c r="BM145" s="439"/>
      <c r="BN145" s="439"/>
      <c r="BO145" s="439"/>
      <c r="BP145" s="439"/>
      <c r="BQ145" s="439"/>
      <c r="BR145" s="439"/>
      <c r="BS145" s="439"/>
      <c r="BT145" s="439"/>
    </row>
    <row r="146" spans="1:72" s="429" customFormat="1" ht="15" customHeight="1" x14ac:dyDescent="0.25">
      <c r="A146" s="936">
        <v>201</v>
      </c>
      <c r="B146" s="937">
        <f>W5</f>
        <v>21.885999999999999</v>
      </c>
      <c r="C146" s="933">
        <f>X5</f>
        <v>281.88</v>
      </c>
      <c r="D146" s="938">
        <f t="shared" ref="D146:D159" si="39">Z6</f>
        <v>0</v>
      </c>
      <c r="E146" s="933">
        <f>AA5</f>
        <v>0</v>
      </c>
      <c r="F146" s="646">
        <f>'VRS. DEVIDOS E OUTROS'!$F$105</f>
        <v>462.74</v>
      </c>
      <c r="G146" s="933">
        <f t="shared" ref="G146:G159" si="40">ROUNDUP(H146,0)</f>
        <v>745</v>
      </c>
      <c r="H146" s="928">
        <f t="shared" ref="H146:H159" si="41">SUM(C146+E146+F146)</f>
        <v>744.62</v>
      </c>
      <c r="I146" s="649">
        <v>2593</v>
      </c>
      <c r="J146" s="493">
        <v>46125</v>
      </c>
      <c r="K146" s="650" t="s">
        <v>77</v>
      </c>
      <c r="L146" s="493">
        <v>46110</v>
      </c>
      <c r="M146" s="651" t="s">
        <v>86</v>
      </c>
      <c r="N146" s="652" t="s">
        <v>150</v>
      </c>
      <c r="O146" s="653">
        <v>65</v>
      </c>
      <c r="P146" s="654" t="s">
        <v>143</v>
      </c>
      <c r="Q146" s="655">
        <f>G146-O146</f>
        <v>680</v>
      </c>
      <c r="R146" s="656" t="s">
        <v>151</v>
      </c>
      <c r="S146" s="656"/>
      <c r="T146" s="656"/>
      <c r="U146" s="657" t="s">
        <v>58</v>
      </c>
      <c r="V146" s="658"/>
      <c r="W146" s="658"/>
      <c r="X146" s="658"/>
      <c r="Y146" s="658"/>
      <c r="Z146" s="658"/>
      <c r="AA146" s="659"/>
      <c r="AB146" s="511"/>
      <c r="AC146" s="511"/>
      <c r="AD146" s="439"/>
      <c r="AE146" s="439"/>
      <c r="AF146" s="439"/>
      <c r="AG146" s="439"/>
      <c r="AH146" s="439"/>
      <c r="AI146" s="439"/>
      <c r="AJ146" s="439"/>
      <c r="AK146" s="439"/>
      <c r="AL146" s="439"/>
      <c r="AM146" s="439"/>
      <c r="BA146" s="439"/>
      <c r="BB146" s="439"/>
      <c r="BC146" s="439"/>
      <c r="BD146" s="439"/>
      <c r="BE146" s="439"/>
      <c r="BF146" s="439"/>
      <c r="BG146" s="439"/>
      <c r="BH146" s="439"/>
      <c r="BI146" s="439"/>
      <c r="BJ146" s="439"/>
      <c r="BK146" s="439"/>
      <c r="BL146" s="439"/>
      <c r="BM146" s="439"/>
      <c r="BN146" s="439"/>
      <c r="BO146" s="439"/>
      <c r="BP146" s="439"/>
      <c r="BQ146" s="439"/>
      <c r="BR146" s="439"/>
      <c r="BS146" s="439"/>
      <c r="BT146" s="439"/>
    </row>
    <row r="147" spans="1:72" s="429" customFormat="1" ht="15" customHeight="1" x14ac:dyDescent="0.25">
      <c r="A147" s="936">
        <v>202</v>
      </c>
      <c r="B147" s="937">
        <f t="shared" ref="B147:B159" si="42">W7</f>
        <v>16.763000000000002</v>
      </c>
      <c r="C147" s="933">
        <f t="shared" ref="C147:C159" si="43">X7</f>
        <v>215.24</v>
      </c>
      <c r="D147" s="938">
        <f t="shared" si="39"/>
        <v>2.7410000000000001</v>
      </c>
      <c r="E147" s="933">
        <f t="shared" ref="E147:E159" si="44">AA7</f>
        <v>103.82</v>
      </c>
      <c r="F147" s="646">
        <f>'VRS. DEVIDOS E OUTROS'!$F$105</f>
        <v>462.74</v>
      </c>
      <c r="G147" s="933">
        <f t="shared" si="40"/>
        <v>782</v>
      </c>
      <c r="H147" s="928">
        <f t="shared" si="41"/>
        <v>781.8</v>
      </c>
      <c r="I147" s="649">
        <v>2594</v>
      </c>
      <c r="J147" s="493">
        <v>46115</v>
      </c>
      <c r="K147" s="650" t="s">
        <v>78</v>
      </c>
      <c r="L147" s="493">
        <v>46110</v>
      </c>
      <c r="M147" s="651" t="s">
        <v>86</v>
      </c>
      <c r="N147" s="660" t="s">
        <v>152</v>
      </c>
      <c r="O147" s="517"/>
      <c r="P147" s="517"/>
      <c r="Q147" s="517"/>
      <c r="R147" s="517"/>
      <c r="S147" s="517"/>
      <c r="T147" s="517"/>
      <c r="U147" s="439"/>
      <c r="V147" s="661"/>
      <c r="W147" s="661"/>
      <c r="X147" s="511"/>
      <c r="Y147" s="511"/>
      <c r="Z147" s="439"/>
      <c r="AA147" s="511"/>
      <c r="AB147" s="511"/>
      <c r="AC147" s="511"/>
      <c r="AD147" s="439"/>
      <c r="AE147" s="439"/>
      <c r="AF147" s="439"/>
      <c r="AG147" s="439"/>
      <c r="AH147" s="439"/>
      <c r="AI147" s="439"/>
      <c r="AJ147" s="439"/>
      <c r="AK147" s="439"/>
      <c r="AL147" s="439"/>
      <c r="AM147" s="439"/>
      <c r="BA147" s="439"/>
      <c r="BB147" s="439"/>
      <c r="BC147" s="439"/>
      <c r="BD147" s="439"/>
      <c r="BE147" s="439"/>
      <c r="BF147" s="439"/>
      <c r="BG147" s="439"/>
      <c r="BH147" s="439"/>
      <c r="BI147" s="439"/>
      <c r="BJ147" s="439"/>
      <c r="BK147" s="439"/>
      <c r="BL147" s="439"/>
      <c r="BM147" s="439"/>
      <c r="BN147" s="439"/>
      <c r="BO147" s="439"/>
      <c r="BP147" s="439"/>
      <c r="BQ147" s="439"/>
      <c r="BR147" s="439"/>
      <c r="BS147" s="439"/>
      <c r="BT147" s="439"/>
    </row>
    <row r="148" spans="1:72" s="429" customFormat="1" ht="15" customHeight="1" x14ac:dyDescent="0.25">
      <c r="A148" s="936">
        <v>301</v>
      </c>
      <c r="B148" s="937">
        <f t="shared" si="42"/>
        <v>19.759</v>
      </c>
      <c r="C148" s="933">
        <f t="shared" si="43"/>
        <v>253.65</v>
      </c>
      <c r="D148" s="938">
        <f t="shared" si="39"/>
        <v>4.0590000000000002</v>
      </c>
      <c r="E148" s="933">
        <f t="shared" si="44"/>
        <v>153.72999999999999</v>
      </c>
      <c r="F148" s="646">
        <f>'VRS. DEVIDOS E OUTROS'!$F$105</f>
        <v>462.74</v>
      </c>
      <c r="G148" s="933">
        <f t="shared" si="40"/>
        <v>871</v>
      </c>
      <c r="H148" s="928">
        <f t="shared" si="41"/>
        <v>870.12</v>
      </c>
      <c r="I148" s="649">
        <v>2595</v>
      </c>
      <c r="J148" s="493">
        <v>46125</v>
      </c>
      <c r="K148" s="650" t="s">
        <v>81</v>
      </c>
      <c r="L148" s="493">
        <v>46110</v>
      </c>
      <c r="M148" s="651" t="s">
        <v>86</v>
      </c>
      <c r="N148" s="683" t="s">
        <v>583</v>
      </c>
      <c r="O148" s="517"/>
      <c r="P148" s="517"/>
      <c r="Q148" s="517"/>
      <c r="R148" s="517"/>
      <c r="S148" s="517"/>
      <c r="T148" s="517"/>
      <c r="U148" s="439"/>
      <c r="V148" s="661"/>
      <c r="W148" s="661"/>
      <c r="X148" s="511"/>
      <c r="Y148" s="511"/>
      <c r="Z148" s="439"/>
      <c r="AA148" s="511"/>
      <c r="AB148" s="511"/>
      <c r="AC148" s="511"/>
      <c r="AD148" s="439"/>
      <c r="AE148" s="439"/>
      <c r="AF148" s="439"/>
      <c r="AG148" s="439"/>
      <c r="AH148" s="439"/>
      <c r="AI148" s="439"/>
      <c r="AJ148" s="439"/>
      <c r="AK148" s="439"/>
      <c r="AL148" s="439"/>
      <c r="AM148" s="439"/>
      <c r="BA148" s="439"/>
      <c r="BB148" s="439"/>
      <c r="BC148" s="439"/>
      <c r="BD148" s="439"/>
      <c r="BE148" s="439"/>
      <c r="BF148" s="439"/>
      <c r="BG148" s="439"/>
      <c r="BH148" s="439"/>
      <c r="BI148" s="439"/>
      <c r="BJ148" s="439"/>
      <c r="BK148" s="439"/>
      <c r="BL148" s="439"/>
      <c r="BM148" s="439"/>
      <c r="BN148" s="439"/>
      <c r="BO148" s="439"/>
      <c r="BP148" s="439"/>
      <c r="BQ148" s="439"/>
      <c r="BR148" s="439"/>
      <c r="BS148" s="439"/>
      <c r="BT148" s="439"/>
    </row>
    <row r="149" spans="1:72" s="429" customFormat="1" ht="15" customHeight="1" x14ac:dyDescent="0.25">
      <c r="A149" s="936">
        <v>302</v>
      </c>
      <c r="B149" s="937">
        <f t="shared" si="42"/>
        <v>19.988</v>
      </c>
      <c r="C149" s="933">
        <f t="shared" si="43"/>
        <v>256.58999999999997</v>
      </c>
      <c r="D149" s="938">
        <f t="shared" si="39"/>
        <v>2.4289999999999998</v>
      </c>
      <c r="E149" s="933">
        <f t="shared" si="44"/>
        <v>92</v>
      </c>
      <c r="F149" s="646">
        <f>'VRS. DEVIDOS E OUTROS'!$F$105</f>
        <v>462.74</v>
      </c>
      <c r="G149" s="933">
        <f t="shared" si="40"/>
        <v>812</v>
      </c>
      <c r="H149" s="928">
        <f t="shared" si="41"/>
        <v>811.32999999999993</v>
      </c>
      <c r="I149" s="649">
        <v>2596</v>
      </c>
      <c r="J149" s="493">
        <v>46125</v>
      </c>
      <c r="K149" s="650" t="s">
        <v>78</v>
      </c>
      <c r="L149" s="493">
        <v>46110</v>
      </c>
      <c r="M149" s="651" t="s">
        <v>86</v>
      </c>
      <c r="N149" s="439" t="s">
        <v>153</v>
      </c>
      <c r="O149" s="517"/>
      <c r="P149" s="517"/>
      <c r="Q149" s="517"/>
      <c r="R149" s="517"/>
      <c r="S149" s="517"/>
      <c r="T149" s="517"/>
      <c r="U149" s="662" t="s">
        <v>154</v>
      </c>
      <c r="V149" s="663"/>
      <c r="W149" s="663"/>
      <c r="X149" s="663"/>
      <c r="Y149" s="663"/>
      <c r="Z149" s="663"/>
      <c r="AA149" s="664"/>
      <c r="AB149" s="511"/>
      <c r="AC149" s="511"/>
      <c r="AD149" s="439"/>
      <c r="AE149" s="439"/>
      <c r="AF149" s="439"/>
      <c r="AG149" s="439"/>
      <c r="AH149" s="439"/>
      <c r="AI149" s="439"/>
      <c r="AJ149" s="439"/>
      <c r="AK149" s="439"/>
      <c r="AL149" s="439"/>
      <c r="AM149" s="439"/>
      <c r="BA149" s="439"/>
      <c r="BB149" s="439"/>
      <c r="BC149" s="439"/>
      <c r="BD149" s="439"/>
      <c r="BE149" s="439"/>
      <c r="BF149" s="439"/>
      <c r="BG149" s="439"/>
      <c r="BH149" s="439"/>
      <c r="BI149" s="439"/>
      <c r="BJ149" s="439"/>
      <c r="BK149" s="439"/>
      <c r="BL149" s="439"/>
      <c r="BM149" s="439"/>
      <c r="BN149" s="439"/>
      <c r="BO149" s="439"/>
      <c r="BP149" s="439"/>
      <c r="BQ149" s="439"/>
      <c r="BR149" s="439"/>
      <c r="BS149" s="439"/>
      <c r="BT149" s="439"/>
    </row>
    <row r="150" spans="1:72" s="429" customFormat="1" ht="15.75" x14ac:dyDescent="0.25">
      <c r="A150" s="936">
        <v>401</v>
      </c>
      <c r="B150" s="937">
        <f t="shared" si="42"/>
        <v>25.559000000000001</v>
      </c>
      <c r="C150" s="933">
        <f t="shared" si="43"/>
        <v>329.05</v>
      </c>
      <c r="D150" s="938">
        <f t="shared" si="39"/>
        <v>1.4139999999999999</v>
      </c>
      <c r="E150" s="933">
        <f t="shared" si="44"/>
        <v>53.56</v>
      </c>
      <c r="F150" s="646">
        <f>'VRS. DEVIDOS E OUTROS'!$F$105</f>
        <v>462.74</v>
      </c>
      <c r="G150" s="933">
        <f t="shared" si="40"/>
        <v>846</v>
      </c>
      <c r="H150" s="928">
        <f t="shared" si="41"/>
        <v>845.35</v>
      </c>
      <c r="I150" s="649">
        <v>2597</v>
      </c>
      <c r="J150" s="493">
        <v>46121</v>
      </c>
      <c r="K150" s="650" t="s">
        <v>79</v>
      </c>
      <c r="L150" s="493">
        <v>46110</v>
      </c>
      <c r="M150" s="651" t="s">
        <v>86</v>
      </c>
      <c r="N150" s="1007" t="s">
        <v>581</v>
      </c>
      <c r="O150" s="517"/>
      <c r="P150" s="517"/>
      <c r="Q150" s="517"/>
      <c r="R150" s="517"/>
      <c r="S150" s="517"/>
      <c r="T150" s="517"/>
      <c r="U150" s="665" t="s">
        <v>155</v>
      </c>
      <c r="V150" s="666"/>
      <c r="W150" s="666"/>
      <c r="X150" s="666"/>
      <c r="Y150" s="666"/>
      <c r="Z150" s="666"/>
      <c r="AA150" s="667"/>
      <c r="AB150" s="511"/>
      <c r="AC150" s="511"/>
      <c r="AD150" s="439"/>
      <c r="AE150" s="439"/>
      <c r="AF150" s="439"/>
      <c r="AG150" s="439"/>
      <c r="AH150" s="439"/>
      <c r="AI150" s="439"/>
      <c r="AJ150" s="439"/>
      <c r="AK150" s="439"/>
      <c r="AL150" s="439"/>
      <c r="AM150" s="439"/>
      <c r="BA150" s="439"/>
      <c r="BB150" s="439"/>
      <c r="BC150" s="439"/>
      <c r="BD150" s="439"/>
      <c r="BE150" s="439"/>
      <c r="BF150" s="439"/>
      <c r="BG150" s="439"/>
      <c r="BH150" s="439"/>
      <c r="BI150" s="439"/>
      <c r="BJ150" s="439"/>
      <c r="BK150" s="439"/>
      <c r="BL150" s="439"/>
      <c r="BM150" s="439"/>
      <c r="BN150" s="439"/>
      <c r="BO150" s="439"/>
      <c r="BP150" s="439"/>
      <c r="BQ150" s="439"/>
      <c r="BR150" s="439"/>
      <c r="BS150" s="439"/>
      <c r="BT150" s="439"/>
    </row>
    <row r="151" spans="1:72" s="429" customFormat="1" ht="15.75" x14ac:dyDescent="0.25">
      <c r="A151" s="936">
        <v>402</v>
      </c>
      <c r="B151" s="937">
        <f t="shared" si="42"/>
        <v>23.777000000000001</v>
      </c>
      <c r="C151" s="933">
        <f t="shared" si="43"/>
        <v>305.87</v>
      </c>
      <c r="D151" s="938">
        <f t="shared" si="39"/>
        <v>4.82</v>
      </c>
      <c r="E151" s="933">
        <f t="shared" si="44"/>
        <v>182.56</v>
      </c>
      <c r="F151" s="646">
        <f>'VRS. DEVIDOS E OUTROS'!$F$105</f>
        <v>462.74</v>
      </c>
      <c r="G151" s="933">
        <f t="shared" si="40"/>
        <v>952</v>
      </c>
      <c r="H151" s="928">
        <f t="shared" si="41"/>
        <v>951.17000000000007</v>
      </c>
      <c r="I151" s="649">
        <v>2598</v>
      </c>
      <c r="J151" s="493">
        <v>46114</v>
      </c>
      <c r="K151" s="650" t="s">
        <v>81</v>
      </c>
      <c r="L151" s="493">
        <v>46110</v>
      </c>
      <c r="M151" s="651" t="s">
        <v>86</v>
      </c>
      <c r="N151" s="439"/>
      <c r="O151" s="517"/>
      <c r="P151" s="517"/>
      <c r="Q151" s="517"/>
      <c r="R151" s="517"/>
      <c r="S151" s="517"/>
      <c r="T151" s="517"/>
      <c r="U151" s="439"/>
      <c r="V151" s="661"/>
      <c r="W151" s="661"/>
      <c r="X151" s="511"/>
      <c r="Y151" s="511"/>
      <c r="Z151" s="439"/>
      <c r="AA151" s="511"/>
      <c r="AB151" s="511"/>
      <c r="AC151" s="511"/>
      <c r="AD151" s="439"/>
      <c r="AE151" s="439"/>
      <c r="AF151" s="439"/>
      <c r="AG151" s="439"/>
      <c r="AH151" s="439"/>
      <c r="AI151" s="439"/>
      <c r="AJ151" s="439"/>
      <c r="AK151" s="439"/>
      <c r="AL151" s="439"/>
      <c r="AM151" s="439"/>
      <c r="BA151" s="439"/>
      <c r="BB151" s="439"/>
      <c r="BC151" s="439"/>
      <c r="BD151" s="439"/>
      <c r="BE151" s="439"/>
      <c r="BF151" s="439"/>
      <c r="BG151" s="439"/>
      <c r="BH151" s="439"/>
      <c r="BI151" s="439"/>
      <c r="BJ151" s="439"/>
      <c r="BK151" s="439"/>
      <c r="BL151" s="439"/>
      <c r="BM151" s="439"/>
      <c r="BN151" s="439"/>
      <c r="BO151" s="439"/>
      <c r="BP151" s="439"/>
      <c r="BQ151" s="439"/>
      <c r="BR151" s="439"/>
      <c r="BS151" s="439"/>
      <c r="BT151" s="439"/>
    </row>
    <row r="152" spans="1:72" s="429" customFormat="1" ht="15.75" x14ac:dyDescent="0.25">
      <c r="A152" s="936">
        <v>501</v>
      </c>
      <c r="B152" s="937">
        <f t="shared" si="42"/>
        <v>25.420999999999999</v>
      </c>
      <c r="C152" s="933">
        <f t="shared" si="43"/>
        <v>326.77999999999997</v>
      </c>
      <c r="D152" s="938">
        <f t="shared" si="39"/>
        <v>1.2130000000000001</v>
      </c>
      <c r="E152" s="933">
        <f t="shared" si="44"/>
        <v>45.94</v>
      </c>
      <c r="F152" s="646">
        <f>'VRS. DEVIDOS E OUTROS'!$F$105</f>
        <v>462.74</v>
      </c>
      <c r="G152" s="933">
        <f t="shared" si="40"/>
        <v>836</v>
      </c>
      <c r="H152" s="928">
        <f t="shared" si="41"/>
        <v>835.46</v>
      </c>
      <c r="I152" s="649">
        <v>2599</v>
      </c>
      <c r="J152" s="493">
        <v>46113</v>
      </c>
      <c r="K152" s="650" t="s">
        <v>79</v>
      </c>
      <c r="L152" s="493">
        <v>46110</v>
      </c>
      <c r="M152" s="651" t="s">
        <v>86</v>
      </c>
      <c r="N152" s="439" t="s">
        <v>156</v>
      </c>
      <c r="O152" s="517"/>
      <c r="P152" s="668"/>
      <c r="Q152" s="668"/>
      <c r="R152" s="668"/>
      <c r="S152" s="668"/>
      <c r="T152" s="668"/>
      <c r="U152" s="669"/>
      <c r="V152" s="661"/>
      <c r="W152" s="661"/>
      <c r="X152" s="511"/>
      <c r="Y152" s="511"/>
      <c r="Z152" s="439"/>
      <c r="AA152" s="662" t="s">
        <v>157</v>
      </c>
      <c r="AB152" s="663"/>
      <c r="AC152" s="663"/>
      <c r="AD152" s="663"/>
      <c r="AE152" s="663"/>
      <c r="AF152" s="663"/>
      <c r="AG152" s="664"/>
      <c r="AH152" s="439"/>
      <c r="AI152" s="439"/>
      <c r="AJ152" s="439"/>
      <c r="AK152" s="439"/>
      <c r="AL152" s="439"/>
      <c r="AM152" s="439"/>
      <c r="BA152" s="439"/>
      <c r="BB152" s="439"/>
      <c r="BC152" s="439"/>
      <c r="BD152" s="439"/>
      <c r="BE152" s="439"/>
      <c r="BF152" s="439"/>
      <c r="BG152" s="439"/>
      <c r="BH152" s="439"/>
      <c r="BI152" s="439"/>
      <c r="BJ152" s="439"/>
      <c r="BK152" s="439"/>
      <c r="BL152" s="439"/>
      <c r="BM152" s="439"/>
      <c r="BN152" s="439"/>
      <c r="BO152" s="439"/>
      <c r="BP152" s="439"/>
      <c r="BQ152" s="439"/>
      <c r="BR152" s="439"/>
      <c r="BS152" s="439"/>
      <c r="BT152" s="439"/>
    </row>
    <row r="153" spans="1:72" s="429" customFormat="1" ht="15.75" x14ac:dyDescent="0.25">
      <c r="A153" s="936">
        <v>502</v>
      </c>
      <c r="B153" s="937">
        <f t="shared" si="42"/>
        <v>13.441000000000001</v>
      </c>
      <c r="C153" s="933">
        <f t="shared" si="43"/>
        <v>173.17</v>
      </c>
      <c r="D153" s="938">
        <f t="shared" si="39"/>
        <v>1.0289999999999999</v>
      </c>
      <c r="E153" s="933">
        <f t="shared" si="44"/>
        <v>38.97</v>
      </c>
      <c r="F153" s="646">
        <f>'VRS. DEVIDOS E OUTROS'!$F$105</f>
        <v>462.74</v>
      </c>
      <c r="G153" s="933">
        <f t="shared" si="40"/>
        <v>675</v>
      </c>
      <c r="H153" s="928">
        <f t="shared" si="41"/>
        <v>674.88</v>
      </c>
      <c r="I153" s="649">
        <v>2600</v>
      </c>
      <c r="J153" s="493">
        <v>46122</v>
      </c>
      <c r="K153" s="650" t="s">
        <v>79</v>
      </c>
      <c r="L153" s="493">
        <v>46110</v>
      </c>
      <c r="M153" s="651" t="s">
        <v>86</v>
      </c>
      <c r="N153" s="439"/>
      <c r="O153" s="517"/>
      <c r="P153" s="517"/>
      <c r="Q153" s="517"/>
      <c r="R153" s="517"/>
      <c r="S153" s="517"/>
      <c r="T153" s="517"/>
      <c r="U153" s="439"/>
      <c r="V153" s="661"/>
      <c r="W153" s="661"/>
      <c r="X153" s="511"/>
      <c r="Y153" s="511"/>
      <c r="Z153" s="439"/>
      <c r="AA153" s="670" t="s">
        <v>158</v>
      </c>
      <c r="AB153" s="671"/>
      <c r="AC153" s="671"/>
      <c r="AD153" s="671"/>
      <c r="AE153" s="671"/>
      <c r="AF153" s="671"/>
      <c r="AG153" s="672"/>
      <c r="AH153" s="439"/>
      <c r="AI153" s="439"/>
      <c r="AJ153" s="439"/>
      <c r="AK153" s="439"/>
      <c r="AL153" s="439"/>
      <c r="AM153" s="439"/>
      <c r="BA153" s="439"/>
      <c r="BB153" s="439"/>
      <c r="BC153" s="439"/>
      <c r="BD153" s="439"/>
      <c r="BE153" s="439"/>
      <c r="BF153" s="439"/>
      <c r="BG153" s="439"/>
      <c r="BH153" s="439"/>
      <c r="BI153" s="439"/>
      <c r="BJ153" s="439"/>
      <c r="BK153" s="439"/>
      <c r="BL153" s="439"/>
      <c r="BM153" s="439"/>
      <c r="BN153" s="439"/>
      <c r="BO153" s="439"/>
      <c r="BP153" s="439"/>
      <c r="BQ153" s="439"/>
      <c r="BR153" s="439"/>
      <c r="BS153" s="439"/>
      <c r="BT153" s="439"/>
    </row>
    <row r="154" spans="1:72" s="429" customFormat="1" ht="15.75" x14ac:dyDescent="0.25">
      <c r="A154" s="936">
        <v>601</v>
      </c>
      <c r="B154" s="937">
        <f t="shared" si="42"/>
        <v>3.9790000000000001</v>
      </c>
      <c r="C154" s="933">
        <f t="shared" si="43"/>
        <v>50.68</v>
      </c>
      <c r="D154" s="938">
        <f t="shared" si="39"/>
        <v>0.58199999999999996</v>
      </c>
      <c r="E154" s="933">
        <f t="shared" si="44"/>
        <v>22.04</v>
      </c>
      <c r="F154" s="646">
        <f>'VRS. DEVIDOS E OUTROS'!$F$105</f>
        <v>462.74</v>
      </c>
      <c r="G154" s="933">
        <f t="shared" si="40"/>
        <v>536</v>
      </c>
      <c r="H154" s="928">
        <f t="shared" si="41"/>
        <v>535.46</v>
      </c>
      <c r="I154" s="649">
        <v>2601</v>
      </c>
      <c r="J154" s="493">
        <v>46123</v>
      </c>
      <c r="K154" s="650" t="s">
        <v>82</v>
      </c>
      <c r="L154" s="493">
        <v>46110</v>
      </c>
      <c r="M154" s="651" t="s">
        <v>86</v>
      </c>
      <c r="N154" s="652" t="s">
        <v>159</v>
      </c>
      <c r="O154" s="673"/>
      <c r="P154" s="674">
        <f>H160</f>
        <v>150</v>
      </c>
      <c r="Q154" s="654" t="s">
        <v>160</v>
      </c>
      <c r="R154" s="655">
        <f>G154-P154</f>
        <v>386</v>
      </c>
      <c r="S154" s="439"/>
      <c r="T154" s="675">
        <f>H160</f>
        <v>150</v>
      </c>
      <c r="U154" s="676">
        <f>J160</f>
        <v>46122</v>
      </c>
      <c r="V154" s="650" t="str">
        <f>K160</f>
        <v>PIX BB</v>
      </c>
      <c r="W154" s="677" t="s">
        <v>161</v>
      </c>
      <c r="X154" s="678"/>
      <c r="Y154" s="679" t="s">
        <v>162</v>
      </c>
      <c r="Z154" s="439"/>
      <c r="AA154" s="665" t="s">
        <v>163</v>
      </c>
      <c r="AB154" s="666"/>
      <c r="AC154" s="666"/>
      <c r="AD154" s="666"/>
      <c r="AE154" s="666"/>
      <c r="AF154" s="666"/>
      <c r="AG154" s="667"/>
      <c r="AH154" s="439"/>
      <c r="AI154" s="439"/>
      <c r="AJ154" s="439"/>
      <c r="AK154" s="439"/>
      <c r="AL154" s="439"/>
      <c r="AM154" s="439"/>
      <c r="BA154" s="439"/>
      <c r="BB154" s="439"/>
      <c r="BC154" s="439"/>
      <c r="BD154" s="439"/>
      <c r="BE154" s="439"/>
      <c r="BF154" s="439"/>
      <c r="BG154" s="439"/>
      <c r="BH154" s="439"/>
      <c r="BI154" s="439"/>
      <c r="BJ154" s="439"/>
      <c r="BK154" s="439"/>
      <c r="BL154" s="439"/>
      <c r="BM154" s="439"/>
      <c r="BN154" s="439"/>
      <c r="BO154" s="439"/>
      <c r="BP154" s="439"/>
      <c r="BQ154" s="439"/>
      <c r="BR154" s="439"/>
      <c r="BS154" s="439"/>
      <c r="BT154" s="439"/>
    </row>
    <row r="155" spans="1:72" s="429" customFormat="1" ht="15.75" x14ac:dyDescent="0.25">
      <c r="A155" s="936">
        <v>602</v>
      </c>
      <c r="B155" s="937">
        <f t="shared" si="42"/>
        <v>0.68200000000000005</v>
      </c>
      <c r="C155" s="933">
        <f t="shared" si="43"/>
        <v>8.7899999999999991</v>
      </c>
      <c r="D155" s="938">
        <f t="shared" si="39"/>
        <v>0.13</v>
      </c>
      <c r="E155" s="933">
        <f t="shared" si="44"/>
        <v>4.92</v>
      </c>
      <c r="F155" s="646">
        <f>'VRS. DEVIDOS E OUTROS'!$F$105</f>
        <v>462.74</v>
      </c>
      <c r="G155" s="933">
        <f t="shared" si="40"/>
        <v>477</v>
      </c>
      <c r="H155" s="928">
        <f t="shared" si="41"/>
        <v>476.45</v>
      </c>
      <c r="I155" s="649">
        <v>2602</v>
      </c>
      <c r="J155" s="493">
        <v>46121</v>
      </c>
      <c r="K155" s="650" t="s">
        <v>80</v>
      </c>
      <c r="L155" s="493">
        <v>46110</v>
      </c>
      <c r="M155" s="651" t="s">
        <v>86</v>
      </c>
      <c r="N155" s="439"/>
      <c r="O155" s="517"/>
      <c r="P155" s="517"/>
      <c r="Q155" s="517"/>
      <c r="R155" s="517"/>
      <c r="S155" s="517"/>
      <c r="T155" s="662" t="s">
        <v>399</v>
      </c>
      <c r="U155" s="663"/>
      <c r="V155" s="663"/>
      <c r="W155" s="663"/>
      <c r="X155" s="663"/>
      <c r="Y155" s="680">
        <f>H160</f>
        <v>150</v>
      </c>
      <c r="Z155" s="664"/>
      <c r="AA155" s="511"/>
      <c r="AB155" s="511"/>
      <c r="AC155" s="511"/>
      <c r="AD155" s="439"/>
      <c r="AE155" s="439"/>
      <c r="AF155" s="439"/>
      <c r="AG155" s="439"/>
      <c r="AH155" s="439"/>
      <c r="AI155" s="439"/>
      <c r="AJ155" s="439"/>
      <c r="AK155" s="439"/>
      <c r="AL155" s="439"/>
      <c r="AM155" s="439"/>
      <c r="BA155" s="439"/>
      <c r="BB155" s="439"/>
      <c r="BC155" s="439"/>
      <c r="BD155" s="439"/>
      <c r="BE155" s="439"/>
      <c r="BF155" s="439"/>
      <c r="BG155" s="439"/>
      <c r="BH155" s="439"/>
      <c r="BI155" s="439"/>
      <c r="BJ155" s="439"/>
      <c r="BK155" s="439"/>
      <c r="BL155" s="439"/>
      <c r="BM155" s="439"/>
      <c r="BN155" s="439"/>
      <c r="BO155" s="439"/>
      <c r="BP155" s="439"/>
      <c r="BQ155" s="439"/>
      <c r="BR155" s="439"/>
      <c r="BS155" s="439"/>
      <c r="BT155" s="439"/>
    </row>
    <row r="156" spans="1:72" s="429" customFormat="1" ht="15.75" x14ac:dyDescent="0.25">
      <c r="A156" s="936">
        <v>701</v>
      </c>
      <c r="B156" s="937">
        <f t="shared" si="42"/>
        <v>13.458</v>
      </c>
      <c r="C156" s="933">
        <f t="shared" si="43"/>
        <v>173.29</v>
      </c>
      <c r="D156" s="938">
        <f t="shared" si="39"/>
        <v>0.78500000000000003</v>
      </c>
      <c r="E156" s="933">
        <f t="shared" si="44"/>
        <v>29.73</v>
      </c>
      <c r="F156" s="646">
        <f>'VRS. DEVIDOS E OUTROS'!$F$105</f>
        <v>462.74</v>
      </c>
      <c r="G156" s="933">
        <f t="shared" si="40"/>
        <v>666</v>
      </c>
      <c r="H156" s="928">
        <f t="shared" si="41"/>
        <v>665.76</v>
      </c>
      <c r="I156" s="649">
        <v>2603</v>
      </c>
      <c r="J156" s="493">
        <v>46122</v>
      </c>
      <c r="K156" s="650" t="s">
        <v>83</v>
      </c>
      <c r="L156" s="493">
        <v>46110</v>
      </c>
      <c r="M156" s="651" t="s">
        <v>86</v>
      </c>
      <c r="N156" s="439" t="s">
        <v>164</v>
      </c>
      <c r="O156" s="681"/>
      <c r="P156" s="681"/>
      <c r="Q156" s="681"/>
      <c r="R156" s="681"/>
      <c r="S156" s="517"/>
      <c r="T156" s="665" t="s">
        <v>400</v>
      </c>
      <c r="U156" s="666"/>
      <c r="V156" s="666"/>
      <c r="W156" s="666"/>
      <c r="X156" s="682">
        <f>R154</f>
        <v>386</v>
      </c>
      <c r="Y156" s="666"/>
      <c r="Z156" s="667"/>
      <c r="AA156" s="511"/>
      <c r="AB156" s="511"/>
      <c r="AC156" s="511"/>
      <c r="AD156" s="439"/>
      <c r="AE156" s="439"/>
      <c r="AF156" s="439"/>
      <c r="AG156" s="439"/>
      <c r="AH156" s="439"/>
      <c r="AI156" s="439"/>
      <c r="AJ156" s="439"/>
      <c r="AK156" s="439"/>
      <c r="AL156" s="439"/>
      <c r="AM156" s="439"/>
      <c r="BA156" s="439"/>
      <c r="BB156" s="439"/>
      <c r="BC156" s="439"/>
      <c r="BD156" s="439"/>
      <c r="BE156" s="439"/>
      <c r="BF156" s="439"/>
      <c r="BG156" s="439"/>
      <c r="BH156" s="439"/>
      <c r="BI156" s="439"/>
      <c r="BJ156" s="439"/>
      <c r="BK156" s="439"/>
      <c r="BL156" s="439"/>
      <c r="BM156" s="439"/>
      <c r="BN156" s="439"/>
      <c r="BO156" s="439"/>
      <c r="BP156" s="439"/>
      <c r="BQ156" s="439"/>
      <c r="BR156" s="439"/>
      <c r="BS156" s="439"/>
      <c r="BT156" s="439"/>
    </row>
    <row r="157" spans="1:72" s="429" customFormat="1" ht="15.75" x14ac:dyDescent="0.25">
      <c r="A157" s="936">
        <v>702</v>
      </c>
      <c r="B157" s="937">
        <f t="shared" si="42"/>
        <v>7.19</v>
      </c>
      <c r="C157" s="933">
        <f t="shared" si="43"/>
        <v>91.93</v>
      </c>
      <c r="D157" s="938">
        <f t="shared" si="39"/>
        <v>3.7610000000000001</v>
      </c>
      <c r="E157" s="933">
        <f t="shared" si="44"/>
        <v>142.44999999999999</v>
      </c>
      <c r="F157" s="646">
        <f>'VRS. DEVIDOS E OUTROS'!$F$105</f>
        <v>462.74</v>
      </c>
      <c r="G157" s="933">
        <f t="shared" si="40"/>
        <v>698</v>
      </c>
      <c r="H157" s="928">
        <f t="shared" si="41"/>
        <v>697.12</v>
      </c>
      <c r="I157" s="649">
        <v>2604</v>
      </c>
      <c r="J157" s="493">
        <v>46121</v>
      </c>
      <c r="K157" s="650" t="s">
        <v>78</v>
      </c>
      <c r="L157" s="493">
        <v>46110</v>
      </c>
      <c r="M157" s="651" t="s">
        <v>86</v>
      </c>
      <c r="N157" s="683" t="s">
        <v>582</v>
      </c>
      <c r="O157" s="517"/>
      <c r="P157" s="517"/>
      <c r="Q157" s="439"/>
      <c r="R157" s="439"/>
      <c r="S157" s="517"/>
      <c r="T157" s="517"/>
      <c r="U157" s="439"/>
      <c r="V157" s="661"/>
      <c r="W157" s="661"/>
      <c r="X157" s="511"/>
      <c r="Y157" s="511"/>
      <c r="Z157" s="439"/>
      <c r="AA157" s="511"/>
      <c r="AB157" s="511"/>
      <c r="AC157" s="511"/>
      <c r="AD157" s="439"/>
      <c r="AE157" s="439"/>
      <c r="AF157" s="439"/>
      <c r="AG157" s="439"/>
      <c r="AH157" s="439"/>
      <c r="AI157" s="439"/>
      <c r="AJ157" s="439"/>
      <c r="AK157" s="439"/>
      <c r="AL157" s="439"/>
      <c r="AM157" s="439"/>
      <c r="BA157" s="439"/>
      <c r="BB157" s="439"/>
      <c r="BC157" s="439"/>
      <c r="BD157" s="439"/>
      <c r="BE157" s="439"/>
      <c r="BF157" s="439"/>
      <c r="BG157" s="439"/>
      <c r="BH157" s="439"/>
      <c r="BI157" s="439"/>
      <c r="BJ157" s="439"/>
      <c r="BK157" s="439"/>
      <c r="BL157" s="439"/>
      <c r="BM157" s="439"/>
      <c r="BN157" s="439"/>
      <c r="BO157" s="439"/>
      <c r="BP157" s="439"/>
      <c r="BQ157" s="439"/>
      <c r="BR157" s="439"/>
      <c r="BS157" s="439"/>
      <c r="BT157" s="439"/>
    </row>
    <row r="158" spans="1:72" s="429" customFormat="1" ht="15.75" x14ac:dyDescent="0.25">
      <c r="A158" s="936">
        <v>801</v>
      </c>
      <c r="B158" s="937">
        <f t="shared" si="42"/>
        <v>4.5309999999999997</v>
      </c>
      <c r="C158" s="933">
        <f t="shared" si="43"/>
        <v>58.51</v>
      </c>
      <c r="D158" s="938">
        <f t="shared" si="39"/>
        <v>0.42299999999999999</v>
      </c>
      <c r="E158" s="933">
        <f t="shared" si="44"/>
        <v>16.02</v>
      </c>
      <c r="F158" s="646">
        <f>'VRS. DEVIDOS E OUTROS'!$F$105</f>
        <v>462.74</v>
      </c>
      <c r="G158" s="933">
        <f t="shared" si="40"/>
        <v>538</v>
      </c>
      <c r="H158" s="928">
        <f t="shared" si="41"/>
        <v>537.27</v>
      </c>
      <c r="I158" s="649">
        <v>2605</v>
      </c>
      <c r="J158" s="493">
        <v>45994</v>
      </c>
      <c r="K158" s="650" t="s">
        <v>79</v>
      </c>
      <c r="L158" s="493">
        <v>46110</v>
      </c>
      <c r="M158" s="651" t="s">
        <v>86</v>
      </c>
      <c r="N158" s="684" t="s">
        <v>64</v>
      </c>
      <c r="O158" s="685">
        <f>'VRS. DEVIDOS E OUTROS'!G122</f>
        <v>1065</v>
      </c>
      <c r="P158" s="684" t="s">
        <v>165</v>
      </c>
      <c r="Q158" s="686">
        <f>G158*-1</f>
        <v>-538</v>
      </c>
      <c r="R158" s="687" t="s">
        <v>66</v>
      </c>
      <c r="S158" s="688"/>
      <c r="T158" s="689">
        <f>O158+Q158</f>
        <v>527</v>
      </c>
      <c r="U158" s="687" t="s">
        <v>67</v>
      </c>
      <c r="V158" s="689"/>
      <c r="W158" s="690" t="s">
        <v>68</v>
      </c>
      <c r="X158" s="689">
        <f>T158+V158</f>
        <v>527</v>
      </c>
      <c r="Y158" s="511"/>
      <c r="Z158" s="439"/>
      <c r="AA158" s="511"/>
      <c r="AB158" s="511"/>
      <c r="AC158" s="511"/>
      <c r="AD158" s="439"/>
      <c r="AE158" s="439"/>
      <c r="AF158" s="439"/>
      <c r="AG158" s="439"/>
      <c r="AH158" s="439"/>
      <c r="AI158" s="439"/>
      <c r="AJ158" s="439"/>
      <c r="AK158" s="439"/>
      <c r="AL158" s="439"/>
      <c r="AM158" s="439"/>
      <c r="BA158" s="439"/>
      <c r="BB158" s="439"/>
      <c r="BC158" s="439"/>
      <c r="BD158" s="439"/>
      <c r="BE158" s="439"/>
      <c r="BF158" s="439"/>
      <c r="BG158" s="439"/>
      <c r="BH158" s="439"/>
      <c r="BI158" s="439"/>
      <c r="BJ158" s="439"/>
      <c r="BK158" s="439"/>
      <c r="BL158" s="439"/>
      <c r="BM158" s="439"/>
      <c r="BN158" s="439"/>
      <c r="BO158" s="439"/>
      <c r="BP158" s="439"/>
      <c r="BQ158" s="439"/>
      <c r="BR158" s="439"/>
      <c r="BS158" s="439"/>
      <c r="BT158" s="439"/>
    </row>
    <row r="159" spans="1:72" s="429" customFormat="1" ht="15.75" x14ac:dyDescent="0.25">
      <c r="A159" s="936">
        <v>802</v>
      </c>
      <c r="B159" s="937">
        <f t="shared" si="42"/>
        <v>14.109</v>
      </c>
      <c r="C159" s="933">
        <f t="shared" si="43"/>
        <v>181.86</v>
      </c>
      <c r="D159" s="938">
        <f t="shared" si="39"/>
        <v>2.44</v>
      </c>
      <c r="E159" s="933">
        <f t="shared" si="44"/>
        <v>92.42</v>
      </c>
      <c r="F159" s="646">
        <f>'VRS. DEVIDOS E OUTROS'!$F$105</f>
        <v>462.74</v>
      </c>
      <c r="G159" s="934">
        <f t="shared" si="40"/>
        <v>738</v>
      </c>
      <c r="H159" s="935">
        <f t="shared" si="41"/>
        <v>737.02</v>
      </c>
      <c r="I159" s="649">
        <v>2606</v>
      </c>
      <c r="J159" s="493">
        <v>46122</v>
      </c>
      <c r="K159" s="650" t="s">
        <v>78</v>
      </c>
      <c r="L159" s="493">
        <v>46110</v>
      </c>
      <c r="M159" s="651" t="s">
        <v>86</v>
      </c>
      <c r="N159" s="511" t="s">
        <v>495</v>
      </c>
      <c r="O159" s="691"/>
      <c r="P159" s="691"/>
      <c r="Q159" s="691"/>
      <c r="R159" s="691"/>
      <c r="S159" s="691"/>
      <c r="T159" s="691"/>
      <c r="U159" s="439"/>
      <c r="V159" s="661"/>
      <c r="W159" s="661"/>
      <c r="X159" s="511"/>
      <c r="Y159" s="511"/>
      <c r="Z159" s="439"/>
      <c r="AA159" s="511"/>
      <c r="AB159" s="511"/>
      <c r="AC159" s="511"/>
      <c r="AD159" s="439"/>
      <c r="AE159" s="439"/>
      <c r="AF159" s="439"/>
      <c r="AG159" s="439"/>
      <c r="AH159" s="439"/>
      <c r="AI159" s="439"/>
      <c r="AJ159" s="439"/>
      <c r="AK159" s="439"/>
      <c r="AL159" s="439"/>
      <c r="AM159" s="439"/>
      <c r="AN159" s="439"/>
      <c r="AV159" s="439"/>
      <c r="AW159" s="439"/>
      <c r="AX159" s="439"/>
      <c r="AY159" s="439"/>
      <c r="AZ159" s="439"/>
      <c r="BA159" s="439"/>
      <c r="BB159" s="439"/>
      <c r="BC159" s="439"/>
      <c r="BD159" s="439"/>
      <c r="BE159" s="439"/>
      <c r="BF159" s="439"/>
      <c r="BG159" s="439"/>
      <c r="BH159" s="439"/>
      <c r="BI159" s="439"/>
      <c r="BJ159" s="439"/>
      <c r="BK159" s="439"/>
      <c r="BL159" s="439"/>
      <c r="BM159" s="439"/>
      <c r="BN159" s="439"/>
      <c r="BO159" s="439"/>
      <c r="BP159" s="439"/>
      <c r="BQ159" s="439"/>
      <c r="BR159" s="439"/>
      <c r="BS159" s="439"/>
      <c r="BT159" s="439"/>
    </row>
    <row r="160" spans="1:72" s="429" customFormat="1" ht="15.75" x14ac:dyDescent="0.25">
      <c r="A160" s="926">
        <v>601</v>
      </c>
      <c r="B160" s="927"/>
      <c r="C160" s="136"/>
      <c r="D160" s="137"/>
      <c r="E160" s="136"/>
      <c r="F160" s="136"/>
      <c r="G160" s="136">
        <f>'VRS. DEVIDOS E OUTROS'!F91</f>
        <v>150</v>
      </c>
      <c r="H160" s="928">
        <f>G160</f>
        <v>150</v>
      </c>
      <c r="I160" s="649">
        <v>2607</v>
      </c>
      <c r="J160" s="493">
        <v>46122</v>
      </c>
      <c r="K160" s="650" t="s">
        <v>80</v>
      </c>
      <c r="L160" s="493">
        <v>46110</v>
      </c>
      <c r="M160" s="651" t="s">
        <v>86</v>
      </c>
      <c r="N160" s="694" t="s">
        <v>166</v>
      </c>
      <c r="O160" s="679"/>
      <c r="P160" s="679"/>
      <c r="Q160" s="695"/>
      <c r="R160" s="656"/>
      <c r="S160" s="439"/>
      <c r="T160" s="656"/>
      <c r="U160" s="696"/>
      <c r="V160" s="697"/>
      <c r="W160" s="698"/>
      <c r="X160" s="439"/>
      <c r="Y160" s="679"/>
      <c r="Z160" s="439"/>
      <c r="AA160" s="511"/>
      <c r="AB160" s="511"/>
      <c r="AC160" s="511"/>
      <c r="AD160" s="439"/>
      <c r="AE160" s="439"/>
      <c r="AF160" s="439"/>
      <c r="AG160" s="439"/>
      <c r="AH160" s="439"/>
      <c r="AI160" s="439"/>
      <c r="AJ160" s="439"/>
      <c r="AK160" s="439"/>
      <c r="AL160" s="439"/>
      <c r="AM160" s="439"/>
      <c r="AN160" s="439"/>
      <c r="AV160" s="511"/>
      <c r="AW160" s="511"/>
      <c r="AX160" s="511"/>
      <c r="AY160" s="511"/>
      <c r="AZ160" s="511"/>
      <c r="BA160" s="439"/>
      <c r="BB160" s="439"/>
      <c r="BC160" s="439"/>
      <c r="BD160" s="439"/>
      <c r="BE160" s="439"/>
      <c r="BF160" s="439"/>
      <c r="BG160" s="439"/>
      <c r="BH160" s="439"/>
      <c r="BI160" s="439"/>
      <c r="BJ160" s="439"/>
      <c r="BK160" s="439"/>
      <c r="BL160" s="439"/>
      <c r="BM160" s="439"/>
      <c r="BN160" s="439"/>
      <c r="BO160" s="439"/>
      <c r="BP160" s="439"/>
      <c r="BQ160" s="439"/>
      <c r="BR160" s="439"/>
      <c r="BS160" s="439"/>
      <c r="BT160" s="439"/>
    </row>
    <row r="161" spans="1:72" s="473" customFormat="1" x14ac:dyDescent="0.25">
      <c r="A161" s="929" t="s">
        <v>99</v>
      </c>
      <c r="B161" s="930">
        <f>SUM(B145:B159)</f>
        <v>229.00000000000003</v>
      </c>
      <c r="C161" s="928">
        <f>SUM(C145:C159)</f>
        <v>2943.7000000000003</v>
      </c>
      <c r="D161" s="930">
        <f>SUM(D145:D159)</f>
        <v>25.826000000000001</v>
      </c>
      <c r="E161" s="928">
        <f>SUM(E145:E159)</f>
        <v>978.15999999999974</v>
      </c>
      <c r="F161" s="928">
        <f>SUM(F145:F159)</f>
        <v>6478.3599999999979</v>
      </c>
      <c r="G161" s="931">
        <f>SUM(G145:G158)+150</f>
        <v>9584</v>
      </c>
      <c r="H161" s="932">
        <f>SUM(H145:H158)+150</f>
        <v>9576.7900000000009</v>
      </c>
      <c r="I161" s="649"/>
      <c r="J161" s="699"/>
      <c r="K161" s="700"/>
      <c r="L161" s="493"/>
      <c r="M161" s="701"/>
      <c r="N161" s="511" t="s">
        <v>496</v>
      </c>
      <c r="O161" s="691"/>
      <c r="P161" s="702"/>
      <c r="Q161" s="691"/>
      <c r="R161" s="691"/>
      <c r="S161" s="691"/>
      <c r="T161" s="691"/>
      <c r="U161" s="488"/>
      <c r="V161" s="661"/>
      <c r="W161" s="511"/>
      <c r="X161" s="511"/>
      <c r="Y161" s="511"/>
      <c r="Z161" s="511"/>
      <c r="AA161" s="511"/>
      <c r="AB161" s="511"/>
      <c r="AC161" s="511"/>
      <c r="AD161" s="511"/>
      <c r="AE161" s="511"/>
      <c r="AF161" s="511"/>
      <c r="AG161" s="511"/>
      <c r="AH161" s="511"/>
      <c r="AI161" s="511"/>
      <c r="AJ161" s="511"/>
      <c r="AK161" s="511"/>
      <c r="AL161" s="511"/>
      <c r="AM161" s="511"/>
      <c r="AN161" s="511"/>
      <c r="AV161" s="511"/>
      <c r="AW161" s="511"/>
      <c r="AX161" s="511"/>
      <c r="AY161" s="511"/>
      <c r="AZ161" s="511"/>
      <c r="BA161" s="511"/>
      <c r="BB161" s="439"/>
      <c r="BC161" s="439"/>
      <c r="BD161" s="439"/>
      <c r="BE161" s="439"/>
      <c r="BF161" s="439"/>
      <c r="BG161" s="439"/>
      <c r="BH161" s="439"/>
      <c r="BI161" s="439"/>
      <c r="BJ161" s="439"/>
      <c r="BK161" s="439"/>
      <c r="BL161" s="439"/>
      <c r="BM161" s="439"/>
      <c r="BN161" s="439"/>
      <c r="BO161" s="439"/>
      <c r="BP161" s="439"/>
      <c r="BQ161" s="439"/>
      <c r="BR161" s="439"/>
      <c r="BS161" s="439"/>
      <c r="BT161" s="439"/>
    </row>
    <row r="162" spans="1:72" x14ac:dyDescent="0.25">
      <c r="A162" s="516"/>
      <c r="B162" s="703">
        <f>U21</f>
        <v>229</v>
      </c>
      <c r="C162" s="704">
        <f>X21</f>
        <v>2943.7</v>
      </c>
      <c r="D162" s="705">
        <f>Y21</f>
        <v>25.825999999999794</v>
      </c>
      <c r="E162" s="704">
        <f>AA20</f>
        <v>978.15999999999974</v>
      </c>
      <c r="F162" s="706"/>
      <c r="G162" s="706"/>
      <c r="H162" s="706"/>
      <c r="I162" s="707"/>
      <c r="J162" s="707"/>
      <c r="K162" s="707"/>
      <c r="L162" s="707"/>
      <c r="M162" s="707"/>
      <c r="N162" s="707"/>
      <c r="O162" s="707"/>
      <c r="P162" s="707"/>
      <c r="Q162" s="707"/>
      <c r="R162" s="707"/>
      <c r="S162" s="707"/>
      <c r="T162" s="516"/>
      <c r="U162" s="707"/>
      <c r="V162" s="516"/>
      <c r="W162" s="516"/>
      <c r="X162" s="516"/>
      <c r="Y162" s="516"/>
      <c r="Z162" s="516"/>
      <c r="AA162" s="516"/>
      <c r="AB162" s="515"/>
      <c r="AC162" s="515"/>
      <c r="AD162" s="707"/>
      <c r="AE162" s="707"/>
      <c r="AF162" s="707"/>
      <c r="AG162" s="707"/>
      <c r="AH162" s="516"/>
      <c r="AI162" s="516"/>
      <c r="AJ162" s="516"/>
      <c r="AK162" s="516"/>
      <c r="AL162" s="516"/>
      <c r="AM162" s="516"/>
      <c r="AN162" s="516"/>
      <c r="AV162" s="516"/>
      <c r="AW162" s="516"/>
      <c r="AX162" s="516"/>
      <c r="AY162" s="516"/>
      <c r="AZ162" s="516"/>
      <c r="BA162" s="516"/>
      <c r="BB162" s="439"/>
      <c r="BC162" s="439"/>
      <c r="BD162" s="439"/>
      <c r="BE162" s="439"/>
      <c r="BF162" s="439"/>
      <c r="BG162" s="439"/>
      <c r="BH162" s="439"/>
      <c r="BI162" s="439"/>
      <c r="BJ162" s="439"/>
      <c r="BK162" s="439"/>
      <c r="BL162" s="439"/>
      <c r="BM162" s="439"/>
      <c r="BN162" s="439"/>
      <c r="BO162" s="439"/>
      <c r="BP162" s="439"/>
      <c r="BQ162" s="439"/>
      <c r="BR162" s="439"/>
      <c r="BS162" s="439"/>
      <c r="BT162" s="439"/>
    </row>
    <row r="163" spans="1:72" ht="15.75" x14ac:dyDescent="0.25">
      <c r="A163" s="516"/>
      <c r="B163" s="991">
        <f>B161-B162</f>
        <v>0</v>
      </c>
      <c r="C163" s="992">
        <f>C161-C162</f>
        <v>0</v>
      </c>
      <c r="D163" s="708">
        <f>D161-D162</f>
        <v>2.0605739337042905E-13</v>
      </c>
      <c r="E163" s="709">
        <f>E161-E162</f>
        <v>0</v>
      </c>
      <c r="F163" s="706"/>
      <c r="G163" s="706"/>
      <c r="H163" s="706"/>
      <c r="I163" s="707"/>
      <c r="J163" s="707"/>
      <c r="K163" s="707"/>
      <c r="L163" s="707"/>
      <c r="M163" s="707"/>
      <c r="N163" s="615" t="s">
        <v>235</v>
      </c>
      <c r="O163" s="615"/>
      <c r="P163" s="615"/>
      <c r="Q163" s="615"/>
      <c r="R163" s="615"/>
      <c r="S163" s="615"/>
      <c r="T163" s="615"/>
      <c r="U163" s="615"/>
      <c r="V163" s="516"/>
      <c r="W163" s="516"/>
      <c r="X163" s="516"/>
      <c r="Y163" s="516"/>
      <c r="Z163" s="516"/>
      <c r="AA163" s="516"/>
      <c r="AB163" s="515"/>
      <c r="AC163" s="515"/>
      <c r="AD163" s="707"/>
      <c r="AE163" s="707"/>
      <c r="AF163" s="707"/>
      <c r="AG163" s="707"/>
      <c r="AH163" s="516"/>
      <c r="AI163" s="516"/>
      <c r="AJ163" s="516"/>
      <c r="AK163" s="516"/>
      <c r="AL163" s="516"/>
      <c r="AM163" s="516"/>
      <c r="AN163" s="516"/>
      <c r="AV163" s="516"/>
      <c r="AW163" s="516"/>
      <c r="AX163" s="516"/>
      <c r="AY163" s="516"/>
      <c r="AZ163" s="516"/>
      <c r="BA163" s="516"/>
      <c r="BB163" s="439"/>
      <c r="BC163" s="439"/>
      <c r="BD163" s="439"/>
      <c r="BE163" s="439"/>
      <c r="BF163" s="439"/>
      <c r="BG163" s="439"/>
      <c r="BH163" s="439"/>
      <c r="BI163" s="439"/>
      <c r="BJ163" s="439"/>
      <c r="BK163" s="439"/>
      <c r="BL163" s="439"/>
      <c r="BM163" s="439"/>
      <c r="BN163" s="439"/>
      <c r="BO163" s="439"/>
      <c r="BP163" s="439"/>
      <c r="BQ163" s="439"/>
      <c r="BR163" s="439"/>
      <c r="BS163" s="439"/>
      <c r="BT163" s="439"/>
    </row>
    <row r="164" spans="1:72" ht="15.75" x14ac:dyDescent="0.25">
      <c r="A164" s="516"/>
      <c r="B164" s="708"/>
      <c r="C164" s="709"/>
      <c r="D164" s="708"/>
      <c r="E164" s="709"/>
      <c r="F164" s="706"/>
      <c r="G164" s="706"/>
      <c r="H164" s="706"/>
      <c r="I164" s="707"/>
      <c r="J164" s="707"/>
      <c r="K164" s="707"/>
      <c r="L164" s="707"/>
      <c r="M164" s="707"/>
      <c r="N164" s="710"/>
      <c r="O164" s="710"/>
      <c r="P164" s="710"/>
      <c r="Q164" s="710"/>
      <c r="R164" s="710"/>
      <c r="S164" s="710"/>
      <c r="T164" s="710"/>
      <c r="U164" s="710"/>
      <c r="V164" s="516"/>
      <c r="W164" s="516"/>
      <c r="X164" s="516"/>
      <c r="Y164" s="516"/>
      <c r="Z164" s="516"/>
      <c r="AA164" s="516"/>
      <c r="AB164" s="515"/>
      <c r="AC164" s="515"/>
      <c r="AD164" s="707"/>
      <c r="AE164" s="707"/>
      <c r="AF164" s="707"/>
      <c r="AG164" s="707"/>
      <c r="AH164" s="516"/>
      <c r="AI164" s="516"/>
      <c r="AJ164" s="516"/>
      <c r="AK164" s="516"/>
      <c r="AL164" s="516"/>
      <c r="AM164" s="516"/>
      <c r="AN164" s="516"/>
      <c r="AV164" s="516"/>
      <c r="AW164" s="516"/>
      <c r="AX164" s="516"/>
      <c r="AY164" s="516"/>
      <c r="AZ164" s="516"/>
      <c r="BA164" s="516"/>
      <c r="BB164" s="439"/>
      <c r="BC164" s="439"/>
      <c r="BD164" s="439"/>
      <c r="BE164" s="439"/>
      <c r="BF164" s="439"/>
      <c r="BG164" s="439"/>
      <c r="BH164" s="439"/>
      <c r="BI164" s="439"/>
      <c r="BJ164" s="439"/>
      <c r="BK164" s="439"/>
      <c r="BL164" s="439"/>
      <c r="BM164" s="439"/>
      <c r="BN164" s="439"/>
      <c r="BO164" s="439"/>
      <c r="BP164" s="439"/>
      <c r="BQ164" s="439"/>
      <c r="BR164" s="439"/>
      <c r="BS164" s="439"/>
      <c r="BT164" s="439"/>
    </row>
    <row r="165" spans="1:72" ht="15.75" x14ac:dyDescent="0.25">
      <c r="A165" s="516"/>
      <c r="B165" s="708"/>
      <c r="C165" s="709"/>
      <c r="D165" s="708"/>
      <c r="E165" s="709"/>
      <c r="F165" s="706"/>
      <c r="G165" s="706"/>
      <c r="H165" s="706"/>
      <c r="I165" s="707"/>
      <c r="J165" s="707"/>
      <c r="K165" s="707"/>
      <c r="L165" s="707"/>
      <c r="M165" s="707"/>
      <c r="N165" s="710"/>
      <c r="O165" s="710"/>
      <c r="P165" s="710"/>
      <c r="Q165" s="710"/>
      <c r="R165" s="710"/>
      <c r="S165" s="710"/>
      <c r="T165" s="710"/>
      <c r="U165" s="710"/>
      <c r="V165" s="516"/>
      <c r="W165" s="516"/>
      <c r="X165" s="516"/>
      <c r="Y165" s="516"/>
      <c r="Z165" s="516"/>
      <c r="AA165" s="516"/>
      <c r="AB165" s="515"/>
      <c r="AC165" s="515"/>
      <c r="AD165" s="707"/>
      <c r="AE165" s="707"/>
      <c r="AF165" s="707"/>
      <c r="AG165" s="707"/>
      <c r="AH165" s="516"/>
      <c r="AI165" s="516"/>
      <c r="AJ165" s="516"/>
      <c r="AK165" s="516"/>
      <c r="AL165" s="516"/>
      <c r="AM165" s="516"/>
      <c r="AN165" s="516"/>
      <c r="AV165" s="516"/>
      <c r="AW165" s="516"/>
      <c r="AX165" s="516"/>
      <c r="AY165" s="516"/>
      <c r="AZ165" s="516"/>
      <c r="BA165" s="516"/>
      <c r="BB165" s="439"/>
      <c r="BC165" s="439"/>
      <c r="BD165" s="439"/>
      <c r="BE165" s="439"/>
      <c r="BF165" s="439"/>
      <c r="BG165" s="439"/>
      <c r="BH165" s="439"/>
      <c r="BI165" s="439"/>
      <c r="BJ165" s="439"/>
      <c r="BK165" s="439"/>
      <c r="BL165" s="439"/>
      <c r="BM165" s="439"/>
      <c r="BN165" s="439"/>
      <c r="BO165" s="439"/>
      <c r="BP165" s="439"/>
      <c r="BQ165" s="439"/>
      <c r="BR165" s="439"/>
      <c r="BS165" s="439"/>
      <c r="BT165" s="439"/>
    </row>
    <row r="166" spans="1:72" ht="15.75" x14ac:dyDescent="0.25">
      <c r="A166" s="711" t="s">
        <v>339</v>
      </c>
      <c r="B166" s="712"/>
      <c r="C166" s="713"/>
      <c r="D166" s="712"/>
      <c r="E166" s="713"/>
      <c r="F166" s="714"/>
      <c r="G166" s="714"/>
      <c r="H166" s="714"/>
      <c r="I166" s="707"/>
      <c r="J166" s="707"/>
      <c r="K166" s="707"/>
      <c r="L166" s="707"/>
      <c r="M166" s="707"/>
      <c r="N166" s="715"/>
      <c r="O166" s="715"/>
      <c r="P166" s="715"/>
      <c r="Q166" s="715"/>
      <c r="R166" s="715"/>
      <c r="S166" s="715"/>
      <c r="T166" s="715"/>
      <c r="U166" s="707"/>
      <c r="V166" s="516"/>
      <c r="W166" s="516"/>
      <c r="X166" s="516"/>
      <c r="Y166" s="516"/>
      <c r="Z166" s="516"/>
      <c r="AA166" s="516"/>
      <c r="AB166" s="515"/>
      <c r="AC166" s="515"/>
      <c r="AD166" s="707"/>
      <c r="AE166" s="707"/>
      <c r="AF166" s="707"/>
      <c r="AG166" s="707"/>
      <c r="AH166" s="516"/>
      <c r="AI166" s="516"/>
      <c r="AJ166" s="516"/>
      <c r="AK166" s="516"/>
      <c r="AL166" s="516"/>
      <c r="AM166" s="516"/>
      <c r="AN166" s="516"/>
      <c r="AV166" s="516"/>
      <c r="AW166" s="516"/>
      <c r="AX166" s="516"/>
      <c r="AY166" s="516"/>
      <c r="AZ166" s="516"/>
      <c r="BA166" s="516"/>
      <c r="BB166" s="439"/>
      <c r="BC166" s="439"/>
      <c r="BD166" s="439"/>
      <c r="BE166" s="439"/>
      <c r="BF166" s="439"/>
      <c r="BG166" s="439"/>
      <c r="BH166" s="439"/>
      <c r="BI166" s="439"/>
      <c r="BJ166" s="439"/>
      <c r="BK166" s="439"/>
      <c r="BL166" s="439"/>
      <c r="BM166" s="439"/>
      <c r="BN166" s="439"/>
      <c r="BO166" s="439"/>
      <c r="BP166" s="439"/>
      <c r="BQ166" s="439"/>
      <c r="BR166" s="439"/>
      <c r="BS166" s="439"/>
      <c r="BT166" s="439"/>
    </row>
    <row r="167" spans="1:72" ht="15.75" x14ac:dyDescent="0.25">
      <c r="A167" s="716" t="s">
        <v>24</v>
      </c>
      <c r="B167" s="717">
        <v>18.457000000000001</v>
      </c>
      <c r="C167" s="692">
        <v>236.41</v>
      </c>
      <c r="D167" s="693">
        <v>0</v>
      </c>
      <c r="E167" s="692">
        <v>0</v>
      </c>
      <c r="F167" s="692">
        <v>0</v>
      </c>
      <c r="G167" s="692">
        <v>0</v>
      </c>
      <c r="H167" s="692">
        <v>0</v>
      </c>
      <c r="I167" s="707"/>
      <c r="J167" s="707"/>
      <c r="K167" s="707"/>
      <c r="L167" s="707"/>
      <c r="M167" s="707"/>
      <c r="N167" s="715"/>
      <c r="O167" s="715"/>
      <c r="P167" s="715"/>
      <c r="Q167" s="715"/>
      <c r="R167" s="715"/>
      <c r="S167" s="715"/>
      <c r="T167" s="715"/>
      <c r="U167" s="707"/>
      <c r="V167" s="516"/>
      <c r="W167" s="516"/>
      <c r="X167" s="516"/>
      <c r="Y167" s="516"/>
      <c r="Z167" s="516"/>
      <c r="AA167" s="516"/>
      <c r="AB167" s="515"/>
      <c r="AC167" s="515"/>
      <c r="AD167" s="707"/>
      <c r="AE167" s="707"/>
      <c r="AF167" s="707"/>
      <c r="AG167" s="707"/>
      <c r="AH167" s="516"/>
      <c r="AI167" s="516"/>
      <c r="AJ167" s="516"/>
      <c r="AK167" s="516"/>
      <c r="AL167" s="516"/>
      <c r="AM167" s="516"/>
      <c r="AN167" s="516"/>
      <c r="AV167" s="516"/>
      <c r="AW167" s="516"/>
      <c r="AX167" s="516"/>
      <c r="AY167" s="516"/>
      <c r="AZ167" s="516"/>
      <c r="BA167" s="516"/>
      <c r="BB167" s="439"/>
      <c r="BC167" s="439"/>
      <c r="BD167" s="439"/>
      <c r="BE167" s="439"/>
      <c r="BF167" s="439"/>
      <c r="BG167" s="439"/>
      <c r="BH167" s="439"/>
      <c r="BI167" s="439"/>
      <c r="BJ167" s="439"/>
      <c r="BK167" s="439"/>
      <c r="BL167" s="439"/>
      <c r="BM167" s="439"/>
      <c r="BN167" s="439"/>
      <c r="BO167" s="439"/>
      <c r="BP167" s="439"/>
      <c r="BQ167" s="439"/>
      <c r="BR167" s="439"/>
      <c r="BS167" s="439"/>
      <c r="BT167" s="439"/>
    </row>
    <row r="168" spans="1:72" ht="15.75" x14ac:dyDescent="0.25">
      <c r="A168" s="718">
        <v>201</v>
      </c>
      <c r="B168" s="717">
        <v>21.885999999999999</v>
      </c>
      <c r="C168" s="692">
        <v>281.88</v>
      </c>
      <c r="D168" s="693">
        <v>0</v>
      </c>
      <c r="E168" s="692">
        <v>0</v>
      </c>
      <c r="F168" s="692">
        <v>462.74</v>
      </c>
      <c r="G168" s="692">
        <v>745</v>
      </c>
      <c r="H168" s="692">
        <v>744.62</v>
      </c>
      <c r="I168" s="707"/>
      <c r="J168" s="707"/>
      <c r="K168" s="707"/>
      <c r="L168" s="707"/>
      <c r="M168" s="707"/>
      <c r="N168" s="715"/>
      <c r="O168" s="715"/>
      <c r="P168" s="715"/>
      <c r="Q168" s="715"/>
      <c r="R168" s="715"/>
      <c r="S168" s="715"/>
      <c r="T168" s="715"/>
      <c r="U168" s="707"/>
      <c r="V168" s="516"/>
      <c r="W168" s="516"/>
      <c r="X168" s="516"/>
      <c r="Y168" s="516"/>
      <c r="Z168" s="516"/>
      <c r="AA168" s="516"/>
      <c r="AB168" s="515"/>
      <c r="AC168" s="515"/>
      <c r="AD168" s="707"/>
      <c r="AE168" s="707"/>
      <c r="AF168" s="707"/>
      <c r="AG168" s="707"/>
      <c r="AH168" s="516"/>
      <c r="AI168" s="516"/>
      <c r="AJ168" s="516"/>
      <c r="AK168" s="516"/>
      <c r="AL168" s="516"/>
      <c r="AM168" s="516"/>
      <c r="AN168" s="516"/>
      <c r="AV168" s="516"/>
      <c r="AW168" s="516"/>
      <c r="AX168" s="516"/>
      <c r="AY168" s="516"/>
      <c r="AZ168" s="516"/>
      <c r="BA168" s="516"/>
      <c r="BB168" s="439"/>
      <c r="BC168" s="439"/>
      <c r="BD168" s="439"/>
      <c r="BE168" s="439"/>
      <c r="BF168" s="439"/>
      <c r="BG168" s="439"/>
      <c r="BH168" s="439"/>
      <c r="BI168" s="439"/>
      <c r="BJ168" s="439"/>
      <c r="BK168" s="439"/>
      <c r="BL168" s="439"/>
      <c r="BM168" s="439"/>
      <c r="BN168" s="439"/>
      <c r="BO168" s="439"/>
      <c r="BP168" s="439"/>
      <c r="BQ168" s="439"/>
      <c r="BR168" s="439"/>
      <c r="BS168" s="439"/>
      <c r="BT168" s="439"/>
    </row>
    <row r="169" spans="1:72" ht="15.75" x14ac:dyDescent="0.25">
      <c r="A169" s="718">
        <v>202</v>
      </c>
      <c r="B169" s="717">
        <v>16.763000000000002</v>
      </c>
      <c r="C169" s="692">
        <v>215.24</v>
      </c>
      <c r="D169" s="693">
        <v>2.7410000000000001</v>
      </c>
      <c r="E169" s="692">
        <v>103.82</v>
      </c>
      <c r="F169" s="692">
        <v>462.74</v>
      </c>
      <c r="G169" s="692">
        <v>782</v>
      </c>
      <c r="H169" s="692">
        <v>781.8</v>
      </c>
      <c r="I169" s="707"/>
      <c r="J169" s="707"/>
      <c r="K169" s="707"/>
      <c r="L169" s="707"/>
      <c r="M169" s="707"/>
      <c r="N169" s="715"/>
      <c r="O169" s="715"/>
      <c r="P169" s="715"/>
      <c r="Q169" s="715"/>
      <c r="R169" s="715"/>
      <c r="S169" s="715"/>
      <c r="T169" s="715"/>
      <c r="U169" s="707"/>
      <c r="V169" s="516"/>
      <c r="W169" s="516"/>
      <c r="X169" s="516"/>
      <c r="Y169" s="516"/>
      <c r="Z169" s="516"/>
      <c r="AA169" s="516"/>
      <c r="AB169" s="515"/>
      <c r="AC169" s="515"/>
      <c r="AD169" s="707"/>
      <c r="AE169" s="707"/>
      <c r="AF169" s="707"/>
      <c r="AG169" s="707"/>
      <c r="AH169" s="516"/>
      <c r="AI169" s="516"/>
      <c r="AJ169" s="516"/>
      <c r="AK169" s="516"/>
      <c r="AL169" s="516"/>
      <c r="AM169" s="516"/>
      <c r="AN169" s="516"/>
      <c r="AV169" s="516"/>
      <c r="AW169" s="516"/>
      <c r="AX169" s="516"/>
      <c r="AY169" s="516"/>
      <c r="AZ169" s="516"/>
      <c r="BA169" s="516"/>
      <c r="BB169" s="439"/>
      <c r="BC169" s="439"/>
      <c r="BD169" s="439"/>
      <c r="BE169" s="439"/>
      <c r="BF169" s="439"/>
      <c r="BG169" s="439"/>
      <c r="BH169" s="439"/>
      <c r="BI169" s="439"/>
      <c r="BJ169" s="439"/>
      <c r="BK169" s="439"/>
      <c r="BL169" s="439"/>
      <c r="BM169" s="439"/>
      <c r="BN169" s="439"/>
      <c r="BO169" s="439"/>
      <c r="BP169" s="439"/>
      <c r="BQ169" s="439"/>
      <c r="BR169" s="439"/>
      <c r="BS169" s="439"/>
      <c r="BT169" s="439"/>
    </row>
    <row r="170" spans="1:72" ht="15.75" x14ac:dyDescent="0.25">
      <c r="A170" s="718">
        <v>301</v>
      </c>
      <c r="B170" s="717">
        <v>19.759</v>
      </c>
      <c r="C170" s="692">
        <v>253.65</v>
      </c>
      <c r="D170" s="693">
        <v>4.0590000000000002</v>
      </c>
      <c r="E170" s="692">
        <v>153.72999999999999</v>
      </c>
      <c r="F170" s="692">
        <v>462.74</v>
      </c>
      <c r="G170" s="692">
        <v>871</v>
      </c>
      <c r="H170" s="692">
        <v>870.12</v>
      </c>
      <c r="I170" s="707"/>
      <c r="J170" s="707"/>
      <c r="K170" s="707"/>
      <c r="L170" s="707"/>
      <c r="M170" s="707"/>
      <c r="N170" s="715"/>
      <c r="O170" s="715"/>
      <c r="P170" s="715"/>
      <c r="Q170" s="715"/>
      <c r="R170" s="715"/>
      <c r="S170" s="715"/>
      <c r="T170" s="715"/>
      <c r="U170" s="707"/>
      <c r="V170" s="516"/>
      <c r="W170" s="516"/>
      <c r="X170" s="516"/>
      <c r="Y170" s="516"/>
      <c r="Z170" s="516"/>
      <c r="AA170" s="516"/>
      <c r="AB170" s="515"/>
      <c r="AC170" s="515"/>
      <c r="AD170" s="707"/>
      <c r="AE170" s="707"/>
      <c r="AF170" s="707"/>
      <c r="AG170" s="707"/>
      <c r="AH170" s="516"/>
      <c r="AI170" s="516"/>
      <c r="AJ170" s="516"/>
      <c r="AK170" s="516"/>
      <c r="AL170" s="516"/>
      <c r="AM170" s="516"/>
      <c r="AN170" s="516"/>
      <c r="AV170" s="516"/>
      <c r="AW170" s="516"/>
      <c r="AX170" s="516"/>
      <c r="AY170" s="516"/>
      <c r="AZ170" s="516"/>
      <c r="BA170" s="516"/>
      <c r="BB170" s="439"/>
      <c r="BC170" s="439"/>
      <c r="BD170" s="439"/>
      <c r="BE170" s="439"/>
      <c r="BF170" s="439"/>
      <c r="BG170" s="439"/>
      <c r="BH170" s="439"/>
      <c r="BI170" s="439"/>
      <c r="BJ170" s="439"/>
      <c r="BK170" s="439"/>
      <c r="BL170" s="439"/>
      <c r="BM170" s="439"/>
      <c r="BN170" s="439"/>
      <c r="BO170" s="439"/>
      <c r="BP170" s="439"/>
      <c r="BQ170" s="439"/>
      <c r="BR170" s="439"/>
      <c r="BS170" s="439"/>
      <c r="BT170" s="439"/>
    </row>
    <row r="171" spans="1:72" ht="15.75" x14ac:dyDescent="0.25">
      <c r="A171" s="718">
        <v>302</v>
      </c>
      <c r="B171" s="717">
        <v>19.988</v>
      </c>
      <c r="C171" s="692">
        <v>256.58999999999997</v>
      </c>
      <c r="D171" s="693">
        <v>2.4289999999999998</v>
      </c>
      <c r="E171" s="692">
        <v>92</v>
      </c>
      <c r="F171" s="692">
        <v>462.74</v>
      </c>
      <c r="G171" s="692">
        <v>812</v>
      </c>
      <c r="H171" s="692">
        <v>811.32999999999993</v>
      </c>
      <c r="I171" s="707"/>
      <c r="J171" s="707"/>
      <c r="K171" s="707"/>
      <c r="L171" s="707"/>
      <c r="M171" s="707"/>
      <c r="N171" s="715"/>
      <c r="O171" s="715"/>
      <c r="P171" s="715"/>
      <c r="Q171" s="715"/>
      <c r="R171" s="715"/>
      <c r="S171" s="715"/>
      <c r="T171" s="715"/>
      <c r="U171" s="707"/>
      <c r="V171" s="516"/>
      <c r="W171" s="516"/>
      <c r="X171" s="516"/>
      <c r="Y171" s="516"/>
      <c r="Z171" s="516"/>
      <c r="AA171" s="516"/>
      <c r="AB171" s="515"/>
      <c r="AC171" s="515"/>
      <c r="AD171" s="707"/>
      <c r="AE171" s="707"/>
      <c r="AF171" s="707"/>
      <c r="AG171" s="707"/>
      <c r="AH171" s="516"/>
      <c r="AI171" s="516"/>
      <c r="AJ171" s="516"/>
      <c r="AK171" s="516"/>
      <c r="AL171" s="516"/>
      <c r="AM171" s="516"/>
      <c r="AN171" s="516"/>
      <c r="AV171" s="516"/>
      <c r="AW171" s="516"/>
      <c r="AX171" s="516"/>
      <c r="AY171" s="516"/>
      <c r="AZ171" s="516"/>
      <c r="BA171" s="516"/>
      <c r="BB171" s="439"/>
      <c r="BC171" s="439"/>
      <c r="BD171" s="439"/>
      <c r="BE171" s="439"/>
      <c r="BF171" s="439"/>
      <c r="BG171" s="439"/>
      <c r="BH171" s="439"/>
      <c r="BI171" s="439"/>
      <c r="BJ171" s="439"/>
      <c r="BK171" s="439"/>
      <c r="BL171" s="439"/>
      <c r="BM171" s="439"/>
      <c r="BN171" s="439"/>
      <c r="BO171" s="439"/>
      <c r="BP171" s="439"/>
      <c r="BQ171" s="439"/>
      <c r="BR171" s="439"/>
      <c r="BS171" s="439"/>
      <c r="BT171" s="439"/>
    </row>
    <row r="172" spans="1:72" ht="15.75" x14ac:dyDescent="0.25">
      <c r="A172" s="718">
        <v>401</v>
      </c>
      <c r="B172" s="717">
        <v>25.559000000000001</v>
      </c>
      <c r="C172" s="692">
        <v>329.05</v>
      </c>
      <c r="D172" s="693">
        <v>1.4139999999999999</v>
      </c>
      <c r="E172" s="692">
        <v>53.56</v>
      </c>
      <c r="F172" s="692">
        <v>462.74</v>
      </c>
      <c r="G172" s="692">
        <v>846</v>
      </c>
      <c r="H172" s="692">
        <v>845.35</v>
      </c>
      <c r="I172" s="707"/>
      <c r="J172" s="707"/>
      <c r="K172" s="707"/>
      <c r="L172" s="707"/>
      <c r="M172" s="707"/>
      <c r="N172" s="715"/>
      <c r="O172" s="715"/>
      <c r="P172" s="715"/>
      <c r="Q172" s="715"/>
      <c r="R172" s="715"/>
      <c r="S172" s="715"/>
      <c r="T172" s="715"/>
      <c r="U172" s="707"/>
      <c r="V172" s="516"/>
      <c r="W172" s="516"/>
      <c r="X172" s="516"/>
      <c r="Y172" s="516"/>
      <c r="Z172" s="516"/>
      <c r="AA172" s="516"/>
      <c r="AB172" s="515"/>
      <c r="AC172" s="515"/>
      <c r="AD172" s="707"/>
      <c r="AE172" s="707"/>
      <c r="AF172" s="707"/>
      <c r="AG172" s="707"/>
      <c r="AH172" s="516"/>
      <c r="AI172" s="516"/>
      <c r="AJ172" s="516"/>
      <c r="AK172" s="516"/>
      <c r="AL172" s="516"/>
      <c r="AM172" s="516"/>
      <c r="AN172" s="516"/>
      <c r="AV172" s="516"/>
      <c r="AW172" s="516"/>
      <c r="AX172" s="516"/>
      <c r="AY172" s="516"/>
      <c r="AZ172" s="516"/>
      <c r="BA172" s="516"/>
      <c r="BB172" s="439"/>
      <c r="BC172" s="439"/>
      <c r="BD172" s="439"/>
      <c r="BE172" s="439"/>
      <c r="BF172" s="439"/>
      <c r="BG172" s="439"/>
      <c r="BH172" s="439"/>
      <c r="BI172" s="439"/>
      <c r="BJ172" s="439"/>
      <c r="BK172" s="439"/>
      <c r="BL172" s="439"/>
      <c r="BM172" s="439"/>
      <c r="BN172" s="439"/>
      <c r="BO172" s="439"/>
      <c r="BP172" s="439"/>
      <c r="BQ172" s="439"/>
      <c r="BR172" s="439"/>
      <c r="BS172" s="439"/>
      <c r="BT172" s="439"/>
    </row>
    <row r="173" spans="1:72" ht="15.75" x14ac:dyDescent="0.25">
      <c r="A173" s="718">
        <v>402</v>
      </c>
      <c r="B173" s="717">
        <v>23.777000000000001</v>
      </c>
      <c r="C173" s="692">
        <v>305.87</v>
      </c>
      <c r="D173" s="693">
        <v>4.82</v>
      </c>
      <c r="E173" s="692">
        <v>182.56</v>
      </c>
      <c r="F173" s="692">
        <v>462.74</v>
      </c>
      <c r="G173" s="692">
        <v>952</v>
      </c>
      <c r="H173" s="692">
        <v>951.17000000000007</v>
      </c>
      <c r="I173" s="707"/>
      <c r="J173" s="707"/>
      <c r="K173" s="707"/>
      <c r="L173" s="707"/>
      <c r="M173" s="707"/>
      <c r="N173" s="715"/>
      <c r="O173" s="715"/>
      <c r="P173" s="715"/>
      <c r="Q173" s="715"/>
      <c r="R173" s="715"/>
      <c r="S173" s="715"/>
      <c r="T173" s="715"/>
      <c r="U173" s="707"/>
      <c r="V173" s="516"/>
      <c r="W173" s="516"/>
      <c r="X173" s="516"/>
      <c r="Y173" s="516"/>
      <c r="Z173" s="516"/>
      <c r="AA173" s="516"/>
      <c r="AB173" s="515"/>
      <c r="AC173" s="515"/>
      <c r="AD173" s="707"/>
      <c r="AE173" s="707"/>
      <c r="AF173" s="707"/>
      <c r="AG173" s="707"/>
      <c r="AH173" s="516"/>
      <c r="AI173" s="516"/>
      <c r="AJ173" s="516"/>
      <c r="AK173" s="516"/>
      <c r="AL173" s="516"/>
      <c r="AM173" s="516"/>
      <c r="AN173" s="516"/>
      <c r="AV173" s="516"/>
      <c r="AW173" s="516"/>
      <c r="AX173" s="516"/>
      <c r="AY173" s="516"/>
      <c r="AZ173" s="516"/>
      <c r="BA173" s="516"/>
      <c r="BB173" s="439"/>
      <c r="BC173" s="439"/>
      <c r="BD173" s="439"/>
      <c r="BE173" s="439"/>
      <c r="BF173" s="439"/>
      <c r="BG173" s="439"/>
      <c r="BH173" s="439"/>
      <c r="BI173" s="439"/>
      <c r="BJ173" s="439"/>
      <c r="BK173" s="439"/>
      <c r="BL173" s="439"/>
      <c r="BM173" s="439"/>
      <c r="BN173" s="439"/>
      <c r="BO173" s="439"/>
      <c r="BP173" s="439"/>
      <c r="BQ173" s="439"/>
      <c r="BR173" s="439"/>
      <c r="BS173" s="439"/>
      <c r="BT173" s="439"/>
    </row>
    <row r="174" spans="1:72" ht="15.75" x14ac:dyDescent="0.25">
      <c r="A174" s="718">
        <v>501</v>
      </c>
      <c r="B174" s="717">
        <v>25.420999999999999</v>
      </c>
      <c r="C174" s="692">
        <v>326.77999999999997</v>
      </c>
      <c r="D174" s="693">
        <v>1.2130000000000001</v>
      </c>
      <c r="E174" s="692">
        <v>45.94</v>
      </c>
      <c r="F174" s="692">
        <v>462.74</v>
      </c>
      <c r="G174" s="692">
        <v>836</v>
      </c>
      <c r="H174" s="692">
        <v>835.46</v>
      </c>
      <c r="I174" s="707"/>
      <c r="J174" s="707"/>
      <c r="K174" s="707"/>
      <c r="L174" s="707"/>
      <c r="M174" s="707"/>
      <c r="N174" s="715"/>
      <c r="O174" s="715"/>
      <c r="P174" s="715"/>
      <c r="Q174" s="715"/>
      <c r="R174" s="715"/>
      <c r="S174" s="715"/>
      <c r="T174" s="715"/>
      <c r="U174" s="707"/>
      <c r="V174" s="516"/>
      <c r="W174" s="516"/>
      <c r="X174" s="516"/>
      <c r="Y174" s="516"/>
      <c r="Z174" s="516"/>
      <c r="AA174" s="516"/>
      <c r="AB174" s="515"/>
      <c r="AC174" s="515"/>
      <c r="AD174" s="707"/>
      <c r="AE174" s="707"/>
      <c r="AF174" s="707"/>
      <c r="AG174" s="707"/>
      <c r="AH174" s="516"/>
      <c r="AI174" s="516"/>
      <c r="AJ174" s="516"/>
      <c r="AK174" s="516"/>
      <c r="AL174" s="516"/>
      <c r="AM174" s="516"/>
      <c r="AN174" s="516"/>
      <c r="AV174" s="516"/>
      <c r="AW174" s="516"/>
      <c r="AX174" s="516"/>
      <c r="AY174" s="516"/>
      <c r="AZ174" s="516"/>
      <c r="BA174" s="516"/>
      <c r="BB174" s="439"/>
      <c r="BC174" s="439"/>
      <c r="BD174" s="439"/>
      <c r="BE174" s="439"/>
      <c r="BF174" s="439"/>
      <c r="BG174" s="439"/>
      <c r="BH174" s="439"/>
      <c r="BI174" s="439"/>
      <c r="BJ174" s="439"/>
      <c r="BK174" s="439"/>
      <c r="BL174" s="439"/>
      <c r="BM174" s="439"/>
      <c r="BN174" s="439"/>
      <c r="BO174" s="439"/>
      <c r="BP174" s="439"/>
      <c r="BQ174" s="439"/>
      <c r="BR174" s="439"/>
      <c r="BS174" s="439"/>
      <c r="BT174" s="439"/>
    </row>
    <row r="175" spans="1:72" ht="15.75" x14ac:dyDescent="0.25">
      <c r="A175" s="718">
        <v>502</v>
      </c>
      <c r="B175" s="717">
        <v>13.441000000000001</v>
      </c>
      <c r="C175" s="692">
        <v>173.17</v>
      </c>
      <c r="D175" s="693">
        <v>1.0289999999999999</v>
      </c>
      <c r="E175" s="692">
        <v>38.97</v>
      </c>
      <c r="F175" s="692">
        <v>462.74</v>
      </c>
      <c r="G175" s="692">
        <v>675</v>
      </c>
      <c r="H175" s="692">
        <v>674.88</v>
      </c>
      <c r="I175" s="707"/>
      <c r="J175" s="707"/>
      <c r="K175" s="707"/>
      <c r="L175" s="707"/>
      <c r="M175" s="707"/>
      <c r="N175" s="715"/>
      <c r="O175" s="715"/>
      <c r="P175" s="715"/>
      <c r="Q175" s="715"/>
      <c r="R175" s="715"/>
      <c r="S175" s="715"/>
      <c r="T175" s="715"/>
      <c r="U175" s="707"/>
      <c r="V175" s="516"/>
      <c r="W175" s="516"/>
      <c r="X175" s="516"/>
      <c r="Y175" s="516"/>
      <c r="Z175" s="516"/>
      <c r="AA175" s="516"/>
      <c r="AB175" s="515"/>
      <c r="AC175" s="515"/>
      <c r="AD175" s="707"/>
      <c r="AE175" s="707"/>
      <c r="AF175" s="707"/>
      <c r="AG175" s="707"/>
      <c r="AH175" s="516"/>
      <c r="AI175" s="516"/>
      <c r="AJ175" s="516"/>
      <c r="AK175" s="516"/>
      <c r="AL175" s="516"/>
      <c r="AM175" s="516"/>
      <c r="AN175" s="516"/>
      <c r="AV175" s="516"/>
      <c r="AW175" s="516"/>
      <c r="AX175" s="516"/>
      <c r="AY175" s="516"/>
      <c r="AZ175" s="516"/>
      <c r="BA175" s="516"/>
      <c r="BB175" s="439"/>
      <c r="BC175" s="439"/>
      <c r="BD175" s="439"/>
      <c r="BE175" s="439"/>
      <c r="BF175" s="439"/>
      <c r="BG175" s="439"/>
      <c r="BH175" s="439"/>
      <c r="BI175" s="439"/>
      <c r="BJ175" s="439"/>
      <c r="BK175" s="439"/>
      <c r="BL175" s="439"/>
      <c r="BM175" s="439"/>
      <c r="BN175" s="439"/>
      <c r="BO175" s="439"/>
      <c r="BP175" s="439"/>
      <c r="BQ175" s="439"/>
      <c r="BR175" s="439"/>
      <c r="BS175" s="439"/>
      <c r="BT175" s="439"/>
    </row>
    <row r="176" spans="1:72" ht="15.75" x14ac:dyDescent="0.25">
      <c r="A176" s="718">
        <v>601</v>
      </c>
      <c r="B176" s="717">
        <v>3.9790000000000001</v>
      </c>
      <c r="C176" s="692">
        <v>50.68</v>
      </c>
      <c r="D176" s="693">
        <v>0.58199999999999996</v>
      </c>
      <c r="E176" s="692">
        <v>22.04</v>
      </c>
      <c r="F176" s="692">
        <v>462.74</v>
      </c>
      <c r="G176" s="692">
        <v>536</v>
      </c>
      <c r="H176" s="692">
        <v>535.46</v>
      </c>
      <c r="I176" s="707"/>
      <c r="J176" s="707"/>
      <c r="K176" s="707"/>
      <c r="L176" s="707"/>
      <c r="M176" s="707"/>
      <c r="N176" s="715"/>
      <c r="O176" s="715"/>
      <c r="P176" s="715"/>
      <c r="Q176" s="715"/>
      <c r="R176" s="715"/>
      <c r="S176" s="715"/>
      <c r="T176" s="715"/>
      <c r="U176" s="707"/>
      <c r="V176" s="516"/>
      <c r="W176" s="516"/>
      <c r="X176" s="516"/>
      <c r="Y176" s="516"/>
      <c r="Z176" s="516"/>
      <c r="AA176" s="516"/>
      <c r="AB176" s="515"/>
      <c r="AC176" s="515"/>
      <c r="AD176" s="707"/>
      <c r="AE176" s="707"/>
      <c r="AF176" s="707"/>
      <c r="AG176" s="707"/>
      <c r="AH176" s="516"/>
      <c r="AI176" s="516"/>
      <c r="AJ176" s="516"/>
      <c r="AK176" s="516"/>
      <c r="AL176" s="516"/>
      <c r="AM176" s="516"/>
      <c r="AN176" s="516"/>
      <c r="AV176" s="516"/>
      <c r="AW176" s="516"/>
      <c r="AX176" s="516"/>
      <c r="AY176" s="516"/>
      <c r="AZ176" s="516"/>
      <c r="BA176" s="516"/>
      <c r="BB176" s="439"/>
      <c r="BC176" s="439"/>
      <c r="BD176" s="439"/>
      <c r="BE176" s="439"/>
      <c r="BF176" s="439"/>
      <c r="BG176" s="439"/>
      <c r="BH176" s="439"/>
      <c r="BI176" s="439"/>
      <c r="BJ176" s="439"/>
      <c r="BK176" s="439"/>
      <c r="BL176" s="439"/>
      <c r="BM176" s="439"/>
      <c r="BN176" s="439"/>
      <c r="BO176" s="439"/>
      <c r="BP176" s="439"/>
      <c r="BQ176" s="439"/>
      <c r="BR176" s="439"/>
      <c r="BS176" s="439"/>
      <c r="BT176" s="439"/>
    </row>
    <row r="177" spans="1:72" ht="15.75" x14ac:dyDescent="0.25">
      <c r="A177" s="718">
        <v>602</v>
      </c>
      <c r="B177" s="717">
        <v>0.68200000000000005</v>
      </c>
      <c r="C177" s="692">
        <v>8.7899999999999991</v>
      </c>
      <c r="D177" s="693">
        <v>0.13</v>
      </c>
      <c r="E177" s="692">
        <v>4.92</v>
      </c>
      <c r="F177" s="692">
        <v>462.74</v>
      </c>
      <c r="G177" s="692">
        <v>477</v>
      </c>
      <c r="H177" s="692">
        <v>476.45</v>
      </c>
      <c r="I177" s="707"/>
      <c r="J177" s="707"/>
      <c r="K177" s="707"/>
      <c r="L177" s="707"/>
      <c r="M177" s="707"/>
      <c r="N177" s="715"/>
      <c r="O177" s="715"/>
      <c r="P177" s="715"/>
      <c r="Q177" s="715"/>
      <c r="R177" s="715"/>
      <c r="S177" s="715"/>
      <c r="T177" s="715"/>
      <c r="U177" s="707"/>
      <c r="V177" s="516"/>
      <c r="W177" s="516"/>
      <c r="X177" s="516"/>
      <c r="Y177" s="516"/>
      <c r="Z177" s="516"/>
      <c r="AA177" s="516"/>
      <c r="AB177" s="515"/>
      <c r="AC177" s="515"/>
      <c r="AD177" s="707"/>
      <c r="AE177" s="707"/>
      <c r="AF177" s="707"/>
      <c r="AG177" s="707"/>
      <c r="AH177" s="516"/>
      <c r="AI177" s="516"/>
      <c r="AJ177" s="516"/>
      <c r="AK177" s="516"/>
      <c r="AL177" s="516"/>
      <c r="AM177" s="516"/>
      <c r="AN177" s="516"/>
      <c r="AV177" s="516"/>
      <c r="AW177" s="516"/>
      <c r="AX177" s="516"/>
      <c r="AY177" s="516"/>
      <c r="AZ177" s="516"/>
      <c r="BA177" s="516"/>
      <c r="BB177" s="439"/>
      <c r="BC177" s="439"/>
      <c r="BD177" s="439"/>
      <c r="BE177" s="439"/>
      <c r="BF177" s="439"/>
      <c r="BG177" s="439"/>
      <c r="BH177" s="439"/>
      <c r="BI177" s="439"/>
      <c r="BJ177" s="439"/>
      <c r="BK177" s="439"/>
      <c r="BL177" s="439"/>
      <c r="BM177" s="439"/>
      <c r="BN177" s="439"/>
      <c r="BO177" s="439"/>
      <c r="BP177" s="439"/>
      <c r="BQ177" s="439"/>
      <c r="BR177" s="439"/>
      <c r="BS177" s="439"/>
      <c r="BT177" s="439"/>
    </row>
    <row r="178" spans="1:72" ht="15.75" x14ac:dyDescent="0.25">
      <c r="A178" s="718">
        <v>701</v>
      </c>
      <c r="B178" s="717">
        <v>13.458</v>
      </c>
      <c r="C178" s="692">
        <v>173.29</v>
      </c>
      <c r="D178" s="693">
        <v>0.78500000000000003</v>
      </c>
      <c r="E178" s="692">
        <v>29.73</v>
      </c>
      <c r="F178" s="692">
        <v>462.74</v>
      </c>
      <c r="G178" s="692">
        <v>666</v>
      </c>
      <c r="H178" s="692">
        <v>665.76</v>
      </c>
      <c r="I178" s="707"/>
      <c r="J178" s="707"/>
      <c r="K178" s="707"/>
      <c r="L178" s="707"/>
      <c r="M178" s="707"/>
      <c r="N178" s="715"/>
      <c r="O178" s="715"/>
      <c r="P178" s="715"/>
      <c r="Q178" s="715"/>
      <c r="R178" s="715"/>
      <c r="S178" s="715"/>
      <c r="T178" s="715"/>
      <c r="U178" s="707"/>
      <c r="V178" s="516"/>
      <c r="W178" s="516"/>
      <c r="X178" s="516"/>
      <c r="Y178" s="516"/>
      <c r="Z178" s="516"/>
      <c r="AA178" s="516"/>
      <c r="AB178" s="515"/>
      <c r="AC178" s="515"/>
      <c r="AD178" s="707"/>
      <c r="AE178" s="707"/>
      <c r="AF178" s="707"/>
      <c r="AG178" s="707"/>
      <c r="AH178" s="516"/>
      <c r="AI178" s="516"/>
      <c r="AJ178" s="516"/>
      <c r="AK178" s="516"/>
      <c r="AL178" s="516"/>
      <c r="AM178" s="516"/>
      <c r="AN178" s="516"/>
      <c r="AV178" s="516"/>
      <c r="AW178" s="516"/>
      <c r="AX178" s="516"/>
      <c r="AY178" s="516"/>
      <c r="AZ178" s="516"/>
      <c r="BA178" s="516"/>
      <c r="BB178" s="439"/>
      <c r="BC178" s="439"/>
      <c r="BD178" s="439"/>
      <c r="BE178" s="439"/>
      <c r="BF178" s="439"/>
      <c r="BG178" s="439"/>
      <c r="BH178" s="439"/>
      <c r="BI178" s="439"/>
      <c r="BJ178" s="439"/>
      <c r="BK178" s="439"/>
      <c r="BL178" s="439"/>
      <c r="BM178" s="439"/>
      <c r="BN178" s="439"/>
      <c r="BO178" s="439"/>
      <c r="BP178" s="439"/>
      <c r="BQ178" s="439"/>
      <c r="BR178" s="439"/>
      <c r="BS178" s="439"/>
      <c r="BT178" s="439"/>
    </row>
    <row r="179" spans="1:72" ht="15.75" x14ac:dyDescent="0.25">
      <c r="A179" s="718">
        <v>702</v>
      </c>
      <c r="B179" s="717">
        <v>7.19</v>
      </c>
      <c r="C179" s="692">
        <v>91.93</v>
      </c>
      <c r="D179" s="693">
        <v>3.7610000000000001</v>
      </c>
      <c r="E179" s="692">
        <v>142.44999999999999</v>
      </c>
      <c r="F179" s="692">
        <v>462.74</v>
      </c>
      <c r="G179" s="692">
        <v>698</v>
      </c>
      <c r="H179" s="692">
        <v>697.12</v>
      </c>
      <c r="I179" s="707"/>
      <c r="J179" s="707"/>
      <c r="K179" s="707"/>
      <c r="L179" s="707"/>
      <c r="M179" s="707"/>
      <c r="N179" s="715"/>
      <c r="O179" s="715"/>
      <c r="P179" s="715"/>
      <c r="Q179" s="715"/>
      <c r="R179" s="715"/>
      <c r="S179" s="715"/>
      <c r="T179" s="715"/>
      <c r="U179" s="707"/>
      <c r="V179" s="516"/>
      <c r="W179" s="516"/>
      <c r="X179" s="516"/>
      <c r="Y179" s="516"/>
      <c r="Z179" s="516"/>
      <c r="AA179" s="516"/>
      <c r="AB179" s="515"/>
      <c r="AC179" s="515"/>
      <c r="AD179" s="707"/>
      <c r="AE179" s="707"/>
      <c r="AF179" s="707"/>
      <c r="AG179" s="707"/>
      <c r="AH179" s="516"/>
      <c r="AI179" s="516"/>
      <c r="AJ179" s="516"/>
      <c r="AK179" s="516"/>
      <c r="AL179" s="516"/>
      <c r="AM179" s="516"/>
      <c r="AN179" s="516"/>
      <c r="AV179" s="516"/>
      <c r="AW179" s="516"/>
      <c r="AX179" s="516"/>
      <c r="AY179" s="516"/>
      <c r="AZ179" s="516"/>
      <c r="BA179" s="516"/>
      <c r="BB179" s="439"/>
      <c r="BC179" s="439"/>
      <c r="BD179" s="439"/>
      <c r="BE179" s="439"/>
      <c r="BF179" s="439"/>
      <c r="BG179" s="439"/>
      <c r="BH179" s="439"/>
      <c r="BI179" s="439"/>
      <c r="BJ179" s="439"/>
      <c r="BK179" s="439"/>
      <c r="BL179" s="439"/>
      <c r="BM179" s="439"/>
      <c r="BN179" s="439"/>
      <c r="BO179" s="439"/>
      <c r="BP179" s="439"/>
      <c r="BQ179" s="439"/>
      <c r="BR179" s="439"/>
      <c r="BS179" s="439"/>
      <c r="BT179" s="439"/>
    </row>
    <row r="180" spans="1:72" ht="15.75" x14ac:dyDescent="0.25">
      <c r="A180" s="718">
        <v>801</v>
      </c>
      <c r="B180" s="717">
        <v>4.5309999999999997</v>
      </c>
      <c r="C180" s="692">
        <v>58.51</v>
      </c>
      <c r="D180" s="693">
        <v>0.42299999999999999</v>
      </c>
      <c r="E180" s="692">
        <v>16.02</v>
      </c>
      <c r="F180" s="692">
        <v>462.74</v>
      </c>
      <c r="G180" s="692">
        <v>538</v>
      </c>
      <c r="H180" s="692">
        <v>537.27</v>
      </c>
      <c r="I180" s="707"/>
      <c r="J180" s="707"/>
      <c r="K180" s="707"/>
      <c r="L180" s="707"/>
      <c r="M180" s="707"/>
      <c r="N180" s="715"/>
      <c r="O180" s="715"/>
      <c r="P180" s="715"/>
      <c r="Q180" s="715"/>
      <c r="R180" s="715"/>
      <c r="S180" s="715"/>
      <c r="T180" s="715"/>
      <c r="U180" s="707"/>
      <c r="V180" s="516"/>
      <c r="W180" s="516"/>
      <c r="X180" s="516"/>
      <c r="Y180" s="516"/>
      <c r="Z180" s="516"/>
      <c r="AA180" s="516"/>
      <c r="AB180" s="515"/>
      <c r="AC180" s="515"/>
      <c r="AD180" s="707"/>
      <c r="AE180" s="707"/>
      <c r="AF180" s="707"/>
      <c r="AG180" s="707"/>
      <c r="AH180" s="516"/>
      <c r="AI180" s="516"/>
      <c r="AJ180" s="516"/>
      <c r="AK180" s="516"/>
      <c r="AL180" s="516"/>
      <c r="AM180" s="516"/>
      <c r="AN180" s="516"/>
      <c r="AV180" s="516"/>
      <c r="AW180" s="516"/>
      <c r="AX180" s="516"/>
      <c r="AY180" s="516"/>
      <c r="AZ180" s="516"/>
      <c r="BA180" s="516"/>
      <c r="BB180" s="439"/>
      <c r="BC180" s="439"/>
      <c r="BD180" s="439"/>
      <c r="BE180" s="439"/>
      <c r="BF180" s="439"/>
      <c r="BG180" s="439"/>
      <c r="BH180" s="439"/>
      <c r="BI180" s="439"/>
      <c r="BJ180" s="439"/>
      <c r="BK180" s="439"/>
      <c r="BL180" s="439"/>
      <c r="BM180" s="439"/>
      <c r="BN180" s="439"/>
      <c r="BO180" s="439"/>
      <c r="BP180" s="439"/>
      <c r="BQ180" s="439"/>
      <c r="BR180" s="439"/>
      <c r="BS180" s="439"/>
      <c r="BT180" s="439"/>
    </row>
    <row r="181" spans="1:72" ht="15.75" x14ac:dyDescent="0.25">
      <c r="A181" s="718">
        <v>802</v>
      </c>
      <c r="B181" s="717">
        <v>14.109</v>
      </c>
      <c r="C181" s="692">
        <v>181.86</v>
      </c>
      <c r="D181" s="693">
        <v>2.44</v>
      </c>
      <c r="E181" s="692">
        <v>92.42</v>
      </c>
      <c r="F181" s="692">
        <v>462.74</v>
      </c>
      <c r="G181" s="719">
        <v>738</v>
      </c>
      <c r="H181" s="719">
        <v>737.02</v>
      </c>
      <c r="I181" s="707"/>
      <c r="J181" s="707"/>
      <c r="K181" s="707"/>
      <c r="L181" s="707"/>
      <c r="M181" s="707"/>
      <c r="N181" s="715"/>
      <c r="O181" s="715"/>
      <c r="P181" s="715"/>
      <c r="Q181" s="715"/>
      <c r="R181" s="715"/>
      <c r="S181" s="715"/>
      <c r="T181" s="715"/>
      <c r="U181" s="707"/>
      <c r="V181" s="516"/>
      <c r="W181" s="516"/>
      <c r="X181" s="516"/>
      <c r="Y181" s="516"/>
      <c r="Z181" s="516"/>
      <c r="AA181" s="516"/>
      <c r="AB181" s="515"/>
      <c r="AC181" s="515"/>
      <c r="AD181" s="707"/>
      <c r="AE181" s="707"/>
      <c r="AF181" s="707"/>
      <c r="AG181" s="707"/>
      <c r="AH181" s="516"/>
      <c r="AI181" s="516"/>
      <c r="AJ181" s="516"/>
      <c r="AK181" s="516"/>
      <c r="AL181" s="516"/>
      <c r="AM181" s="516"/>
      <c r="AN181" s="516"/>
      <c r="AV181" s="516"/>
      <c r="AW181" s="516"/>
      <c r="AX181" s="516"/>
      <c r="AY181" s="516"/>
      <c r="AZ181" s="516"/>
      <c r="BA181" s="516"/>
      <c r="BB181" s="439"/>
      <c r="BC181" s="439"/>
      <c r="BD181" s="439"/>
      <c r="BE181" s="439"/>
      <c r="BF181" s="439"/>
      <c r="BG181" s="439"/>
      <c r="BH181" s="439"/>
      <c r="BI181" s="439"/>
      <c r="BJ181" s="439"/>
      <c r="BK181" s="439"/>
      <c r="BL181" s="439"/>
      <c r="BM181" s="439"/>
      <c r="BN181" s="439"/>
      <c r="BO181" s="439"/>
      <c r="BP181" s="439"/>
      <c r="BQ181" s="439"/>
      <c r="BR181" s="439"/>
      <c r="BS181" s="439"/>
      <c r="BT181" s="439"/>
    </row>
    <row r="182" spans="1:72" ht="15.75" x14ac:dyDescent="0.25">
      <c r="A182" s="516"/>
      <c r="B182" s="708"/>
      <c r="C182" s="709"/>
      <c r="D182" s="708"/>
      <c r="E182" s="709"/>
      <c r="F182" s="706"/>
      <c r="G182" s="706"/>
      <c r="H182" s="706"/>
      <c r="I182" s="707"/>
      <c r="J182" s="707"/>
      <c r="K182" s="707"/>
      <c r="L182" s="707"/>
      <c r="M182" s="707"/>
      <c r="N182" s="715"/>
      <c r="O182" s="715"/>
      <c r="P182" s="715"/>
      <c r="Q182" s="715"/>
      <c r="R182" s="715"/>
      <c r="S182" s="715"/>
      <c r="T182" s="715"/>
      <c r="U182" s="707"/>
      <c r="V182" s="516"/>
      <c r="W182" s="516"/>
      <c r="X182" s="516"/>
      <c r="Y182" s="516"/>
      <c r="Z182" s="516"/>
      <c r="AA182" s="516"/>
      <c r="AB182" s="515"/>
      <c r="AC182" s="515"/>
      <c r="AD182" s="707"/>
      <c r="AE182" s="707"/>
      <c r="AF182" s="707"/>
      <c r="AG182" s="707"/>
      <c r="AH182" s="516"/>
      <c r="AI182" s="516"/>
      <c r="AJ182" s="516"/>
      <c r="AK182" s="516"/>
      <c r="AL182" s="516"/>
      <c r="AM182" s="516"/>
      <c r="AN182" s="516"/>
      <c r="AV182" s="516"/>
      <c r="AW182" s="516"/>
      <c r="AX182" s="516"/>
      <c r="AY182" s="516"/>
      <c r="AZ182" s="516"/>
      <c r="BA182" s="516"/>
      <c r="BB182" s="439"/>
      <c r="BC182" s="439"/>
      <c r="BD182" s="439"/>
      <c r="BE182" s="439"/>
      <c r="BF182" s="439"/>
      <c r="BG182" s="439"/>
      <c r="BH182" s="439"/>
      <c r="BI182" s="439"/>
      <c r="BJ182" s="439"/>
      <c r="BK182" s="439"/>
      <c r="BL182" s="439"/>
      <c r="BM182" s="439"/>
      <c r="BN182" s="439"/>
      <c r="BO182" s="439"/>
      <c r="BP182" s="439"/>
      <c r="BQ182" s="439"/>
      <c r="BR182" s="439"/>
      <c r="BS182" s="439"/>
      <c r="BT182" s="439"/>
    </row>
    <row r="183" spans="1:72" s="424" customFormat="1" ht="15.75" x14ac:dyDescent="0.25">
      <c r="A183" s="568" t="s">
        <v>392</v>
      </c>
      <c r="B183" s="569" t="s">
        <v>435</v>
      </c>
      <c r="C183" s="570"/>
      <c r="D183" s="571"/>
      <c r="E183" s="572"/>
      <c r="F183" s="570"/>
      <c r="G183" s="572"/>
      <c r="H183" s="569" t="s">
        <v>435</v>
      </c>
      <c r="I183" s="571"/>
      <c r="J183" s="571"/>
      <c r="K183" s="570"/>
      <c r="L183" s="571"/>
      <c r="M183" s="571"/>
      <c r="N183" s="571"/>
      <c r="O183" s="571"/>
      <c r="P183" s="569" t="s">
        <v>435</v>
      </c>
      <c r="Q183" s="571"/>
      <c r="R183" s="571"/>
      <c r="S183" s="571"/>
      <c r="T183" s="573"/>
      <c r="U183" s="574"/>
      <c r="V183" s="571"/>
    </row>
    <row r="184" spans="1:72" x14ac:dyDescent="0.25">
      <c r="A184" s="720"/>
      <c r="B184" s="720"/>
      <c r="C184" s="720"/>
      <c r="D184" s="720"/>
      <c r="E184" s="720"/>
      <c r="F184" s="720"/>
      <c r="G184" s="720"/>
      <c r="H184" s="721"/>
      <c r="I184" s="721"/>
      <c r="J184" s="721"/>
      <c r="K184" s="721"/>
      <c r="L184" s="715"/>
      <c r="M184" s="715"/>
      <c r="N184" s="715"/>
      <c r="O184" s="715"/>
      <c r="P184" s="715"/>
      <c r="Q184" s="715"/>
      <c r="R184" s="715"/>
      <c r="S184" s="715"/>
      <c r="T184" s="715"/>
      <c r="U184" s="707"/>
      <c r="V184" s="516"/>
      <c r="W184" s="516"/>
      <c r="X184" s="516"/>
      <c r="Y184" s="516"/>
      <c r="Z184" s="516"/>
      <c r="AA184" s="515"/>
      <c r="AB184" s="515"/>
      <c r="AC184" s="515"/>
      <c r="AD184" s="707"/>
      <c r="AE184" s="707"/>
      <c r="AF184" s="707"/>
      <c r="AG184" s="707"/>
      <c r="AH184" s="516"/>
      <c r="AI184" s="516"/>
      <c r="AJ184" s="516"/>
      <c r="AK184" s="516"/>
      <c r="AL184" s="516"/>
      <c r="AM184" s="516"/>
      <c r="AN184" s="516"/>
      <c r="AV184" s="516"/>
      <c r="AW184" s="516"/>
      <c r="AX184" s="516"/>
      <c r="AY184" s="516"/>
      <c r="AZ184" s="516"/>
      <c r="BA184" s="516"/>
      <c r="BB184" s="439"/>
      <c r="BC184" s="439"/>
      <c r="BD184" s="439"/>
      <c r="BE184" s="439"/>
      <c r="BF184" s="439"/>
      <c r="BG184" s="439"/>
      <c r="BH184" s="439"/>
      <c r="BI184" s="439"/>
      <c r="BJ184" s="439"/>
      <c r="BK184" s="439"/>
      <c r="BL184" s="439"/>
      <c r="BM184" s="439"/>
      <c r="BN184" s="439"/>
      <c r="BO184" s="439"/>
      <c r="BP184" s="439"/>
      <c r="BQ184" s="439"/>
      <c r="BR184" s="439"/>
      <c r="BS184" s="439"/>
      <c r="BT184" s="439"/>
    </row>
    <row r="185" spans="1:72" s="425" customFormat="1" x14ac:dyDescent="0.25">
      <c r="A185" s="722"/>
      <c r="B185" s="723"/>
      <c r="C185" s="723"/>
      <c r="D185" s="723"/>
      <c r="E185" s="723"/>
      <c r="F185" s="723"/>
      <c r="G185" s="724"/>
      <c r="H185" s="721"/>
      <c r="I185" s="721"/>
      <c r="J185" s="721"/>
      <c r="K185" s="721"/>
      <c r="L185" s="715"/>
      <c r="M185" s="715"/>
      <c r="N185" s="715"/>
      <c r="O185" s="715"/>
      <c r="P185" s="715"/>
      <c r="Q185" s="715"/>
      <c r="R185" s="715"/>
      <c r="S185" s="715"/>
      <c r="T185" s="715"/>
      <c r="U185" s="707"/>
      <c r="V185" s="516"/>
      <c r="W185" s="516"/>
      <c r="X185" s="516"/>
      <c r="Y185" s="516"/>
      <c r="Z185" s="516"/>
      <c r="AA185" s="515"/>
      <c r="AB185" s="515"/>
      <c r="AC185" s="515"/>
      <c r="AD185" s="707"/>
      <c r="AE185" s="707"/>
      <c r="AF185" s="707"/>
      <c r="AG185" s="707"/>
      <c r="AH185" s="516"/>
      <c r="AI185" s="516"/>
      <c r="AJ185" s="516"/>
      <c r="AK185" s="516"/>
      <c r="AL185" s="516"/>
      <c r="AM185" s="516"/>
      <c r="AN185" s="516"/>
      <c r="AV185" s="516"/>
      <c r="AW185" s="516"/>
      <c r="AX185" s="516"/>
      <c r="AY185" s="516"/>
      <c r="AZ185" s="516"/>
      <c r="BA185" s="516"/>
      <c r="BB185" s="439"/>
      <c r="BC185" s="439"/>
      <c r="BD185" s="439"/>
      <c r="BE185" s="439"/>
      <c r="BF185" s="439"/>
      <c r="BG185" s="439"/>
      <c r="BH185" s="439"/>
      <c r="BI185" s="439"/>
      <c r="BJ185" s="439"/>
      <c r="BK185" s="439"/>
      <c r="BL185" s="439"/>
      <c r="BM185" s="439"/>
      <c r="BN185" s="439"/>
      <c r="BO185" s="439"/>
      <c r="BP185" s="439"/>
      <c r="BQ185" s="439"/>
      <c r="BR185" s="439"/>
      <c r="BS185" s="439"/>
      <c r="BT185" s="439"/>
    </row>
    <row r="186" spans="1:72" s="425" customFormat="1" x14ac:dyDescent="0.25">
      <c r="A186" s="722"/>
      <c r="B186" s="723"/>
      <c r="C186" s="723"/>
      <c r="D186" s="723"/>
      <c r="E186" s="723"/>
      <c r="F186" s="723"/>
      <c r="G186" s="724"/>
      <c r="H186" s="721"/>
      <c r="I186" s="721"/>
      <c r="J186" s="721"/>
      <c r="K186" s="721"/>
      <c r="L186" s="715"/>
      <c r="M186" s="715"/>
      <c r="N186" s="715"/>
      <c r="O186" s="715"/>
      <c r="P186" s="715"/>
      <c r="Q186" s="715"/>
      <c r="R186" s="715"/>
      <c r="S186" s="715"/>
      <c r="T186" s="715"/>
      <c r="U186" s="707"/>
      <c r="V186" s="516"/>
      <c r="W186" s="516"/>
      <c r="X186" s="516"/>
      <c r="Y186" s="516"/>
      <c r="Z186" s="516"/>
      <c r="AA186" s="515"/>
      <c r="AB186" s="515"/>
      <c r="AC186" s="515"/>
      <c r="AD186" s="707"/>
      <c r="AE186" s="707"/>
      <c r="AF186" s="707"/>
      <c r="AG186" s="707"/>
      <c r="AH186" s="516"/>
      <c r="AI186" s="516"/>
      <c r="AJ186" s="516"/>
      <c r="AK186" s="516"/>
      <c r="AL186" s="516"/>
      <c r="AM186" s="516"/>
      <c r="AN186" s="516"/>
      <c r="AV186" s="516"/>
      <c r="AW186" s="516"/>
      <c r="AX186" s="516"/>
      <c r="AY186" s="516"/>
      <c r="AZ186" s="516"/>
      <c r="BA186" s="516"/>
      <c r="BB186" s="439"/>
      <c r="BC186" s="439"/>
      <c r="BD186" s="439"/>
      <c r="BE186" s="439"/>
      <c r="BF186" s="439"/>
      <c r="BG186" s="439"/>
      <c r="BH186" s="439"/>
      <c r="BI186" s="439"/>
      <c r="BJ186" s="439"/>
      <c r="BK186" s="439"/>
      <c r="BL186" s="439"/>
      <c r="BM186" s="439"/>
      <c r="BN186" s="439"/>
      <c r="BO186" s="439"/>
      <c r="BP186" s="439"/>
      <c r="BQ186" s="439"/>
      <c r="BR186" s="439"/>
      <c r="BS186" s="439"/>
      <c r="BT186" s="439"/>
    </row>
    <row r="187" spans="1:72" s="425" customFormat="1" x14ac:dyDescent="0.25">
      <c r="A187" s="722"/>
      <c r="B187" s="723"/>
      <c r="C187" s="723"/>
      <c r="D187" s="723"/>
      <c r="E187" s="723"/>
      <c r="F187" s="723"/>
      <c r="G187" s="724"/>
      <c r="H187" s="721"/>
      <c r="I187" s="721"/>
      <c r="J187" s="721"/>
      <c r="K187" s="721"/>
      <c r="L187" s="715"/>
      <c r="M187" s="715"/>
      <c r="N187" s="715"/>
      <c r="O187" s="715"/>
      <c r="P187" s="715"/>
      <c r="Q187" s="715"/>
      <c r="R187" s="715"/>
      <c r="S187" s="715"/>
      <c r="T187" s="715"/>
      <c r="U187" s="707"/>
      <c r="V187" s="516"/>
      <c r="W187" s="516"/>
      <c r="X187" s="516"/>
      <c r="Y187" s="516"/>
      <c r="Z187" s="516"/>
      <c r="AA187" s="515"/>
      <c r="AB187" s="515"/>
      <c r="AC187" s="515"/>
      <c r="AD187" s="707"/>
      <c r="AE187" s="707"/>
      <c r="AF187" s="707"/>
      <c r="AG187" s="707"/>
      <c r="AH187" s="516"/>
      <c r="AI187" s="516"/>
      <c r="AJ187" s="516"/>
      <c r="AK187" s="516"/>
      <c r="AL187" s="516"/>
      <c r="AM187" s="516"/>
      <c r="AN187" s="516"/>
      <c r="AV187" s="516"/>
      <c r="AW187" s="516"/>
      <c r="AX187" s="516"/>
      <c r="AY187" s="516"/>
      <c r="AZ187" s="516"/>
      <c r="BA187" s="516"/>
      <c r="BB187" s="439"/>
      <c r="BC187" s="439"/>
      <c r="BD187" s="439"/>
      <c r="BE187" s="439"/>
      <c r="BF187" s="439"/>
      <c r="BG187" s="439"/>
      <c r="BH187" s="439"/>
      <c r="BI187" s="439"/>
      <c r="BJ187" s="439"/>
      <c r="BK187" s="439"/>
      <c r="BL187" s="439"/>
      <c r="BM187" s="439"/>
      <c r="BN187" s="439"/>
      <c r="BO187" s="439"/>
      <c r="BP187" s="439"/>
      <c r="BQ187" s="439"/>
      <c r="BR187" s="439"/>
      <c r="BS187" s="439"/>
      <c r="BT187" s="439"/>
    </row>
    <row r="188" spans="1:72" x14ac:dyDescent="0.25">
      <c r="A188" s="720"/>
      <c r="B188" s="720"/>
      <c r="C188" s="720"/>
      <c r="D188" s="720"/>
      <c r="E188" s="720"/>
      <c r="F188" s="720"/>
      <c r="G188" s="720"/>
      <c r="H188" s="721"/>
      <c r="I188" s="721"/>
      <c r="J188" s="721"/>
      <c r="K188" s="721"/>
      <c r="L188" s="715"/>
      <c r="M188" s="715"/>
      <c r="N188" s="715"/>
      <c r="O188" s="715"/>
      <c r="P188" s="715"/>
      <c r="Q188" s="715"/>
      <c r="R188" s="715"/>
      <c r="S188" s="715"/>
      <c r="T188" s="715"/>
      <c r="U188" s="707"/>
      <c r="V188" s="516"/>
      <c r="W188" s="516"/>
      <c r="X188" s="516"/>
      <c r="Y188" s="516"/>
      <c r="Z188" s="516"/>
      <c r="AA188" s="515"/>
      <c r="AB188" s="515"/>
      <c r="AC188" s="515"/>
      <c r="AD188" s="707"/>
      <c r="AE188" s="707"/>
      <c r="AF188" s="707"/>
      <c r="AG188" s="707"/>
      <c r="AH188" s="516"/>
      <c r="AI188" s="516"/>
      <c r="AJ188" s="516"/>
      <c r="AK188" s="516"/>
      <c r="AL188" s="516"/>
      <c r="AM188" s="516"/>
      <c r="AN188" s="516"/>
      <c r="AV188" s="516"/>
      <c r="AW188" s="516"/>
      <c r="AX188" s="516"/>
      <c r="AY188" s="516"/>
      <c r="AZ188" s="516"/>
      <c r="BA188" s="516"/>
      <c r="BB188" s="439"/>
      <c r="BC188" s="439"/>
      <c r="BD188" s="439"/>
      <c r="BE188" s="439"/>
      <c r="BF188" s="439"/>
      <c r="BG188" s="439"/>
      <c r="BH188" s="439"/>
      <c r="BI188" s="439"/>
      <c r="BJ188" s="439"/>
      <c r="BK188" s="439"/>
      <c r="BL188" s="439"/>
      <c r="BM188" s="439"/>
      <c r="BN188" s="439"/>
      <c r="BO188" s="439"/>
      <c r="BP188" s="439"/>
      <c r="BQ188" s="439"/>
      <c r="BR188" s="439"/>
      <c r="BS188" s="439"/>
      <c r="BT188" s="439"/>
    </row>
    <row r="189" spans="1:72" s="425" customFormat="1" ht="15.75" x14ac:dyDescent="0.25">
      <c r="A189" s="725" t="s">
        <v>242</v>
      </c>
      <c r="B189" s="726"/>
      <c r="C189" s="726"/>
      <c r="D189" s="726"/>
      <c r="E189" s="726"/>
      <c r="F189" s="727"/>
      <c r="G189" s="728">
        <f>G247</f>
        <v>34040.28</v>
      </c>
      <c r="H189" s="721"/>
      <c r="I189" s="721"/>
      <c r="J189" s="729"/>
      <c r="K189" s="721"/>
      <c r="L189" s="721"/>
      <c r="M189" s="721"/>
      <c r="N189" s="721"/>
      <c r="O189" s="721"/>
      <c r="P189" s="721"/>
      <c r="Q189" s="721"/>
      <c r="R189" s="721"/>
      <c r="S189" s="721"/>
      <c r="T189" s="721"/>
      <c r="U189" s="707"/>
      <c r="V189" s="516"/>
      <c r="W189" s="516"/>
      <c r="X189" s="516"/>
      <c r="Y189" s="516"/>
      <c r="Z189" s="516"/>
      <c r="AA189" s="515"/>
      <c r="AB189" s="515"/>
      <c r="AC189" s="515"/>
      <c r="AD189" s="707"/>
      <c r="AE189" s="707"/>
      <c r="AF189" s="707"/>
      <c r="AG189" s="707"/>
      <c r="AH189" s="516"/>
      <c r="AI189" s="516"/>
      <c r="AJ189" s="516"/>
      <c r="AK189" s="516"/>
      <c r="AL189" s="516"/>
      <c r="AM189" s="516"/>
      <c r="AN189" s="516"/>
      <c r="AV189" s="516"/>
      <c r="AW189" s="516"/>
      <c r="AX189" s="516"/>
      <c r="AY189" s="516"/>
      <c r="AZ189" s="516"/>
      <c r="BA189" s="516"/>
      <c r="BB189" s="439"/>
      <c r="BC189" s="439"/>
      <c r="BD189" s="439"/>
      <c r="BE189" s="439"/>
      <c r="BF189" s="439"/>
      <c r="BG189" s="439"/>
      <c r="BH189" s="439"/>
      <c r="BI189" s="439"/>
      <c r="BJ189" s="439"/>
      <c r="BK189" s="439"/>
      <c r="BL189" s="439"/>
      <c r="BM189" s="439"/>
      <c r="BN189" s="439"/>
      <c r="BO189" s="439"/>
      <c r="BP189" s="439"/>
      <c r="BQ189" s="439"/>
      <c r="BR189" s="439"/>
      <c r="BS189" s="439"/>
      <c r="BT189" s="439"/>
    </row>
    <row r="190" spans="1:72" s="425" customFormat="1" ht="15.75" x14ac:dyDescent="0.25">
      <c r="A190" s="730" t="s">
        <v>241</v>
      </c>
      <c r="B190" s="731"/>
      <c r="C190" s="731"/>
      <c r="D190" s="731"/>
      <c r="E190" s="731"/>
      <c r="F190" s="732"/>
      <c r="G190" s="728">
        <f>G248</f>
        <v>2100</v>
      </c>
      <c r="H190" s="721"/>
      <c r="I190" s="733" t="s">
        <v>224</v>
      </c>
      <c r="J190" s="734"/>
      <c r="K190" s="721"/>
      <c r="L190" s="721"/>
      <c r="M190" s="721"/>
      <c r="N190" s="721"/>
      <c r="O190" s="721"/>
      <c r="P190" s="721"/>
      <c r="Q190" s="721"/>
      <c r="R190" s="721"/>
      <c r="S190" s="721"/>
      <c r="T190" s="721"/>
      <c r="U190" s="707"/>
      <c r="V190" s="516"/>
      <c r="W190" s="516"/>
      <c r="X190" s="516"/>
      <c r="Y190" s="516"/>
      <c r="Z190" s="516"/>
      <c r="AA190" s="515"/>
      <c r="AB190" s="515"/>
      <c r="AC190" s="515"/>
      <c r="AD190" s="707"/>
      <c r="AE190" s="707"/>
      <c r="AF190" s="707"/>
      <c r="AG190" s="707"/>
      <c r="AH190" s="516"/>
      <c r="AI190" s="516"/>
      <c r="AJ190" s="516"/>
      <c r="AK190" s="516"/>
      <c r="AL190" s="516"/>
      <c r="AM190" s="516"/>
      <c r="AN190" s="516"/>
      <c r="AV190" s="516"/>
      <c r="AW190" s="516"/>
      <c r="AX190" s="516"/>
      <c r="AY190" s="516"/>
      <c r="AZ190" s="516"/>
      <c r="BA190" s="516"/>
      <c r="BB190" s="439"/>
      <c r="BC190" s="439"/>
      <c r="BD190" s="439"/>
      <c r="BE190" s="439"/>
      <c r="BF190" s="439"/>
      <c r="BG190" s="439"/>
      <c r="BH190" s="439"/>
      <c r="BI190" s="439"/>
      <c r="BJ190" s="439"/>
      <c r="BK190" s="439"/>
      <c r="BL190" s="439"/>
      <c r="BM190" s="439"/>
      <c r="BN190" s="439"/>
      <c r="BO190" s="439"/>
      <c r="BP190" s="439"/>
      <c r="BQ190" s="439"/>
      <c r="BR190" s="439"/>
      <c r="BS190" s="439"/>
      <c r="BT190" s="439"/>
    </row>
    <row r="191" spans="1:72" s="425" customFormat="1" ht="15.75" x14ac:dyDescent="0.25">
      <c r="A191" s="725" t="s">
        <v>41</v>
      </c>
      <c r="B191" s="726"/>
      <c r="C191" s="726"/>
      <c r="D191" s="726"/>
      <c r="E191" s="726"/>
      <c r="F191" s="727"/>
      <c r="G191" s="728">
        <f>G249</f>
        <v>-9982.5400000000009</v>
      </c>
      <c r="H191" s="721"/>
      <c r="I191" s="735"/>
      <c r="J191" s="734"/>
      <c r="K191" s="721"/>
      <c r="L191" s="721"/>
      <c r="M191" s="721"/>
      <c r="N191" s="721"/>
      <c r="O191" s="721"/>
      <c r="P191" s="721"/>
      <c r="Q191" s="721"/>
      <c r="R191" s="721"/>
      <c r="S191" s="721"/>
      <c r="T191" s="721"/>
      <c r="U191" s="707"/>
      <c r="V191" s="516"/>
      <c r="W191" s="516"/>
      <c r="X191" s="516"/>
      <c r="Y191" s="516"/>
      <c r="Z191" s="516"/>
      <c r="AA191" s="515"/>
      <c r="AB191" s="515"/>
      <c r="AC191" s="515"/>
      <c r="AD191" s="707"/>
      <c r="AE191" s="707"/>
      <c r="AF191" s="707"/>
      <c r="AG191" s="707"/>
      <c r="AH191" s="516"/>
      <c r="AI191" s="516"/>
      <c r="AJ191" s="516"/>
      <c r="AK191" s="516"/>
      <c r="AL191" s="516"/>
      <c r="AM191" s="516"/>
      <c r="AN191" s="516"/>
      <c r="AV191" s="516"/>
      <c r="AW191" s="516"/>
      <c r="AX191" s="516"/>
      <c r="AY191" s="516"/>
      <c r="AZ191" s="516"/>
      <c r="BA191" s="516"/>
      <c r="BB191" s="439"/>
      <c r="BC191" s="439"/>
      <c r="BD191" s="439"/>
      <c r="BE191" s="439"/>
      <c r="BF191" s="439"/>
      <c r="BG191" s="439"/>
      <c r="BH191" s="439"/>
      <c r="BI191" s="439"/>
      <c r="BJ191" s="439"/>
      <c r="BK191" s="439"/>
      <c r="BL191" s="439"/>
      <c r="BM191" s="439"/>
      <c r="BN191" s="439"/>
      <c r="BO191" s="439"/>
      <c r="BP191" s="439"/>
      <c r="BQ191" s="439"/>
      <c r="BR191" s="439"/>
      <c r="BS191" s="439"/>
      <c r="BT191" s="439"/>
    </row>
    <row r="192" spans="1:72" s="425" customFormat="1" ht="15.75" x14ac:dyDescent="0.25">
      <c r="A192" s="725" t="s">
        <v>240</v>
      </c>
      <c r="B192" s="726"/>
      <c r="C192" s="726"/>
      <c r="D192" s="726"/>
      <c r="E192" s="726"/>
      <c r="F192" s="727"/>
      <c r="G192" s="728">
        <f>SUM(G189:G191)</f>
        <v>26157.739999999998</v>
      </c>
      <c r="H192" s="721"/>
      <c r="I192" s="735"/>
      <c r="J192" s="734"/>
      <c r="K192" s="721"/>
      <c r="L192" s="721"/>
      <c r="M192" s="721"/>
      <c r="N192" s="721"/>
      <c r="O192" s="721"/>
      <c r="P192" s="721"/>
      <c r="Q192" s="721"/>
      <c r="R192" s="721"/>
      <c r="S192" s="721"/>
      <c r="T192" s="721"/>
      <c r="U192" s="707"/>
      <c r="V192" s="516"/>
      <c r="W192" s="516"/>
      <c r="X192" s="516"/>
      <c r="Y192" s="516"/>
      <c r="Z192" s="516"/>
      <c r="AA192" s="515"/>
      <c r="AB192" s="515"/>
      <c r="AC192" s="515"/>
      <c r="AD192" s="707"/>
      <c r="AE192" s="707"/>
      <c r="AF192" s="707"/>
      <c r="AG192" s="707"/>
      <c r="AH192" s="516"/>
      <c r="AI192" s="516"/>
      <c r="AJ192" s="516"/>
      <c r="AK192" s="516"/>
      <c r="AL192" s="516"/>
      <c r="AM192" s="516"/>
      <c r="AN192" s="516"/>
      <c r="AV192" s="516"/>
      <c r="AW192" s="516"/>
      <c r="AX192" s="516"/>
      <c r="AY192" s="516"/>
      <c r="AZ192" s="516"/>
      <c r="BA192" s="516"/>
      <c r="BB192" s="439"/>
      <c r="BC192" s="439"/>
      <c r="BD192" s="439"/>
      <c r="BE192" s="439"/>
      <c r="BF192" s="439"/>
      <c r="BG192" s="439"/>
      <c r="BH192" s="439"/>
      <c r="BI192" s="439"/>
      <c r="BJ192" s="439"/>
      <c r="BK192" s="439"/>
      <c r="BL192" s="439"/>
      <c r="BM192" s="439"/>
      <c r="BN192" s="439"/>
      <c r="BO192" s="439"/>
      <c r="BP192" s="439"/>
      <c r="BQ192" s="439"/>
      <c r="BR192" s="439"/>
      <c r="BS192" s="439"/>
      <c r="BT192" s="439"/>
    </row>
    <row r="193" spans="1:72" s="425" customFormat="1" ht="18.75" x14ac:dyDescent="0.3">
      <c r="A193" s="736"/>
      <c r="B193" s="736"/>
      <c r="C193" s="736"/>
      <c r="D193" s="736"/>
      <c r="E193" s="736"/>
      <c r="F193" s="736"/>
      <c r="G193" s="736"/>
      <c r="H193" s="721"/>
      <c r="I193" s="735"/>
      <c r="J193" s="734"/>
      <c r="K193" s="721"/>
      <c r="L193" s="721"/>
      <c r="M193" s="721"/>
      <c r="N193" s="721"/>
      <c r="O193" s="721"/>
      <c r="P193" s="721"/>
      <c r="Q193" s="721"/>
      <c r="R193" s="721"/>
      <c r="S193" s="721"/>
      <c r="T193" s="721"/>
      <c r="U193" s="707"/>
      <c r="V193" s="516"/>
      <c r="W193" s="516"/>
      <c r="X193" s="516"/>
      <c r="Y193" s="516"/>
      <c r="Z193" s="516"/>
      <c r="AA193" s="515"/>
      <c r="AB193" s="515"/>
      <c r="AC193" s="515"/>
      <c r="AD193" s="707"/>
      <c r="AE193" s="707"/>
      <c r="AF193" s="707"/>
      <c r="AG193" s="707"/>
      <c r="AH193" s="516"/>
      <c r="AI193" s="516"/>
      <c r="AJ193" s="516"/>
      <c r="AK193" s="516"/>
      <c r="AL193" s="516"/>
      <c r="AM193" s="516"/>
      <c r="AN193" s="516"/>
      <c r="AV193" s="516"/>
      <c r="AW193" s="516"/>
      <c r="AX193" s="516"/>
      <c r="AY193" s="516"/>
      <c r="AZ193" s="516"/>
      <c r="BA193" s="516"/>
      <c r="BB193" s="439"/>
      <c r="BC193" s="439"/>
      <c r="BD193" s="439"/>
      <c r="BE193" s="439"/>
      <c r="BF193" s="439"/>
      <c r="BG193" s="439"/>
      <c r="BH193" s="439"/>
      <c r="BI193" s="439"/>
      <c r="BJ193" s="439"/>
      <c r="BK193" s="439"/>
      <c r="BL193" s="439"/>
      <c r="BM193" s="439"/>
      <c r="BN193" s="439"/>
      <c r="BO193" s="439"/>
      <c r="BP193" s="439"/>
      <c r="BQ193" s="439"/>
      <c r="BR193" s="439"/>
      <c r="BS193" s="439"/>
      <c r="BT193" s="439"/>
    </row>
    <row r="194" spans="1:72" s="581" customFormat="1" ht="15.75" x14ac:dyDescent="0.25">
      <c r="A194" s="737" t="s">
        <v>167</v>
      </c>
      <c r="B194" s="738"/>
      <c r="C194" s="738"/>
      <c r="D194" s="738"/>
      <c r="E194" s="738"/>
      <c r="F194" s="738"/>
      <c r="G194" s="739"/>
      <c r="H194" s="721"/>
      <c r="I194" s="721"/>
      <c r="J194" s="721"/>
      <c r="K194" s="721"/>
      <c r="L194" s="721"/>
      <c r="M194" s="721"/>
      <c r="N194" s="721"/>
      <c r="O194" s="721"/>
      <c r="P194" s="721"/>
      <c r="Q194" s="721"/>
      <c r="R194" s="721"/>
      <c r="S194" s="721"/>
      <c r="T194" s="721"/>
      <c r="U194" s="721"/>
      <c r="V194" s="721"/>
      <c r="W194" s="721"/>
      <c r="X194" s="721"/>
      <c r="Y194" s="721"/>
      <c r="Z194" s="721"/>
      <c r="AA194" s="721"/>
      <c r="AB194" s="721"/>
      <c r="AC194" s="721"/>
      <c r="AD194" s="721"/>
      <c r="AE194" s="721"/>
      <c r="AF194" s="721"/>
      <c r="AG194" s="721"/>
      <c r="AH194" s="721"/>
      <c r="AI194" s="721"/>
      <c r="AJ194" s="721"/>
      <c r="AK194" s="721"/>
      <c r="AL194" s="721"/>
      <c r="AM194" s="721"/>
      <c r="AN194" s="721"/>
      <c r="AV194" s="721"/>
      <c r="AW194" s="721"/>
      <c r="AX194" s="721"/>
      <c r="AY194" s="721"/>
      <c r="AZ194" s="721"/>
      <c r="BA194" s="721"/>
      <c r="BB194" s="439"/>
      <c r="BC194" s="439"/>
      <c r="BD194" s="439"/>
      <c r="BE194" s="439"/>
      <c r="BF194" s="439"/>
      <c r="BG194" s="439"/>
      <c r="BH194" s="439"/>
      <c r="BI194" s="439"/>
      <c r="BJ194" s="439"/>
      <c r="BK194" s="439"/>
      <c r="BL194" s="439"/>
      <c r="BM194" s="439"/>
      <c r="BN194" s="439"/>
      <c r="BO194" s="439"/>
      <c r="BP194" s="439"/>
      <c r="BQ194" s="439"/>
      <c r="BR194" s="439"/>
      <c r="BS194" s="439"/>
      <c r="BT194" s="439"/>
    </row>
    <row r="195" spans="1:72" s="581" customFormat="1" ht="15.75" x14ac:dyDescent="0.25">
      <c r="A195" s="740" t="s">
        <v>168</v>
      </c>
      <c r="B195" s="741"/>
      <c r="C195" s="741"/>
      <c r="D195" s="741"/>
      <c r="E195" s="741"/>
      <c r="F195" s="741"/>
      <c r="G195" s="742"/>
      <c r="H195" s="721"/>
      <c r="I195" s="721"/>
      <c r="J195" s="721"/>
      <c r="K195" s="721"/>
      <c r="L195" s="721"/>
      <c r="M195" s="721"/>
      <c r="N195" s="721"/>
      <c r="O195" s="721"/>
      <c r="P195" s="721"/>
      <c r="Q195" s="721"/>
      <c r="R195" s="721"/>
      <c r="S195" s="721"/>
      <c r="T195" s="721"/>
      <c r="U195" s="721"/>
      <c r="V195" s="721"/>
      <c r="W195" s="721"/>
      <c r="X195" s="721"/>
      <c r="Y195" s="721"/>
      <c r="Z195" s="721"/>
      <c r="AA195" s="721"/>
      <c r="AB195" s="721"/>
      <c r="AC195" s="721"/>
      <c r="AD195" s="721"/>
      <c r="AE195" s="721"/>
      <c r="AF195" s="721"/>
      <c r="AG195" s="721"/>
      <c r="AH195" s="721"/>
      <c r="AI195" s="721"/>
      <c r="AJ195" s="721"/>
      <c r="AK195" s="721"/>
      <c r="AL195" s="721"/>
      <c r="AM195" s="721"/>
      <c r="AN195" s="721"/>
      <c r="AV195" s="721"/>
      <c r="AW195" s="721"/>
      <c r="AX195" s="721"/>
      <c r="AY195" s="721"/>
      <c r="AZ195" s="721"/>
      <c r="BA195" s="721"/>
      <c r="BB195" s="439"/>
      <c r="BC195" s="439"/>
      <c r="BD195" s="439"/>
      <c r="BE195" s="439"/>
      <c r="BF195" s="439"/>
      <c r="BG195" s="439"/>
      <c r="BH195" s="439"/>
      <c r="BI195" s="439"/>
      <c r="BJ195" s="439"/>
      <c r="BK195" s="439"/>
      <c r="BL195" s="439"/>
      <c r="BM195" s="439"/>
      <c r="BN195" s="439"/>
      <c r="BO195" s="439"/>
      <c r="BP195" s="439"/>
      <c r="BQ195" s="439"/>
      <c r="BR195" s="439"/>
      <c r="BS195" s="439"/>
      <c r="BT195" s="439"/>
    </row>
    <row r="196" spans="1:72" s="425" customFormat="1" ht="15.75" x14ac:dyDescent="0.25">
      <c r="A196" s="743" t="s">
        <v>25</v>
      </c>
      <c r="B196" s="744"/>
      <c r="C196" s="744"/>
      <c r="D196" s="744"/>
      <c r="E196" s="744"/>
      <c r="F196" s="744"/>
      <c r="G196" s="745"/>
      <c r="H196" s="721"/>
      <c r="I196" s="721"/>
      <c r="J196" s="721"/>
      <c r="K196" s="721"/>
      <c r="L196" s="721"/>
      <c r="M196" s="721"/>
      <c r="N196" s="721"/>
      <c r="O196" s="721"/>
      <c r="P196" s="721"/>
      <c r="Q196" s="721"/>
      <c r="R196" s="721"/>
      <c r="S196" s="721"/>
      <c r="T196" s="721"/>
      <c r="U196" s="707"/>
      <c r="V196" s="516"/>
      <c r="W196" s="516"/>
      <c r="X196" s="516"/>
      <c r="Y196" s="516"/>
      <c r="Z196" s="516"/>
      <c r="AA196" s="515"/>
      <c r="AB196" s="515"/>
      <c r="AC196" s="515"/>
      <c r="AD196" s="707"/>
      <c r="AE196" s="707"/>
      <c r="AF196" s="707"/>
      <c r="AG196" s="707"/>
      <c r="AH196" s="516"/>
      <c r="AI196" s="516"/>
      <c r="AJ196" s="516"/>
      <c r="AK196" s="516"/>
      <c r="AL196" s="516"/>
      <c r="AM196" s="516"/>
      <c r="AN196" s="516"/>
      <c r="AV196" s="516"/>
      <c r="AW196" s="516"/>
      <c r="AX196" s="516"/>
      <c r="AY196" s="516"/>
      <c r="AZ196" s="516"/>
      <c r="BA196" s="516"/>
      <c r="BB196" s="439"/>
      <c r="BC196" s="439"/>
      <c r="BD196" s="439"/>
      <c r="BE196" s="439"/>
      <c r="BF196" s="439"/>
      <c r="BG196" s="439"/>
      <c r="BH196" s="439"/>
      <c r="BI196" s="439"/>
      <c r="BJ196" s="439"/>
      <c r="BK196" s="439"/>
      <c r="BL196" s="439"/>
      <c r="BM196" s="439"/>
      <c r="BN196" s="439"/>
      <c r="BO196" s="439"/>
      <c r="BP196" s="439"/>
      <c r="BQ196" s="439"/>
      <c r="BR196" s="439"/>
      <c r="BS196" s="439"/>
      <c r="BT196" s="439"/>
    </row>
    <row r="197" spans="1:72" s="425" customFormat="1" ht="15.75" x14ac:dyDescent="0.25">
      <c r="A197" s="746" t="s">
        <v>26</v>
      </c>
      <c r="B197" s="747"/>
      <c r="C197" s="747"/>
      <c r="D197" s="747"/>
      <c r="E197" s="747"/>
      <c r="F197" s="747"/>
      <c r="G197" s="748"/>
      <c r="H197" s="721"/>
      <c r="I197" s="721"/>
      <c r="J197" s="721"/>
      <c r="K197" s="721"/>
      <c r="L197" s="721"/>
      <c r="M197" s="721"/>
      <c r="N197" s="721"/>
      <c r="O197" s="721"/>
      <c r="P197" s="721"/>
      <c r="Q197" s="721"/>
      <c r="R197" s="721"/>
      <c r="S197" s="721"/>
      <c r="T197" s="721"/>
      <c r="U197" s="707"/>
      <c r="V197" s="516"/>
      <c r="W197" s="516"/>
      <c r="X197" s="516"/>
      <c r="Y197" s="516"/>
      <c r="Z197" s="516"/>
      <c r="AA197" s="515"/>
      <c r="AB197" s="515"/>
      <c r="AC197" s="515"/>
      <c r="AD197" s="707"/>
      <c r="AE197" s="707"/>
      <c r="AF197" s="707"/>
      <c r="AG197" s="707"/>
      <c r="AH197" s="516"/>
      <c r="AI197" s="516"/>
      <c r="AJ197" s="516"/>
      <c r="AK197" s="516"/>
      <c r="AL197" s="516"/>
      <c r="AM197" s="516"/>
      <c r="AN197" s="516"/>
      <c r="AV197" s="516"/>
      <c r="AW197" s="516"/>
      <c r="AX197" s="516"/>
      <c r="AY197" s="516"/>
      <c r="AZ197" s="516"/>
      <c r="BA197" s="516"/>
      <c r="BB197" s="516"/>
      <c r="BC197" s="516"/>
      <c r="BD197" s="516"/>
      <c r="BE197" s="707"/>
      <c r="BF197" s="707"/>
      <c r="BG197" s="707"/>
      <c r="BH197" s="707"/>
      <c r="BI197" s="707"/>
      <c r="BJ197" s="707"/>
      <c r="BK197" s="707"/>
      <c r="BL197" s="707"/>
      <c r="BM197" s="707"/>
      <c r="BN197" s="707"/>
      <c r="BO197" s="707"/>
      <c r="BP197" s="707"/>
      <c r="BQ197" s="707"/>
      <c r="BR197" s="707"/>
      <c r="BS197" s="707"/>
      <c r="BT197" s="707"/>
    </row>
    <row r="198" spans="1:72" s="425" customFormat="1" ht="15.75" x14ac:dyDescent="0.25">
      <c r="A198" s="749"/>
      <c r="B198" s="749"/>
      <c r="C198" s="749"/>
      <c r="D198" s="749"/>
      <c r="E198" s="749"/>
      <c r="F198" s="749"/>
      <c r="G198" s="749"/>
      <c r="H198" s="721"/>
      <c r="I198" s="721"/>
      <c r="J198" s="721"/>
      <c r="K198" s="721"/>
      <c r="L198" s="721"/>
      <c r="M198" s="721"/>
      <c r="N198" s="721"/>
      <c r="O198" s="721"/>
      <c r="P198" s="721"/>
      <c r="Q198" s="721"/>
      <c r="R198" s="721"/>
      <c r="S198" s="721"/>
      <c r="T198" s="721"/>
      <c r="U198" s="707"/>
      <c r="V198" s="516"/>
      <c r="W198" s="516"/>
      <c r="X198" s="516"/>
      <c r="Y198" s="516"/>
      <c r="Z198" s="516"/>
      <c r="AA198" s="515"/>
      <c r="AB198" s="515"/>
      <c r="AC198" s="515"/>
      <c r="AD198" s="707"/>
      <c r="AE198" s="707"/>
      <c r="AF198" s="707"/>
      <c r="AG198" s="707"/>
      <c r="AH198" s="516"/>
      <c r="AI198" s="516"/>
      <c r="AJ198" s="516"/>
      <c r="AK198" s="516"/>
      <c r="AL198" s="516"/>
      <c r="AM198" s="516"/>
      <c r="AN198" s="516"/>
      <c r="AV198" s="516"/>
      <c r="AW198" s="516"/>
      <c r="AX198" s="516"/>
      <c r="AY198" s="516"/>
      <c r="AZ198" s="516"/>
      <c r="BA198" s="516"/>
      <c r="BB198" s="516"/>
      <c r="BC198" s="516"/>
      <c r="BD198" s="516"/>
      <c r="BE198" s="707"/>
      <c r="BF198" s="707"/>
      <c r="BG198" s="707"/>
      <c r="BH198" s="707"/>
      <c r="BI198" s="707"/>
      <c r="BJ198" s="707"/>
      <c r="BK198" s="707"/>
      <c r="BL198" s="707"/>
      <c r="BM198" s="707"/>
      <c r="BN198" s="707"/>
      <c r="BO198" s="707"/>
      <c r="BP198" s="707"/>
      <c r="BQ198" s="707"/>
      <c r="BR198" s="707"/>
      <c r="BS198" s="707"/>
      <c r="BT198" s="707"/>
    </row>
    <row r="199" spans="1:72" s="425" customFormat="1" ht="15.75" x14ac:dyDescent="0.25">
      <c r="A199" s="750" t="s">
        <v>30</v>
      </c>
      <c r="B199" s="751"/>
      <c r="C199" s="751"/>
      <c r="D199" s="751"/>
      <c r="E199" s="751"/>
      <c r="F199" s="751"/>
      <c r="G199" s="752"/>
      <c r="H199" s="721"/>
      <c r="I199" s="721"/>
      <c r="J199" s="721"/>
      <c r="K199" s="721"/>
      <c r="L199" s="721" t="s">
        <v>169</v>
      </c>
      <c r="M199" s="721"/>
      <c r="N199" s="721"/>
      <c r="O199" s="721"/>
      <c r="P199" s="721"/>
      <c r="Q199" s="721"/>
      <c r="R199" s="721"/>
      <c r="S199" s="721"/>
      <c r="T199" s="721"/>
      <c r="U199" s="707"/>
      <c r="V199" s="516"/>
      <c r="W199" s="516"/>
      <c r="X199" s="516"/>
      <c r="Y199" s="516"/>
      <c r="Z199" s="516"/>
      <c r="AA199" s="515"/>
      <c r="AB199" s="515"/>
      <c r="AC199" s="515"/>
      <c r="AD199" s="707"/>
      <c r="AE199" s="707"/>
      <c r="AF199" s="707"/>
      <c r="AG199" s="707"/>
      <c r="AH199" s="516"/>
      <c r="AI199" s="516"/>
      <c r="AJ199" s="516"/>
      <c r="AK199" s="516"/>
      <c r="AL199" s="516"/>
      <c r="AM199" s="516"/>
      <c r="AN199" s="516"/>
      <c r="AV199" s="516"/>
      <c r="AW199" s="516"/>
      <c r="AX199" s="516"/>
      <c r="AY199" s="516"/>
      <c r="AZ199" s="516"/>
      <c r="BA199" s="516"/>
      <c r="BB199" s="516"/>
      <c r="BC199" s="516"/>
      <c r="BD199" s="516"/>
      <c r="BE199" s="707"/>
      <c r="BF199" s="707"/>
      <c r="BG199" s="707"/>
      <c r="BH199" s="707"/>
      <c r="BI199" s="707"/>
      <c r="BJ199" s="707"/>
      <c r="BK199" s="707"/>
      <c r="BL199" s="707"/>
      <c r="BM199" s="707"/>
      <c r="BN199" s="707"/>
      <c r="BO199" s="707"/>
      <c r="BP199" s="707"/>
      <c r="BQ199" s="707"/>
      <c r="BR199" s="707"/>
      <c r="BS199" s="707"/>
      <c r="BT199" s="707"/>
    </row>
    <row r="200" spans="1:72" s="425" customFormat="1" ht="15.75" x14ac:dyDescent="0.25">
      <c r="A200" s="749"/>
      <c r="B200" s="749"/>
      <c r="C200" s="749"/>
      <c r="D200" s="749"/>
      <c r="E200" s="749"/>
      <c r="F200" s="749"/>
      <c r="G200" s="749"/>
      <c r="H200" s="721"/>
      <c r="I200" s="721"/>
      <c r="J200" s="721"/>
      <c r="K200" s="721"/>
      <c r="L200" s="721"/>
      <c r="M200" s="721"/>
      <c r="N200" s="721"/>
      <c r="O200" s="721"/>
      <c r="P200" s="721"/>
      <c r="Q200" s="721"/>
      <c r="R200" s="721"/>
      <c r="S200" s="721"/>
      <c r="T200" s="721"/>
      <c r="U200" s="707"/>
      <c r="V200" s="516"/>
      <c r="W200" s="516"/>
      <c r="X200" s="516"/>
      <c r="Y200" s="516"/>
      <c r="Z200" s="516"/>
      <c r="AA200" s="515"/>
      <c r="AB200" s="515"/>
      <c r="AC200" s="515"/>
      <c r="AD200" s="707"/>
      <c r="AE200" s="707"/>
      <c r="AF200" s="707"/>
      <c r="AG200" s="707"/>
      <c r="AH200" s="516"/>
      <c r="AI200" s="516"/>
      <c r="AJ200" s="516"/>
      <c r="AK200" s="516"/>
      <c r="AL200" s="516"/>
      <c r="AM200" s="516"/>
      <c r="AN200" s="516"/>
      <c r="AV200" s="516"/>
      <c r="AW200" s="516"/>
      <c r="AX200" s="516"/>
      <c r="AY200" s="516"/>
      <c r="AZ200" s="516"/>
      <c r="BA200" s="516"/>
      <c r="BB200" s="516"/>
      <c r="BC200" s="516"/>
      <c r="BD200" s="516"/>
      <c r="BE200" s="707"/>
      <c r="BF200" s="707"/>
      <c r="BG200" s="707"/>
      <c r="BH200" s="707"/>
      <c r="BI200" s="707"/>
      <c r="BJ200" s="707"/>
      <c r="BK200" s="707"/>
      <c r="BL200" s="707"/>
      <c r="BM200" s="707"/>
      <c r="BN200" s="707"/>
      <c r="BO200" s="707"/>
      <c r="BP200" s="707"/>
      <c r="BQ200" s="707"/>
      <c r="BR200" s="707"/>
      <c r="BS200" s="707"/>
      <c r="BT200" s="707"/>
    </row>
    <row r="201" spans="1:72" s="425" customFormat="1" ht="15.75" x14ac:dyDescent="0.25">
      <c r="A201" s="749"/>
      <c r="B201" s="749"/>
      <c r="C201" s="749"/>
      <c r="D201" s="749"/>
      <c r="E201" s="749"/>
      <c r="F201" s="749"/>
      <c r="G201" s="749"/>
      <c r="H201" s="721"/>
      <c r="I201" s="721"/>
      <c r="J201" s="721"/>
      <c r="K201" s="721"/>
      <c r="L201" s="721"/>
      <c r="M201" s="721"/>
      <c r="N201" s="721"/>
      <c r="O201" s="721"/>
      <c r="P201" s="721"/>
      <c r="Q201" s="721"/>
      <c r="R201" s="721"/>
      <c r="S201" s="721"/>
      <c r="T201" s="721"/>
      <c r="U201" s="707"/>
      <c r="V201" s="516"/>
      <c r="W201" s="516"/>
      <c r="X201" s="516"/>
      <c r="Y201" s="516"/>
      <c r="Z201" s="516"/>
      <c r="AA201" s="515"/>
      <c r="AB201" s="515"/>
      <c r="AC201" s="515"/>
      <c r="AD201" s="707"/>
      <c r="AE201" s="707"/>
      <c r="AF201" s="707"/>
      <c r="AG201" s="707"/>
      <c r="AH201" s="516"/>
      <c r="AI201" s="516"/>
      <c r="AJ201" s="516"/>
      <c r="AK201" s="516"/>
      <c r="AL201" s="516"/>
      <c r="AM201" s="516"/>
      <c r="AN201" s="516"/>
      <c r="AV201" s="516"/>
      <c r="AW201" s="516"/>
      <c r="AX201" s="516"/>
      <c r="AY201" s="516"/>
      <c r="AZ201" s="516"/>
      <c r="BA201" s="516"/>
      <c r="BB201" s="516"/>
      <c r="BC201" s="516"/>
      <c r="BD201" s="516"/>
      <c r="BE201" s="707"/>
      <c r="BF201" s="707"/>
      <c r="BG201" s="707"/>
      <c r="BH201" s="707"/>
      <c r="BI201" s="707"/>
      <c r="BJ201" s="707"/>
      <c r="BK201" s="707"/>
      <c r="BL201" s="707"/>
      <c r="BM201" s="707"/>
      <c r="BN201" s="707"/>
      <c r="BO201" s="707"/>
      <c r="BP201" s="707"/>
      <c r="BQ201" s="707"/>
      <c r="BR201" s="707"/>
      <c r="BS201" s="707"/>
      <c r="BT201" s="707"/>
    </row>
    <row r="202" spans="1:72" s="425" customFormat="1" ht="15.75" x14ac:dyDescent="0.25">
      <c r="A202" s="749"/>
      <c r="B202" s="749"/>
      <c r="C202" s="749"/>
      <c r="D202" s="749"/>
      <c r="E202" s="749"/>
      <c r="F202" s="749"/>
      <c r="G202" s="749"/>
      <c r="H202" s="721"/>
      <c r="I202" s="721"/>
      <c r="J202" s="721"/>
      <c r="K202" s="721"/>
      <c r="L202" s="721"/>
      <c r="M202" s="721"/>
      <c r="N202" s="721"/>
      <c r="O202" s="721"/>
      <c r="P202" s="721"/>
      <c r="Q202" s="721"/>
      <c r="R202" s="721"/>
      <c r="S202" s="721"/>
      <c r="T202" s="721"/>
      <c r="U202" s="707"/>
      <c r="V202" s="516"/>
      <c r="W202" s="516"/>
      <c r="X202" s="516"/>
      <c r="Y202" s="516"/>
      <c r="Z202" s="516"/>
      <c r="AA202" s="515"/>
      <c r="AB202" s="515"/>
      <c r="AC202" s="515"/>
      <c r="AD202" s="707"/>
      <c r="AE202" s="707"/>
      <c r="AF202" s="707"/>
      <c r="AG202" s="707"/>
      <c r="AH202" s="516"/>
      <c r="AI202" s="516"/>
      <c r="AJ202" s="516"/>
      <c r="AK202" s="516"/>
      <c r="AL202" s="516"/>
      <c r="AM202" s="516"/>
      <c r="AN202" s="516"/>
      <c r="AV202" s="516"/>
      <c r="AW202" s="516"/>
      <c r="AX202" s="516"/>
      <c r="AY202" s="516"/>
      <c r="AZ202" s="516"/>
      <c r="BA202" s="516"/>
      <c r="BB202" s="516"/>
      <c r="BC202" s="516"/>
      <c r="BD202" s="516"/>
      <c r="BE202" s="707"/>
      <c r="BF202" s="707"/>
      <c r="BG202" s="707"/>
      <c r="BH202" s="707"/>
      <c r="BI202" s="707"/>
      <c r="BJ202" s="707"/>
      <c r="BK202" s="707"/>
      <c r="BL202" s="707"/>
      <c r="BM202" s="707"/>
      <c r="BN202" s="707"/>
      <c r="BO202" s="707"/>
      <c r="BP202" s="707"/>
      <c r="BQ202" s="707"/>
      <c r="BR202" s="707"/>
      <c r="BS202" s="707"/>
      <c r="BT202" s="707"/>
    </row>
    <row r="203" spans="1:72" s="425" customFormat="1" x14ac:dyDescent="0.25">
      <c r="A203" s="720"/>
      <c r="B203" s="720"/>
      <c r="C203" s="720"/>
      <c r="D203" s="720"/>
      <c r="E203" s="720"/>
      <c r="F203" s="720"/>
      <c r="G203" s="720"/>
      <c r="H203" s="721"/>
      <c r="I203" s="721"/>
      <c r="J203" s="721"/>
      <c r="K203" s="721"/>
      <c r="L203" s="715"/>
      <c r="M203" s="715"/>
      <c r="N203" s="715"/>
      <c r="O203" s="715"/>
      <c r="P203" s="715"/>
      <c r="Q203" s="715"/>
      <c r="R203" s="715"/>
      <c r="S203" s="715"/>
      <c r="T203" s="715"/>
      <c r="U203" s="707"/>
      <c r="V203" s="516"/>
      <c r="W203" s="516"/>
      <c r="X203" s="516"/>
      <c r="Y203" s="516"/>
      <c r="Z203" s="516"/>
      <c r="AA203" s="515"/>
      <c r="AB203" s="515"/>
      <c r="AC203" s="515"/>
      <c r="AD203" s="707"/>
      <c r="AE203" s="707"/>
      <c r="AF203" s="707"/>
      <c r="AG203" s="707"/>
      <c r="AH203" s="516"/>
      <c r="AI203" s="516"/>
      <c r="AJ203" s="516"/>
      <c r="AK203" s="516"/>
      <c r="AL203" s="516"/>
      <c r="AM203" s="516"/>
      <c r="AN203" s="516"/>
      <c r="AV203" s="516"/>
      <c r="AW203" s="516"/>
      <c r="AX203" s="516"/>
      <c r="AY203" s="516"/>
      <c r="AZ203" s="516"/>
      <c r="BA203" s="516"/>
      <c r="BB203" s="516"/>
      <c r="BC203" s="516"/>
      <c r="BD203" s="516"/>
      <c r="BE203" s="707"/>
      <c r="BF203" s="707"/>
      <c r="BG203" s="707"/>
      <c r="BH203" s="707"/>
      <c r="BI203" s="707"/>
      <c r="BJ203" s="707"/>
      <c r="BK203" s="707"/>
      <c r="BL203" s="707"/>
      <c r="BM203" s="707"/>
      <c r="BN203" s="707"/>
      <c r="BO203" s="707"/>
      <c r="BP203" s="707"/>
      <c r="BQ203" s="707"/>
      <c r="BR203" s="707"/>
      <c r="BS203" s="707"/>
      <c r="BT203" s="707"/>
    </row>
    <row r="204" spans="1:72" s="425" customFormat="1" x14ac:dyDescent="0.25">
      <c r="A204" s="720"/>
      <c r="B204" s="720"/>
      <c r="C204" s="720"/>
      <c r="D204" s="720"/>
      <c r="E204" s="720"/>
      <c r="F204" s="720"/>
      <c r="G204" s="720"/>
      <c r="H204" s="721"/>
      <c r="I204" s="721"/>
      <c r="J204" s="721"/>
      <c r="K204" s="721"/>
      <c r="L204" s="715"/>
      <c r="M204" s="715"/>
      <c r="N204" s="715"/>
      <c r="O204" s="715"/>
      <c r="P204" s="715"/>
      <c r="Q204" s="715"/>
      <c r="R204" s="715"/>
      <c r="S204" s="715"/>
      <c r="T204" s="715"/>
      <c r="U204" s="707"/>
      <c r="V204" s="516"/>
      <c r="W204" s="516"/>
      <c r="X204" s="516"/>
      <c r="Y204" s="516"/>
      <c r="Z204" s="516"/>
      <c r="AA204" s="515"/>
      <c r="AB204" s="515"/>
      <c r="AC204" s="515"/>
      <c r="AD204" s="707"/>
      <c r="AE204" s="707"/>
      <c r="AF204" s="707"/>
      <c r="AG204" s="707"/>
      <c r="AH204" s="516"/>
      <c r="AI204" s="516"/>
      <c r="AJ204" s="516"/>
      <c r="AK204" s="516"/>
      <c r="AL204" s="516"/>
      <c r="AM204" s="516"/>
      <c r="AN204" s="516"/>
      <c r="AV204" s="516"/>
      <c r="AW204" s="516"/>
      <c r="AX204" s="516"/>
      <c r="AY204" s="516"/>
      <c r="AZ204" s="516"/>
      <c r="BA204" s="516"/>
      <c r="BB204" s="516"/>
      <c r="BC204" s="516"/>
      <c r="BD204" s="516"/>
      <c r="BE204" s="707"/>
      <c r="BF204" s="707"/>
      <c r="BG204" s="707"/>
      <c r="BH204" s="707"/>
      <c r="BI204" s="707"/>
      <c r="BJ204" s="707"/>
      <c r="BK204" s="707"/>
      <c r="BL204" s="707"/>
      <c r="BM204" s="707"/>
      <c r="BN204" s="707"/>
      <c r="BO204" s="707"/>
      <c r="BP204" s="707"/>
      <c r="BQ204" s="707"/>
      <c r="BR204" s="707"/>
      <c r="BS204" s="707"/>
      <c r="BT204" s="707"/>
    </row>
    <row r="205" spans="1:72" s="425" customFormat="1" x14ac:dyDescent="0.25">
      <c r="A205" s="720"/>
      <c r="B205" s="720"/>
      <c r="C205" s="720"/>
      <c r="D205" s="720"/>
      <c r="E205" s="720"/>
      <c r="F205" s="720"/>
      <c r="G205" s="720"/>
      <c r="H205" s="721"/>
      <c r="I205" s="721"/>
      <c r="J205" s="721"/>
      <c r="K205" s="721"/>
      <c r="L205" s="715"/>
      <c r="M205" s="715"/>
      <c r="N205" s="715"/>
      <c r="O205" s="715"/>
      <c r="P205" s="715"/>
      <c r="Q205" s="715"/>
      <c r="R205" s="715"/>
      <c r="S205" s="715"/>
      <c r="T205" s="715"/>
      <c r="U205" s="707"/>
      <c r="V205" s="516"/>
      <c r="W205" s="516"/>
      <c r="X205" s="516"/>
      <c r="Y205" s="516"/>
      <c r="Z205" s="516"/>
      <c r="AA205" s="515"/>
      <c r="AB205" s="515"/>
      <c r="AC205" s="515"/>
      <c r="AD205" s="707"/>
      <c r="AE205" s="707"/>
      <c r="AF205" s="707"/>
      <c r="AG205" s="707"/>
      <c r="AH205" s="516"/>
      <c r="AI205" s="516"/>
      <c r="AJ205" s="516"/>
      <c r="AK205" s="516"/>
      <c r="AL205" s="516"/>
      <c r="AM205" s="516"/>
      <c r="AN205" s="516"/>
      <c r="AV205" s="516"/>
      <c r="AW205" s="516"/>
      <c r="AX205" s="516"/>
      <c r="AY205" s="516"/>
      <c r="AZ205" s="516"/>
      <c r="BA205" s="516"/>
      <c r="BB205" s="516"/>
      <c r="BC205" s="516"/>
      <c r="BD205" s="516"/>
      <c r="BE205" s="707"/>
      <c r="BF205" s="707"/>
      <c r="BG205" s="707"/>
      <c r="BH205" s="707"/>
      <c r="BI205" s="707"/>
      <c r="BJ205" s="707"/>
      <c r="BK205" s="707"/>
      <c r="BL205" s="707"/>
      <c r="BM205" s="707"/>
      <c r="BN205" s="707"/>
      <c r="BO205" s="707"/>
      <c r="BP205" s="707"/>
      <c r="BQ205" s="707"/>
      <c r="BR205" s="707"/>
      <c r="BS205" s="707"/>
      <c r="BT205" s="707"/>
    </row>
    <row r="206" spans="1:72" s="424" customFormat="1" x14ac:dyDescent="0.25">
      <c r="A206" s="720"/>
      <c r="B206" s="720"/>
      <c r="C206" s="720"/>
      <c r="D206" s="720"/>
      <c r="E206" s="720"/>
      <c r="F206" s="720"/>
      <c r="G206" s="720"/>
      <c r="H206" s="721"/>
      <c r="I206" s="721"/>
      <c r="J206" s="721"/>
      <c r="K206" s="721"/>
      <c r="L206" s="715"/>
      <c r="M206" s="715"/>
      <c r="N206" s="715"/>
      <c r="O206" s="715"/>
      <c r="P206" s="715"/>
      <c r="Q206" s="715"/>
      <c r="R206" s="715"/>
      <c r="S206" s="715"/>
      <c r="T206" s="715"/>
      <c r="U206" s="707"/>
      <c r="V206" s="516"/>
      <c r="W206" s="516"/>
      <c r="X206" s="516"/>
      <c r="Y206" s="516"/>
      <c r="Z206" s="516"/>
      <c r="AA206" s="515"/>
      <c r="AB206" s="515"/>
      <c r="AC206" s="515"/>
      <c r="AD206" s="707"/>
      <c r="AE206" s="707"/>
      <c r="AF206" s="707"/>
      <c r="AG206" s="707"/>
      <c r="AH206" s="516"/>
      <c r="AI206" s="516"/>
      <c r="AJ206" s="516"/>
      <c r="AK206" s="516"/>
      <c r="AL206" s="516"/>
      <c r="AM206" s="516"/>
      <c r="AN206" s="516"/>
      <c r="AV206" s="516"/>
      <c r="AW206" s="516"/>
      <c r="AX206" s="516"/>
      <c r="AY206" s="516"/>
      <c r="AZ206" s="516"/>
      <c r="BA206" s="516"/>
      <c r="BB206" s="516"/>
      <c r="BC206" s="516"/>
      <c r="BD206" s="516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</row>
    <row r="207" spans="1:72" s="424" customFormat="1" ht="18.75" x14ac:dyDescent="0.25">
      <c r="A207" s="753" t="s">
        <v>256</v>
      </c>
      <c r="B207" s="721"/>
      <c r="C207" s="721"/>
      <c r="D207" s="721"/>
      <c r="E207" s="721"/>
      <c r="F207" s="721"/>
      <c r="G207" s="721"/>
      <c r="H207" s="721"/>
      <c r="I207" s="721"/>
      <c r="J207" s="721"/>
      <c r="K207" s="721"/>
      <c r="L207" s="715"/>
      <c r="M207" s="715"/>
      <c r="N207" s="715"/>
      <c r="O207" s="715"/>
      <c r="P207" s="715"/>
      <c r="Q207" s="715"/>
      <c r="R207" s="715"/>
      <c r="S207" s="715"/>
      <c r="T207" s="715"/>
      <c r="U207" s="707"/>
      <c r="V207" s="516"/>
      <c r="W207" s="516"/>
      <c r="X207" s="516"/>
      <c r="Y207" s="516"/>
      <c r="Z207" s="516"/>
      <c r="AA207" s="515"/>
      <c r="AB207" s="515"/>
      <c r="AC207" s="515"/>
      <c r="AD207" s="707"/>
      <c r="AE207" s="707"/>
      <c r="AF207" s="707"/>
      <c r="AG207" s="707"/>
      <c r="AH207" s="516"/>
      <c r="AI207" s="516"/>
      <c r="AJ207" s="516"/>
      <c r="AK207" s="516"/>
      <c r="AL207" s="516"/>
      <c r="AM207" s="516"/>
      <c r="AN207" s="516"/>
      <c r="AV207" s="516"/>
      <c r="AW207" s="516"/>
      <c r="AX207" s="516"/>
      <c r="AY207" s="516"/>
      <c r="AZ207" s="516"/>
      <c r="BA207" s="516"/>
      <c r="BB207" s="516"/>
      <c r="BC207" s="516"/>
      <c r="BD207" s="516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</row>
    <row r="208" spans="1:72" s="581" customFormat="1" ht="15.75" thickBot="1" x14ac:dyDescent="0.3">
      <c r="A208" s="721"/>
      <c r="B208" s="721"/>
      <c r="C208" s="721"/>
      <c r="D208" s="721"/>
      <c r="E208" s="721"/>
      <c r="F208" s="721"/>
      <c r="G208" s="721"/>
      <c r="H208" s="721"/>
      <c r="I208" s="721"/>
      <c r="J208" s="721"/>
      <c r="K208" s="721"/>
      <c r="L208" s="721"/>
      <c r="M208" s="721"/>
      <c r="N208" s="721"/>
      <c r="O208" s="721"/>
      <c r="P208" s="721"/>
      <c r="Q208" s="721"/>
      <c r="R208" s="721"/>
      <c r="S208" s="721"/>
      <c r="T208" s="721"/>
      <c r="U208" s="721"/>
      <c r="V208" s="721"/>
      <c r="W208" s="721"/>
      <c r="X208" s="721"/>
      <c r="Y208" s="721"/>
      <c r="Z208" s="721"/>
      <c r="AA208" s="721"/>
      <c r="AB208" s="721"/>
      <c r="AC208" s="721"/>
      <c r="AD208" s="721"/>
      <c r="AE208" s="721"/>
      <c r="AF208" s="721"/>
      <c r="AG208" s="721"/>
      <c r="AH208" s="721"/>
      <c r="AI208" s="721"/>
      <c r="AJ208" s="721"/>
      <c r="AK208" s="721"/>
      <c r="AL208" s="721"/>
      <c r="AM208" s="721"/>
      <c r="AN208" s="721"/>
      <c r="AV208" s="721"/>
      <c r="AW208" s="721"/>
      <c r="AX208" s="721"/>
      <c r="AY208" s="721"/>
      <c r="AZ208" s="721"/>
      <c r="BA208" s="721"/>
      <c r="BB208" s="721"/>
      <c r="BC208" s="721"/>
      <c r="BD208" s="721"/>
      <c r="BE208" s="721"/>
      <c r="BF208" s="721"/>
      <c r="BG208" s="721"/>
      <c r="BH208" s="721"/>
      <c r="BI208" s="721"/>
      <c r="BJ208" s="721"/>
      <c r="BK208" s="721"/>
      <c r="BL208" s="721"/>
      <c r="BM208" s="721"/>
      <c r="BN208" s="721"/>
      <c r="BO208" s="721"/>
      <c r="BP208" s="721"/>
      <c r="BQ208" s="721"/>
      <c r="BR208" s="721"/>
      <c r="BS208" s="721"/>
      <c r="BT208" s="721"/>
    </row>
    <row r="209" spans="1:72" s="424" customFormat="1" ht="18.75" x14ac:dyDescent="0.25">
      <c r="A209" s="754" t="s">
        <v>255</v>
      </c>
      <c r="B209" s="755"/>
      <c r="C209" s="755"/>
      <c r="D209" s="755"/>
      <c r="E209" s="755"/>
      <c r="F209" s="755"/>
      <c r="G209" s="755"/>
      <c r="H209" s="755"/>
      <c r="I209" s="756"/>
      <c r="J209" s="756"/>
      <c r="K209" s="756"/>
      <c r="L209" s="1025" t="s">
        <v>170</v>
      </c>
      <c r="M209" s="1025"/>
      <c r="N209" s="1025"/>
      <c r="O209" s="1025"/>
      <c r="P209" s="1025"/>
      <c r="Q209" s="1025"/>
      <c r="R209" s="1025"/>
      <c r="S209" s="1025"/>
      <c r="T209" s="1026"/>
      <c r="U209" s="707"/>
      <c r="V209" s="516"/>
      <c r="W209" s="516"/>
      <c r="X209" s="516"/>
      <c r="Y209" s="516"/>
      <c r="Z209" s="516"/>
      <c r="AA209" s="515"/>
      <c r="AB209" s="515"/>
      <c r="AC209" s="515"/>
      <c r="AD209" s="707"/>
      <c r="AE209" s="707"/>
      <c r="AF209" s="707"/>
      <c r="AG209" s="707"/>
      <c r="AH209" s="516"/>
      <c r="AI209" s="516"/>
      <c r="AJ209" s="516"/>
      <c r="AK209" s="516"/>
      <c r="AL209" s="516"/>
      <c r="AM209" s="516"/>
      <c r="AN209" s="516"/>
      <c r="AV209" s="516"/>
      <c r="AW209" s="516"/>
      <c r="AX209" s="516"/>
      <c r="AY209" s="516"/>
      <c r="AZ209" s="516"/>
      <c r="BA209" s="516"/>
      <c r="BB209" s="516"/>
      <c r="BC209" s="516"/>
      <c r="BD209" s="516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</row>
    <row r="210" spans="1:72" s="424" customFormat="1" ht="21" x14ac:dyDescent="0.35">
      <c r="A210" s="1022" t="s">
        <v>171</v>
      </c>
      <c r="B210" s="1023"/>
      <c r="C210" s="1023"/>
      <c r="D210" s="1023"/>
      <c r="E210" s="1023"/>
      <c r="F210" s="1023"/>
      <c r="G210" s="1024"/>
      <c r="H210" s="757"/>
      <c r="I210" s="721"/>
      <c r="J210" s="721"/>
      <c r="K210" s="721"/>
      <c r="L210" s="1020" t="s">
        <v>254</v>
      </c>
      <c r="M210" s="1020"/>
      <c r="N210" s="1020"/>
      <c r="O210" s="1020"/>
      <c r="P210" s="1020"/>
      <c r="Q210" s="1020"/>
      <c r="R210" s="1020"/>
      <c r="S210" s="1020"/>
      <c r="T210" s="1021"/>
      <c r="U210" s="707"/>
      <c r="V210" s="516"/>
      <c r="W210" s="516"/>
      <c r="X210" s="516"/>
      <c r="Y210" s="516"/>
      <c r="Z210" s="516"/>
      <c r="AA210" s="515"/>
      <c r="AB210" s="515"/>
      <c r="AC210" s="515"/>
      <c r="AD210" s="707"/>
      <c r="AE210" s="707"/>
      <c r="AF210" s="707"/>
      <c r="AG210" s="707"/>
      <c r="AH210" s="516"/>
      <c r="AI210" s="516"/>
      <c r="AJ210" s="516"/>
      <c r="AK210" s="516"/>
      <c r="AL210" s="516"/>
      <c r="AM210" s="516"/>
      <c r="AN210" s="516"/>
      <c r="AV210" s="516"/>
      <c r="AW210" s="516"/>
      <c r="AX210" s="516"/>
      <c r="AY210" s="516"/>
      <c r="AZ210" s="516"/>
      <c r="BA210" s="516"/>
      <c r="BB210" s="516"/>
      <c r="BC210" s="516"/>
      <c r="BD210" s="516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</row>
    <row r="211" spans="1:72" s="424" customFormat="1" ht="15.75" x14ac:dyDescent="0.25">
      <c r="A211" s="760"/>
      <c r="B211" s="757"/>
      <c r="C211" s="761" t="s">
        <v>172</v>
      </c>
      <c r="D211" s="762"/>
      <c r="E211" s="762"/>
      <c r="F211" s="762"/>
      <c r="G211" s="762"/>
      <c r="H211" s="762"/>
      <c r="I211" s="763"/>
      <c r="J211" s="763"/>
      <c r="K211" s="763"/>
      <c r="L211" s="1027"/>
      <c r="M211" s="1027"/>
      <c r="N211" s="1027"/>
      <c r="O211" s="1027"/>
      <c r="P211" s="1027"/>
      <c r="Q211" s="1027"/>
      <c r="R211" s="1027"/>
      <c r="S211" s="1027"/>
      <c r="T211" s="1028"/>
      <c r="U211" s="707"/>
      <c r="V211" s="516"/>
      <c r="W211" s="516"/>
      <c r="X211" s="516"/>
      <c r="Y211" s="516"/>
      <c r="Z211" s="516"/>
      <c r="AA211" s="515"/>
      <c r="AB211" s="515"/>
      <c r="AC211" s="515"/>
      <c r="AD211" s="707"/>
      <c r="AE211" s="707"/>
      <c r="AF211" s="707"/>
      <c r="AG211" s="707"/>
      <c r="AH211" s="516"/>
      <c r="AI211" s="516"/>
      <c r="AJ211" s="516"/>
      <c r="AK211" s="516"/>
      <c r="AL211" s="516"/>
      <c r="AM211" s="516"/>
      <c r="AN211" s="516"/>
      <c r="AV211" s="516"/>
      <c r="AW211" s="516"/>
      <c r="AX211" s="516"/>
      <c r="AY211" s="516"/>
      <c r="AZ211" s="516"/>
      <c r="BA211" s="516"/>
      <c r="BB211" s="516"/>
      <c r="BC211" s="516"/>
      <c r="BD211" s="516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</row>
    <row r="212" spans="1:72" s="424" customFormat="1" ht="18.75" x14ac:dyDescent="0.3">
      <c r="A212" s="764" t="s">
        <v>253</v>
      </c>
      <c r="B212" s="765"/>
      <c r="C212" s="765"/>
      <c r="D212" s="765"/>
      <c r="E212" s="765"/>
      <c r="F212" s="765"/>
      <c r="G212" s="765"/>
      <c r="H212" s="766"/>
      <c r="I212" s="767" t="s">
        <v>170</v>
      </c>
      <c r="J212" s="721"/>
      <c r="K212" s="721"/>
      <c r="L212" s="1029"/>
      <c r="M212" s="1029"/>
      <c r="N212" s="1029"/>
      <c r="O212" s="1029"/>
      <c r="P212" s="1029"/>
      <c r="Q212" s="1029"/>
      <c r="R212" s="1029"/>
      <c r="S212" s="1029"/>
      <c r="T212" s="1030"/>
      <c r="U212" s="707"/>
      <c r="V212" s="516"/>
      <c r="W212" s="516"/>
      <c r="X212" s="516"/>
      <c r="Y212" s="516"/>
      <c r="Z212" s="516"/>
      <c r="AA212" s="515"/>
      <c r="AB212" s="515"/>
      <c r="AC212" s="515"/>
      <c r="AD212" s="707"/>
      <c r="AE212" s="707"/>
      <c r="AF212" s="707"/>
      <c r="AG212" s="707"/>
      <c r="AH212" s="516"/>
      <c r="AI212" s="516"/>
      <c r="AJ212" s="516"/>
      <c r="AK212" s="516"/>
      <c r="AL212" s="516"/>
      <c r="AM212" s="516"/>
      <c r="AN212" s="516"/>
      <c r="AV212" s="516"/>
      <c r="AW212" s="516"/>
      <c r="AX212" s="516"/>
      <c r="AY212" s="516"/>
      <c r="AZ212" s="516"/>
      <c r="BA212" s="516"/>
      <c r="BB212" s="516"/>
      <c r="BC212" s="516"/>
      <c r="BD212" s="516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</row>
    <row r="213" spans="1:72" s="424" customFormat="1" ht="15.75" x14ac:dyDescent="0.25">
      <c r="A213" s="768" t="s">
        <v>0</v>
      </c>
      <c r="B213" s="769" t="s">
        <v>1</v>
      </c>
      <c r="C213" s="770" t="s">
        <v>2</v>
      </c>
      <c r="D213" s="771"/>
      <c r="E213" s="771"/>
      <c r="F213" s="772"/>
      <c r="G213" s="773" t="s">
        <v>173</v>
      </c>
      <c r="H213" s="774" t="s">
        <v>69</v>
      </c>
      <c r="I213" s="775" t="s">
        <v>174</v>
      </c>
      <c r="J213" s="721"/>
      <c r="K213" s="721"/>
      <c r="L213" s="1020"/>
      <c r="M213" s="1020"/>
      <c r="N213" s="1020"/>
      <c r="O213" s="1020"/>
      <c r="P213" s="1020"/>
      <c r="Q213" s="1020"/>
      <c r="R213" s="1020"/>
      <c r="S213" s="1020"/>
      <c r="T213" s="1021"/>
      <c r="U213" s="707"/>
      <c r="V213" s="516"/>
      <c r="W213" s="516"/>
      <c r="X213" s="516"/>
      <c r="Y213" s="516"/>
      <c r="Z213" s="516"/>
      <c r="AA213" s="515"/>
      <c r="AB213" s="515"/>
      <c r="AC213" s="515"/>
      <c r="AD213" s="707"/>
      <c r="AE213" s="707"/>
      <c r="AF213" s="707"/>
      <c r="AG213" s="707"/>
      <c r="AH213" s="516"/>
      <c r="AI213" s="516"/>
      <c r="AJ213" s="516"/>
      <c r="AK213" s="516"/>
      <c r="AL213" s="516"/>
      <c r="AM213" s="516"/>
      <c r="AN213" s="516"/>
      <c r="AV213" s="516"/>
      <c r="AW213" s="516"/>
      <c r="AX213" s="516"/>
      <c r="AY213" s="516"/>
      <c r="AZ213" s="516"/>
      <c r="BA213" s="516"/>
      <c r="BB213" s="516"/>
      <c r="BC213" s="516"/>
      <c r="BD213" s="516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</row>
    <row r="214" spans="1:72" s="424" customFormat="1" ht="15.75" x14ac:dyDescent="0.25">
      <c r="A214" s="601">
        <v>45880</v>
      </c>
      <c r="B214" s="776" t="s">
        <v>3</v>
      </c>
      <c r="C214" s="589" t="s">
        <v>4</v>
      </c>
      <c r="D214" s="603"/>
      <c r="E214" s="603"/>
      <c r="F214" s="777"/>
      <c r="G214" s="778">
        <v>1342.94</v>
      </c>
      <c r="H214" s="779"/>
      <c r="I214" s="780" t="s">
        <v>175</v>
      </c>
      <c r="J214" s="721"/>
      <c r="K214" s="721"/>
      <c r="L214" s="758"/>
      <c r="M214" s="781"/>
      <c r="N214" s="781"/>
      <c r="O214" s="781"/>
      <c r="P214" s="781"/>
      <c r="Q214" s="781"/>
      <c r="R214" s="781"/>
      <c r="S214" s="781"/>
      <c r="T214" s="782"/>
      <c r="U214" s="707"/>
      <c r="V214" s="516"/>
      <c r="W214" s="516"/>
      <c r="X214" s="516"/>
      <c r="Y214" s="516"/>
      <c r="Z214" s="516"/>
      <c r="AA214" s="515" t="b">
        <f t="shared" ref="AA214:AA227" si="45">C102=C214</f>
        <v>0</v>
      </c>
      <c r="AB214" s="515" t="b">
        <f t="shared" ref="AB214:AB227" si="46">G102=G214</f>
        <v>1</v>
      </c>
      <c r="AC214" s="515"/>
      <c r="AD214" s="707"/>
      <c r="AE214" s="707"/>
      <c r="AF214" s="707"/>
      <c r="AG214" s="707"/>
      <c r="AH214" s="516"/>
      <c r="AI214" s="516"/>
      <c r="AJ214" s="516"/>
      <c r="AK214" s="516"/>
      <c r="AL214" s="516"/>
      <c r="AM214" s="516"/>
      <c r="AN214" s="516"/>
      <c r="AV214" s="516"/>
      <c r="AW214" s="516"/>
      <c r="AX214" s="516"/>
      <c r="AY214" s="516"/>
      <c r="AZ214" s="516"/>
      <c r="BA214" s="516"/>
      <c r="BB214" s="516"/>
      <c r="BC214" s="516"/>
      <c r="BD214" s="516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</row>
    <row r="215" spans="1:72" s="424" customFormat="1" ht="15.75" x14ac:dyDescent="0.25">
      <c r="A215" s="601">
        <v>45880</v>
      </c>
      <c r="B215" s="776" t="s">
        <v>3</v>
      </c>
      <c r="C215" s="589" t="s">
        <v>140</v>
      </c>
      <c r="D215" s="603"/>
      <c r="E215" s="603"/>
      <c r="F215" s="777"/>
      <c r="G215" s="783">
        <f>150*14</f>
        <v>2100</v>
      </c>
      <c r="H215" s="779"/>
      <c r="I215" s="780"/>
      <c r="J215" s="721"/>
      <c r="K215" s="721"/>
      <c r="L215" s="758"/>
      <c r="M215" s="758"/>
      <c r="N215" s="758"/>
      <c r="O215" s="758"/>
      <c r="P215" s="758"/>
      <c r="Q215" s="758"/>
      <c r="R215" s="758"/>
      <c r="S215" s="758"/>
      <c r="T215" s="759"/>
      <c r="U215" s="707"/>
      <c r="V215" s="516"/>
      <c r="W215" s="516"/>
      <c r="X215" s="516"/>
      <c r="Y215" s="516"/>
      <c r="Z215" s="516"/>
      <c r="AA215" s="515" t="b">
        <f t="shared" si="45"/>
        <v>0</v>
      </c>
      <c r="AB215" s="515" t="b">
        <f t="shared" si="46"/>
        <v>0</v>
      </c>
      <c r="AC215" s="515"/>
      <c r="AD215" s="707"/>
      <c r="AE215" s="707"/>
      <c r="AF215" s="707"/>
      <c r="AG215" s="707"/>
      <c r="AH215" s="516"/>
      <c r="AI215" s="516"/>
      <c r="AJ215" s="516"/>
      <c r="AK215" s="516"/>
      <c r="AL215" s="516"/>
      <c r="AM215" s="516"/>
      <c r="AN215" s="516"/>
      <c r="AV215" s="516"/>
      <c r="AW215" s="516"/>
      <c r="AX215" s="516"/>
      <c r="AY215" s="516"/>
      <c r="AZ215" s="516"/>
      <c r="BA215" s="516"/>
      <c r="BB215" s="516"/>
      <c r="BC215" s="516"/>
      <c r="BD215" s="516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</row>
    <row r="216" spans="1:72" s="424" customFormat="1" ht="15.75" x14ac:dyDescent="0.25">
      <c r="A216" s="784">
        <v>44967</v>
      </c>
      <c r="B216" s="785" t="s">
        <v>3</v>
      </c>
      <c r="C216" s="786" t="s">
        <v>28</v>
      </c>
      <c r="D216" s="787"/>
      <c r="E216" s="787"/>
      <c r="F216" s="788"/>
      <c r="G216" s="789">
        <v>0</v>
      </c>
      <c r="H216" s="779"/>
      <c r="I216" s="780"/>
      <c r="J216" s="721"/>
      <c r="K216" s="721"/>
      <c r="L216" s="758"/>
      <c r="M216" s="758"/>
      <c r="N216" s="758"/>
      <c r="O216" s="758"/>
      <c r="P216" s="758"/>
      <c r="Q216" s="758"/>
      <c r="R216" s="758"/>
      <c r="S216" s="758"/>
      <c r="T216" s="759"/>
      <c r="U216" s="707"/>
      <c r="V216" s="516"/>
      <c r="W216" s="516"/>
      <c r="X216" s="516"/>
      <c r="Y216" s="516"/>
      <c r="Z216" s="516"/>
      <c r="AA216" s="515" t="b">
        <f t="shared" si="45"/>
        <v>0</v>
      </c>
      <c r="AB216" s="515" t="b">
        <f t="shared" si="46"/>
        <v>1</v>
      </c>
      <c r="AC216" s="515"/>
      <c r="AD216" s="707"/>
      <c r="AE216" s="707"/>
      <c r="AF216" s="707"/>
      <c r="AG216" s="707"/>
      <c r="AH216" s="516"/>
      <c r="AI216" s="516"/>
      <c r="AJ216" s="516"/>
      <c r="AK216" s="516"/>
      <c r="AL216" s="516"/>
      <c r="AM216" s="516"/>
      <c r="AN216" s="516"/>
      <c r="AV216" s="516"/>
      <c r="AW216" s="516"/>
      <c r="AX216" s="516"/>
      <c r="AY216" s="516"/>
      <c r="AZ216" s="516"/>
      <c r="BA216" s="516"/>
      <c r="BB216" s="516"/>
      <c r="BC216" s="516"/>
      <c r="BD216" s="516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</row>
    <row r="217" spans="1:72" s="424" customFormat="1" ht="15.75" x14ac:dyDescent="0.25">
      <c r="A217" s="790">
        <v>45884</v>
      </c>
      <c r="B217" s="791" t="s">
        <v>3</v>
      </c>
      <c r="C217" s="594" t="s">
        <v>5</v>
      </c>
      <c r="D217" s="792"/>
      <c r="E217" s="792"/>
      <c r="F217" s="793"/>
      <c r="G217" s="778">
        <v>1231.1099999999999</v>
      </c>
      <c r="H217" s="779"/>
      <c r="I217" s="780" t="s">
        <v>175</v>
      </c>
      <c r="J217" s="721"/>
      <c r="K217" s="721"/>
      <c r="L217" s="721"/>
      <c r="M217" s="721"/>
      <c r="N217" s="721"/>
      <c r="O217" s="721"/>
      <c r="P217" s="721"/>
      <c r="Q217" s="721"/>
      <c r="R217" s="721"/>
      <c r="S217" s="721"/>
      <c r="T217" s="794"/>
      <c r="U217" s="707"/>
      <c r="V217" s="516"/>
      <c r="W217" s="516"/>
      <c r="X217" s="516"/>
      <c r="Y217" s="516"/>
      <c r="Z217" s="516"/>
      <c r="AA217" s="515" t="b">
        <f t="shared" si="45"/>
        <v>0</v>
      </c>
      <c r="AB217" s="515" t="b">
        <f t="shared" si="46"/>
        <v>1</v>
      </c>
      <c r="AC217" s="515"/>
      <c r="AD217" s="707"/>
      <c r="AE217" s="707"/>
      <c r="AF217" s="707"/>
      <c r="AG217" s="707"/>
      <c r="AH217" s="516"/>
      <c r="AI217" s="516"/>
      <c r="AJ217" s="516"/>
      <c r="AK217" s="516"/>
      <c r="AL217" s="516"/>
      <c r="AM217" s="516"/>
      <c r="AN217" s="516"/>
      <c r="AV217" s="516"/>
      <c r="AW217" s="516"/>
      <c r="AX217" s="516"/>
      <c r="AY217" s="516"/>
      <c r="AZ217" s="516"/>
      <c r="BA217" s="516"/>
      <c r="BB217" s="516"/>
      <c r="BC217" s="516"/>
      <c r="BD217" s="516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</row>
    <row r="218" spans="1:72" s="424" customFormat="1" ht="15.75" x14ac:dyDescent="0.25">
      <c r="A218" s="795">
        <f>AW19</f>
        <v>45519</v>
      </c>
      <c r="B218" s="776" t="s">
        <v>3</v>
      </c>
      <c r="C218" s="589" t="s">
        <v>6</v>
      </c>
      <c r="D218" s="603"/>
      <c r="E218" s="603"/>
      <c r="F218" s="777"/>
      <c r="G218" s="778">
        <f>AZ33</f>
        <v>650.78</v>
      </c>
      <c r="H218" s="779"/>
      <c r="I218" s="796" t="s">
        <v>262</v>
      </c>
      <c r="J218" s="721"/>
      <c r="K218" s="721"/>
      <c r="L218" s="721"/>
      <c r="M218" s="721"/>
      <c r="N218" s="721"/>
      <c r="O218" s="721"/>
      <c r="P218" s="721"/>
      <c r="Q218" s="721"/>
      <c r="R218" s="721"/>
      <c r="S218" s="721"/>
      <c r="T218" s="794"/>
      <c r="U218" s="707"/>
      <c r="V218" s="516"/>
      <c r="W218" s="516"/>
      <c r="X218" s="516"/>
      <c r="Y218" s="516"/>
      <c r="Z218" s="516"/>
      <c r="AA218" s="515" t="b">
        <f t="shared" si="45"/>
        <v>0</v>
      </c>
      <c r="AB218" s="515" t="b">
        <f t="shared" si="46"/>
        <v>0</v>
      </c>
      <c r="AC218" s="515"/>
      <c r="AD218" s="707"/>
      <c r="AE218" s="707"/>
      <c r="AF218" s="707"/>
      <c r="AG218" s="707"/>
      <c r="AH218" s="516"/>
      <c r="AI218" s="516"/>
      <c r="AJ218" s="516"/>
      <c r="AK218" s="516"/>
      <c r="AL218" s="516"/>
      <c r="AM218" s="516"/>
      <c r="AN218" s="516"/>
      <c r="AV218" s="516"/>
      <c r="AW218" s="516"/>
      <c r="AX218" s="516"/>
      <c r="AY218" s="516"/>
      <c r="AZ218" s="516"/>
      <c r="BA218" s="516"/>
      <c r="BB218" s="516"/>
      <c r="BC218" s="516"/>
      <c r="BD218" s="516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</row>
    <row r="219" spans="1:72" s="424" customFormat="1" ht="15.75" x14ac:dyDescent="0.25">
      <c r="A219" s="601">
        <v>45887</v>
      </c>
      <c r="B219" s="776" t="s">
        <v>3</v>
      </c>
      <c r="C219" s="589" t="s">
        <v>7</v>
      </c>
      <c r="D219" s="603"/>
      <c r="E219" s="603"/>
      <c r="F219" s="777"/>
      <c r="G219" s="783">
        <v>440.76</v>
      </c>
      <c r="H219" s="779"/>
      <c r="I219" s="780"/>
      <c r="J219" s="721"/>
      <c r="K219" s="721"/>
      <c r="L219" s="721"/>
      <c r="M219" s="721"/>
      <c r="N219" s="721"/>
      <c r="O219" s="721"/>
      <c r="P219" s="721"/>
      <c r="Q219" s="721"/>
      <c r="R219" s="721"/>
      <c r="S219" s="721"/>
      <c r="T219" s="794"/>
      <c r="U219" s="707"/>
      <c r="V219" s="516"/>
      <c r="W219" s="516"/>
      <c r="X219" s="516"/>
      <c r="Y219" s="516"/>
      <c r="Z219" s="516"/>
      <c r="AA219" s="515" t="b">
        <f t="shared" si="45"/>
        <v>0</v>
      </c>
      <c r="AB219" s="515" t="b">
        <f t="shared" si="46"/>
        <v>1</v>
      </c>
      <c r="AC219" s="515"/>
      <c r="AD219" s="707"/>
      <c r="AE219" s="707"/>
      <c r="AF219" s="707"/>
      <c r="AG219" s="707"/>
      <c r="AH219" s="516"/>
      <c r="AI219" s="516"/>
      <c r="AJ219" s="516"/>
      <c r="AK219" s="516"/>
      <c r="AL219" s="516"/>
      <c r="AM219" s="516"/>
      <c r="AN219" s="516"/>
      <c r="AV219" s="516"/>
      <c r="AW219" s="516"/>
      <c r="AX219" s="516"/>
      <c r="AY219" s="516"/>
      <c r="AZ219" s="516"/>
      <c r="BA219" s="516"/>
      <c r="BB219" s="516"/>
      <c r="BC219" s="516"/>
      <c r="BD219" s="516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</row>
    <row r="220" spans="1:72" s="424" customFormat="1" ht="15.75" x14ac:dyDescent="0.25">
      <c r="A220" s="593">
        <v>45889</v>
      </c>
      <c r="B220" s="791" t="s">
        <v>3</v>
      </c>
      <c r="C220" s="594" t="s">
        <v>29</v>
      </c>
      <c r="D220" s="792"/>
      <c r="E220" s="792"/>
      <c r="F220" s="793"/>
      <c r="G220" s="797">
        <v>226.01</v>
      </c>
      <c r="H220" s="779"/>
      <c r="I220" s="780" t="s">
        <v>176</v>
      </c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94"/>
      <c r="U220" s="707"/>
      <c r="V220" s="516"/>
      <c r="W220" s="516"/>
      <c r="X220" s="516"/>
      <c r="Y220" s="516"/>
      <c r="Z220" s="516"/>
      <c r="AA220" s="515" t="b">
        <f t="shared" si="45"/>
        <v>0</v>
      </c>
      <c r="AB220" s="515" t="b">
        <f t="shared" si="46"/>
        <v>1</v>
      </c>
      <c r="AC220" s="515"/>
      <c r="AD220" s="707"/>
      <c r="AE220" s="707"/>
      <c r="AF220" s="707"/>
      <c r="AG220" s="707"/>
      <c r="AH220" s="516"/>
      <c r="AI220" s="516"/>
      <c r="AJ220" s="516"/>
      <c r="AK220" s="516"/>
      <c r="AL220" s="516"/>
      <c r="AM220" s="516"/>
      <c r="AN220" s="516"/>
      <c r="AV220" s="516"/>
      <c r="AW220" s="516"/>
      <c r="AX220" s="516"/>
      <c r="AY220" s="516"/>
      <c r="AZ220" s="516"/>
      <c r="BA220" s="516"/>
      <c r="BB220" s="516"/>
      <c r="BC220" s="516"/>
      <c r="BD220" s="516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</row>
    <row r="221" spans="1:72" s="424" customFormat="1" ht="15.75" x14ac:dyDescent="0.25">
      <c r="A221" s="784">
        <v>45104</v>
      </c>
      <c r="B221" s="798" t="s">
        <v>3</v>
      </c>
      <c r="C221" s="787" t="s">
        <v>87</v>
      </c>
      <c r="D221" s="787"/>
      <c r="E221" s="787"/>
      <c r="F221" s="788"/>
      <c r="G221" s="789">
        <v>0</v>
      </c>
      <c r="H221" s="779"/>
      <c r="I221" s="799"/>
      <c r="J221" s="800"/>
      <c r="K221" s="800"/>
      <c r="L221" s="800"/>
      <c r="M221" s="800"/>
      <c r="N221" s="721"/>
      <c r="O221" s="721"/>
      <c r="P221" s="721"/>
      <c r="Q221" s="721"/>
      <c r="R221" s="721"/>
      <c r="S221" s="721"/>
      <c r="T221" s="794"/>
      <c r="U221" s="707"/>
      <c r="V221" s="516"/>
      <c r="W221" s="516"/>
      <c r="X221" s="516"/>
      <c r="Y221" s="516"/>
      <c r="Z221" s="516"/>
      <c r="AA221" s="515" t="b">
        <f t="shared" si="45"/>
        <v>0</v>
      </c>
      <c r="AB221" s="515" t="b">
        <f t="shared" si="46"/>
        <v>1</v>
      </c>
      <c r="AC221" s="515"/>
      <c r="AD221" s="707"/>
      <c r="AE221" s="707"/>
      <c r="AF221" s="707"/>
      <c r="AG221" s="707"/>
      <c r="AH221" s="516"/>
      <c r="AI221" s="516"/>
      <c r="AJ221" s="516"/>
      <c r="AK221" s="516"/>
      <c r="AL221" s="516"/>
      <c r="AM221" s="516"/>
      <c r="AN221" s="516"/>
      <c r="AV221" s="516"/>
      <c r="AW221" s="516"/>
      <c r="AX221" s="516"/>
      <c r="AY221" s="516"/>
      <c r="AZ221" s="516"/>
      <c r="BA221" s="516"/>
      <c r="BB221" s="516"/>
      <c r="BC221" s="516"/>
      <c r="BD221" s="516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</row>
    <row r="222" spans="1:72" s="424" customFormat="1" ht="15.75" x14ac:dyDescent="0.25">
      <c r="A222" s="784">
        <v>45833</v>
      </c>
      <c r="B222" s="798" t="s">
        <v>3</v>
      </c>
      <c r="C222" s="786" t="s">
        <v>40</v>
      </c>
      <c r="D222" s="787"/>
      <c r="E222" s="787"/>
      <c r="F222" s="788"/>
      <c r="G222" s="789">
        <v>0</v>
      </c>
      <c r="H222" s="779"/>
      <c r="I222" s="780"/>
      <c r="J222" s="800"/>
      <c r="K222" s="515"/>
      <c r="L222" s="800"/>
      <c r="M222" s="800"/>
      <c r="N222" s="721"/>
      <c r="O222" s="721"/>
      <c r="P222" s="721"/>
      <c r="Q222" s="721"/>
      <c r="R222" s="721"/>
      <c r="S222" s="721"/>
      <c r="T222" s="794"/>
      <c r="U222" s="707"/>
      <c r="V222" s="516"/>
      <c r="W222" s="516"/>
      <c r="X222" s="516"/>
      <c r="Y222" s="516"/>
      <c r="Z222" s="516"/>
      <c r="AA222" s="515" t="b">
        <f t="shared" si="45"/>
        <v>0</v>
      </c>
      <c r="AB222" s="515" t="b">
        <f t="shared" si="46"/>
        <v>1</v>
      </c>
      <c r="AC222" s="515"/>
      <c r="AD222" s="707"/>
      <c r="AE222" s="707"/>
      <c r="AF222" s="707"/>
      <c r="AG222" s="707"/>
      <c r="AH222" s="516"/>
      <c r="AI222" s="516"/>
      <c r="AJ222" s="516"/>
      <c r="AK222" s="516"/>
      <c r="AL222" s="516"/>
      <c r="AM222" s="516"/>
      <c r="AN222" s="516"/>
      <c r="AV222" s="516"/>
      <c r="AW222" s="516"/>
      <c r="AX222" s="516"/>
      <c r="AY222" s="516"/>
      <c r="AZ222" s="516"/>
      <c r="BA222" s="516"/>
      <c r="BB222" s="516"/>
      <c r="BC222" s="516"/>
      <c r="BD222" s="516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</row>
    <row r="223" spans="1:72" s="424" customFormat="1" ht="15.75" x14ac:dyDescent="0.25">
      <c r="A223" s="784">
        <v>45834</v>
      </c>
      <c r="B223" s="798" t="s">
        <v>3</v>
      </c>
      <c r="C223" s="786" t="s">
        <v>38</v>
      </c>
      <c r="D223" s="787"/>
      <c r="E223" s="787"/>
      <c r="F223" s="788"/>
      <c r="G223" s="789">
        <v>0</v>
      </c>
      <c r="H223" s="779"/>
      <c r="I223" s="799"/>
      <c r="J223" s="800" t="s">
        <v>40</v>
      </c>
      <c r="K223" s="800"/>
      <c r="L223" s="800"/>
      <c r="M223" s="800"/>
      <c r="N223" s="721"/>
      <c r="O223" s="721"/>
      <c r="P223" s="721"/>
      <c r="Q223" s="721"/>
      <c r="R223" s="721"/>
      <c r="S223" s="721"/>
      <c r="T223" s="794"/>
      <c r="U223" s="707"/>
      <c r="V223" s="516"/>
      <c r="W223" s="516"/>
      <c r="X223" s="516"/>
      <c r="Y223" s="516"/>
      <c r="Z223" s="516"/>
      <c r="AA223" s="515" t="b">
        <f t="shared" si="45"/>
        <v>0</v>
      </c>
      <c r="AB223" s="515" t="b">
        <f t="shared" si="46"/>
        <v>1</v>
      </c>
      <c r="AC223" s="515"/>
      <c r="AD223" s="707"/>
      <c r="AE223" s="707"/>
      <c r="AF223" s="707"/>
      <c r="AG223" s="707"/>
      <c r="AH223" s="516"/>
      <c r="AI223" s="516"/>
      <c r="AJ223" s="516"/>
      <c r="AK223" s="516"/>
      <c r="AL223" s="516"/>
      <c r="AM223" s="516"/>
      <c r="AN223" s="516"/>
      <c r="AV223" s="516"/>
      <c r="AW223" s="516"/>
      <c r="AX223" s="516"/>
      <c r="AY223" s="516"/>
      <c r="AZ223" s="516"/>
      <c r="BA223" s="516"/>
      <c r="BB223" s="516"/>
      <c r="BC223" s="516"/>
      <c r="BD223" s="516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</row>
    <row r="224" spans="1:72" s="424" customFormat="1" ht="15.75" x14ac:dyDescent="0.25">
      <c r="A224" s="601">
        <v>45870</v>
      </c>
      <c r="B224" s="776" t="s">
        <v>3</v>
      </c>
      <c r="C224" s="589" t="s">
        <v>252</v>
      </c>
      <c r="D224" s="603"/>
      <c r="E224" s="603"/>
      <c r="F224" s="777"/>
      <c r="G224" s="801">
        <v>24.6</v>
      </c>
      <c r="H224" s="779"/>
      <c r="I224" s="780"/>
      <c r="J224" s="721"/>
      <c r="K224" s="800"/>
      <c r="L224" s="800"/>
      <c r="M224" s="800"/>
      <c r="N224" s="800"/>
      <c r="O224" s="800"/>
      <c r="P224" s="800"/>
      <c r="Q224" s="800"/>
      <c r="R224" s="800"/>
      <c r="S224" s="800"/>
      <c r="T224" s="800"/>
      <c r="U224" s="800"/>
      <c r="V224" s="800"/>
      <c r="W224" s="800"/>
      <c r="X224" s="800"/>
      <c r="Y224" s="800"/>
      <c r="Z224" s="516"/>
      <c r="AA224" s="515" t="b">
        <f t="shared" si="45"/>
        <v>0</v>
      </c>
      <c r="AB224" s="515" t="b">
        <f t="shared" si="46"/>
        <v>1</v>
      </c>
      <c r="AC224" s="515"/>
      <c r="AD224" s="707"/>
      <c r="AE224" s="707"/>
      <c r="AF224" s="707"/>
      <c r="AG224" s="707"/>
      <c r="AH224" s="516"/>
      <c r="AI224" s="516"/>
      <c r="AJ224" s="516"/>
      <c r="AK224" s="516"/>
      <c r="AL224" s="516"/>
      <c r="AM224" s="516"/>
      <c r="AN224" s="516"/>
      <c r="AV224" s="516"/>
      <c r="AW224" s="516"/>
      <c r="AX224" s="516"/>
      <c r="AY224" s="516"/>
      <c r="AZ224" s="516"/>
      <c r="BA224" s="516"/>
      <c r="BB224" s="516"/>
      <c r="BC224" s="516"/>
      <c r="BD224" s="516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</row>
    <row r="225" spans="1:72" s="424" customFormat="1" ht="15.75" x14ac:dyDescent="0.25">
      <c r="A225" s="601">
        <v>45845</v>
      </c>
      <c r="B225" s="776" t="s">
        <v>3</v>
      </c>
      <c r="C225" s="594" t="s">
        <v>251</v>
      </c>
      <c r="D225" s="792"/>
      <c r="E225" s="792"/>
      <c r="F225" s="793"/>
      <c r="G225" s="801">
        <f>14.9+14</f>
        <v>28.9</v>
      </c>
      <c r="H225" s="779"/>
      <c r="I225" s="799"/>
      <c r="J225" s="800"/>
      <c r="K225" s="800"/>
      <c r="L225" s="800"/>
      <c r="M225" s="721"/>
      <c r="N225" s="721"/>
      <c r="O225" s="721"/>
      <c r="P225" s="721"/>
      <c r="Q225" s="721"/>
      <c r="R225" s="721"/>
      <c r="S225" s="721"/>
      <c r="T225" s="794"/>
      <c r="U225" s="707"/>
      <c r="V225" s="516"/>
      <c r="W225" s="516"/>
      <c r="X225" s="516"/>
      <c r="Y225" s="516"/>
      <c r="Z225" s="516"/>
      <c r="AA225" s="515" t="b">
        <f t="shared" si="45"/>
        <v>0</v>
      </c>
      <c r="AB225" s="515" t="b">
        <f t="shared" si="46"/>
        <v>1</v>
      </c>
      <c r="AC225" s="515"/>
      <c r="AD225" s="707"/>
      <c r="AE225" s="707"/>
      <c r="AF225" s="707"/>
      <c r="AG225" s="707"/>
      <c r="AH225" s="516"/>
      <c r="AI225" s="516"/>
      <c r="AJ225" s="516"/>
      <c r="AK225" s="516"/>
      <c r="AL225" s="516"/>
      <c r="AM225" s="516"/>
      <c r="AN225" s="516"/>
      <c r="AV225" s="516"/>
      <c r="AW225" s="516"/>
      <c r="AX225" s="516"/>
      <c r="AY225" s="516"/>
      <c r="AZ225" s="516"/>
      <c r="BA225" s="516"/>
      <c r="BB225" s="516"/>
      <c r="BC225" s="516"/>
      <c r="BD225" s="516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</row>
    <row r="226" spans="1:72" s="424" customFormat="1" ht="15.75" x14ac:dyDescent="0.25">
      <c r="A226" s="784">
        <v>45692</v>
      </c>
      <c r="B226" s="798" t="s">
        <v>3</v>
      </c>
      <c r="C226" s="786" t="s">
        <v>34</v>
      </c>
      <c r="D226" s="787"/>
      <c r="E226" s="787"/>
      <c r="F226" s="788"/>
      <c r="G226" s="789">
        <v>0</v>
      </c>
      <c r="H226" s="779"/>
      <c r="I226" s="799"/>
      <c r="J226" s="721"/>
      <c r="K226" s="721"/>
      <c r="L226" s="721"/>
      <c r="M226" s="721"/>
      <c r="N226" s="721"/>
      <c r="O226" s="721"/>
      <c r="P226" s="721"/>
      <c r="Q226" s="721"/>
      <c r="R226" s="721"/>
      <c r="S226" s="721"/>
      <c r="T226" s="794"/>
      <c r="U226" s="707"/>
      <c r="V226" s="516"/>
      <c r="W226" s="516"/>
      <c r="X226" s="516"/>
      <c r="Y226" s="516"/>
      <c r="Z226" s="516"/>
      <c r="AA226" s="515" t="b">
        <f t="shared" si="45"/>
        <v>0</v>
      </c>
      <c r="AB226" s="515" t="b">
        <f t="shared" si="46"/>
        <v>1</v>
      </c>
      <c r="AC226" s="515"/>
      <c r="AD226" s="707"/>
      <c r="AE226" s="707"/>
      <c r="AF226" s="707"/>
      <c r="AG226" s="707"/>
      <c r="AH226" s="516"/>
      <c r="AI226" s="516"/>
      <c r="AJ226" s="516"/>
      <c r="AK226" s="516"/>
      <c r="AL226" s="516"/>
      <c r="AM226" s="516"/>
      <c r="AN226" s="516"/>
      <c r="AV226" s="516"/>
      <c r="AW226" s="516"/>
      <c r="AX226" s="516"/>
      <c r="AY226" s="516"/>
      <c r="AZ226" s="516"/>
      <c r="BA226" s="516"/>
      <c r="BB226" s="516"/>
      <c r="BC226" s="516"/>
      <c r="BD226" s="516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</row>
    <row r="227" spans="1:72" s="424" customFormat="1" ht="15.75" x14ac:dyDescent="0.25">
      <c r="A227" s="784">
        <v>45803</v>
      </c>
      <c r="B227" s="776" t="s">
        <v>3</v>
      </c>
      <c r="C227" s="786" t="s">
        <v>35</v>
      </c>
      <c r="D227" s="603"/>
      <c r="E227" s="603"/>
      <c r="F227" s="777"/>
      <c r="G227" s="789">
        <v>0</v>
      </c>
      <c r="H227" s="779"/>
      <c r="I227" s="802" t="s">
        <v>177</v>
      </c>
      <c r="J227" s="721"/>
      <c r="K227" s="721"/>
      <c r="L227" s="721"/>
      <c r="M227" s="721"/>
      <c r="N227" s="721"/>
      <c r="O227" s="721"/>
      <c r="P227" s="721"/>
      <c r="Q227" s="721"/>
      <c r="R227" s="721"/>
      <c r="S227" s="721"/>
      <c r="T227" s="794"/>
      <c r="U227" s="707"/>
      <c r="V227" s="516"/>
      <c r="W227" s="516"/>
      <c r="X227" s="516"/>
      <c r="Y227" s="516"/>
      <c r="Z227" s="516"/>
      <c r="AA227" s="515" t="b">
        <f t="shared" si="45"/>
        <v>0</v>
      </c>
      <c r="AB227" s="515" t="b">
        <f t="shared" si="46"/>
        <v>1</v>
      </c>
      <c r="AC227" s="515"/>
      <c r="AD227" s="707"/>
      <c r="AE227" s="707"/>
      <c r="AF227" s="707"/>
      <c r="AG227" s="707"/>
      <c r="AH227" s="516"/>
      <c r="AI227" s="516"/>
      <c r="AJ227" s="516"/>
      <c r="AK227" s="516"/>
      <c r="AL227" s="516"/>
      <c r="AM227" s="516"/>
      <c r="AN227" s="516"/>
      <c r="AV227" s="516"/>
      <c r="AW227" s="516"/>
      <c r="AX227" s="516"/>
      <c r="AY227" s="516"/>
      <c r="AZ227" s="516"/>
      <c r="BA227" s="516"/>
      <c r="BB227" s="516"/>
      <c r="BC227" s="516"/>
      <c r="BD227" s="516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</row>
    <row r="228" spans="1:72" s="424" customFormat="1" ht="15.75" x14ac:dyDescent="0.25">
      <c r="A228" s="784">
        <v>45789</v>
      </c>
      <c r="B228" s="798" t="s">
        <v>3</v>
      </c>
      <c r="C228" s="786" t="s">
        <v>36</v>
      </c>
      <c r="D228" s="603"/>
      <c r="E228" s="603"/>
      <c r="F228" s="777"/>
      <c r="G228" s="789">
        <v>0</v>
      </c>
      <c r="H228" s="779"/>
      <c r="I228" s="780"/>
      <c r="J228" s="721"/>
      <c r="K228" s="721"/>
      <c r="L228" s="721"/>
      <c r="M228" s="721"/>
      <c r="N228" s="721"/>
      <c r="O228" s="721"/>
      <c r="P228" s="721"/>
      <c r="Q228" s="721"/>
      <c r="R228" s="721"/>
      <c r="S228" s="721"/>
      <c r="T228" s="794"/>
      <c r="U228" s="707"/>
      <c r="V228" s="516"/>
      <c r="W228" s="516"/>
      <c r="X228" s="516"/>
      <c r="Y228" s="516"/>
      <c r="Z228" s="516"/>
      <c r="AA228" s="515"/>
      <c r="AB228" s="515"/>
      <c r="AC228" s="515"/>
      <c r="AD228" s="707"/>
      <c r="AE228" s="707"/>
      <c r="AF228" s="707"/>
      <c r="AG228" s="707"/>
      <c r="AH228" s="516"/>
      <c r="AI228" s="516"/>
      <c r="AJ228" s="516"/>
      <c r="AK228" s="516"/>
      <c r="AL228" s="516"/>
      <c r="AM228" s="516"/>
      <c r="AN228" s="516"/>
      <c r="AV228" s="516"/>
      <c r="AW228" s="516"/>
      <c r="AX228" s="516"/>
      <c r="AY228" s="516"/>
      <c r="AZ228" s="516"/>
      <c r="BA228" s="516"/>
      <c r="BB228" s="516"/>
      <c r="BC228" s="516"/>
      <c r="BD228" s="516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</row>
    <row r="229" spans="1:72" s="424" customFormat="1" ht="15.75" x14ac:dyDescent="0.25">
      <c r="A229" s="601">
        <v>45897</v>
      </c>
      <c r="B229" s="776" t="s">
        <v>3</v>
      </c>
      <c r="C229" s="589" t="s">
        <v>8</v>
      </c>
      <c r="D229" s="603"/>
      <c r="E229" s="603"/>
      <c r="F229" s="777"/>
      <c r="G229" s="778">
        <v>151.6</v>
      </c>
      <c r="H229" s="779"/>
      <c r="I229" s="780" t="s">
        <v>178</v>
      </c>
      <c r="J229" s="721"/>
      <c r="K229" s="721"/>
      <c r="L229" s="721"/>
      <c r="M229" s="721"/>
      <c r="N229" s="721"/>
      <c r="O229" s="721"/>
      <c r="P229" s="721"/>
      <c r="Q229" s="721"/>
      <c r="R229" s="721"/>
      <c r="S229" s="721"/>
      <c r="T229" s="794"/>
      <c r="U229" s="707"/>
      <c r="V229" s="516"/>
      <c r="W229" s="516"/>
      <c r="X229" s="516"/>
      <c r="Y229" s="516"/>
      <c r="Z229" s="516"/>
      <c r="AA229" s="515"/>
      <c r="AB229" s="515"/>
      <c r="AC229" s="515"/>
      <c r="AD229" s="707"/>
      <c r="AE229" s="707"/>
      <c r="AF229" s="707"/>
      <c r="AG229" s="707"/>
      <c r="AH229" s="516"/>
      <c r="AI229" s="516"/>
      <c r="AJ229" s="516"/>
      <c r="AK229" s="516"/>
      <c r="AL229" s="516"/>
      <c r="AM229" s="516"/>
      <c r="AN229" s="516"/>
      <c r="AV229" s="516"/>
      <c r="AW229" s="516"/>
      <c r="AX229" s="516"/>
      <c r="AY229" s="516"/>
      <c r="AZ229" s="516"/>
      <c r="BA229" s="516"/>
      <c r="BB229" s="516"/>
      <c r="BC229" s="516"/>
      <c r="BD229" s="516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</row>
    <row r="230" spans="1:72" s="424" customFormat="1" ht="15.75" x14ac:dyDescent="0.25">
      <c r="A230" s="601">
        <v>45870</v>
      </c>
      <c r="B230" s="776" t="s">
        <v>3</v>
      </c>
      <c r="C230" s="589" t="s">
        <v>9</v>
      </c>
      <c r="D230" s="603"/>
      <c r="E230" s="603"/>
      <c r="F230" s="777"/>
      <c r="G230" s="778">
        <v>65</v>
      </c>
      <c r="H230" s="779"/>
      <c r="I230" s="780" t="s">
        <v>179</v>
      </c>
      <c r="J230" s="721"/>
      <c r="K230" s="721"/>
      <c r="L230" s="721"/>
      <c r="M230" s="721"/>
      <c r="N230" s="721"/>
      <c r="O230" s="721"/>
      <c r="P230" s="721"/>
      <c r="Q230" s="721"/>
      <c r="R230" s="721"/>
      <c r="S230" s="721"/>
      <c r="T230" s="794"/>
      <c r="U230" s="707"/>
      <c r="V230" s="516"/>
      <c r="W230" s="516"/>
      <c r="X230" s="516"/>
      <c r="Y230" s="516"/>
      <c r="Z230" s="516"/>
      <c r="AA230" s="515" t="b">
        <f>C116=C230</f>
        <v>0</v>
      </c>
      <c r="AB230" s="515" t="b">
        <f>G116=G230</f>
        <v>0</v>
      </c>
      <c r="AC230" s="515"/>
      <c r="AD230" s="707"/>
      <c r="AE230" s="707"/>
      <c r="AF230" s="707"/>
      <c r="AG230" s="707"/>
      <c r="AH230" s="516"/>
      <c r="AI230" s="516"/>
      <c r="AJ230" s="516"/>
      <c r="AK230" s="516"/>
      <c r="AL230" s="516"/>
      <c r="AM230" s="516"/>
      <c r="AN230" s="516"/>
      <c r="AV230" s="516"/>
      <c r="AW230" s="516"/>
      <c r="AX230" s="516"/>
      <c r="AY230" s="516"/>
      <c r="AZ230" s="516"/>
      <c r="BA230" s="516"/>
      <c r="BB230" s="516"/>
      <c r="BC230" s="516"/>
      <c r="BD230" s="516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</row>
    <row r="231" spans="1:72" s="424" customFormat="1" ht="15.75" x14ac:dyDescent="0.25">
      <c r="A231" s="601"/>
      <c r="B231" s="776"/>
      <c r="C231" s="589"/>
      <c r="D231" s="603"/>
      <c r="E231" s="603"/>
      <c r="F231" s="777"/>
      <c r="G231" s="801"/>
      <c r="H231" s="779"/>
      <c r="I231" s="780"/>
      <c r="J231" s="721"/>
      <c r="K231" s="721"/>
      <c r="L231" s="721"/>
      <c r="M231" s="721"/>
      <c r="N231" s="721"/>
      <c r="O231" s="721"/>
      <c r="P231" s="721"/>
      <c r="Q231" s="721"/>
      <c r="R231" s="721"/>
      <c r="S231" s="721"/>
      <c r="T231" s="794"/>
      <c r="U231" s="707"/>
      <c r="V231" s="516"/>
      <c r="W231" s="516"/>
      <c r="X231" s="516"/>
      <c r="Y231" s="516"/>
      <c r="Z231" s="516"/>
      <c r="AA231" s="515"/>
      <c r="AB231" s="515"/>
      <c r="AC231" s="515"/>
      <c r="AD231" s="707"/>
      <c r="AE231" s="707"/>
      <c r="AF231" s="707"/>
      <c r="AG231" s="707"/>
      <c r="AH231" s="516"/>
      <c r="AI231" s="516"/>
      <c r="AJ231" s="516"/>
      <c r="AK231" s="516"/>
      <c r="AL231" s="516"/>
      <c r="AM231" s="516"/>
      <c r="AN231" s="516"/>
      <c r="AV231" s="516"/>
      <c r="AW231" s="516"/>
      <c r="AX231" s="516"/>
      <c r="AY231" s="516"/>
      <c r="AZ231" s="516"/>
      <c r="BA231" s="516"/>
      <c r="BB231" s="516"/>
      <c r="BC231" s="516"/>
      <c r="BD231" s="516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</row>
    <row r="232" spans="1:72" s="424" customFormat="1" ht="15.75" x14ac:dyDescent="0.25">
      <c r="A232" s="601"/>
      <c r="B232" s="776"/>
      <c r="C232" s="589"/>
      <c r="D232" s="603"/>
      <c r="E232" s="603"/>
      <c r="F232" s="777"/>
      <c r="G232" s="801"/>
      <c r="H232" s="779"/>
      <c r="I232" s="780"/>
      <c r="J232" s="721"/>
      <c r="K232" s="721"/>
      <c r="L232" s="721"/>
      <c r="M232" s="721"/>
      <c r="N232" s="721"/>
      <c r="O232" s="721"/>
      <c r="P232" s="721"/>
      <c r="Q232" s="721"/>
      <c r="R232" s="721"/>
      <c r="S232" s="721"/>
      <c r="T232" s="794"/>
      <c r="U232" s="707"/>
      <c r="V232" s="516"/>
      <c r="W232" s="516"/>
      <c r="X232" s="516"/>
      <c r="Y232" s="516"/>
      <c r="Z232" s="516"/>
      <c r="AA232" s="515"/>
      <c r="AB232" s="515"/>
      <c r="AC232" s="515"/>
      <c r="AD232" s="707"/>
      <c r="AE232" s="707"/>
      <c r="AF232" s="707"/>
      <c r="AG232" s="707"/>
      <c r="AH232" s="516"/>
      <c r="AI232" s="516"/>
      <c r="AJ232" s="516"/>
      <c r="AK232" s="516"/>
      <c r="AL232" s="516"/>
      <c r="AM232" s="516"/>
      <c r="AN232" s="516"/>
      <c r="AV232" s="516"/>
      <c r="AW232" s="516"/>
      <c r="AX232" s="516"/>
      <c r="AY232" s="516"/>
      <c r="AZ232" s="516"/>
      <c r="BA232" s="516"/>
      <c r="BB232" s="516"/>
      <c r="BC232" s="516"/>
      <c r="BD232" s="516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</row>
    <row r="233" spans="1:72" s="424" customFormat="1" ht="15.75" x14ac:dyDescent="0.25">
      <c r="A233" s="601"/>
      <c r="B233" s="776"/>
      <c r="C233" s="589"/>
      <c r="D233" s="603"/>
      <c r="E233" s="603"/>
      <c r="F233" s="777"/>
      <c r="G233" s="801"/>
      <c r="H233" s="779"/>
      <c r="I233" s="780"/>
      <c r="J233" s="721"/>
      <c r="K233" s="721"/>
      <c r="L233" s="721"/>
      <c r="M233" s="721"/>
      <c r="N233" s="721"/>
      <c r="O233" s="721"/>
      <c r="P233" s="721"/>
      <c r="Q233" s="721"/>
      <c r="R233" s="721"/>
      <c r="S233" s="721"/>
      <c r="T233" s="794"/>
      <c r="U233" s="707"/>
      <c r="V233" s="516"/>
      <c r="W233" s="516"/>
      <c r="X233" s="516"/>
      <c r="Y233" s="516"/>
      <c r="Z233" s="516"/>
      <c r="AA233" s="515"/>
      <c r="AB233" s="515"/>
      <c r="AC233" s="515"/>
      <c r="AD233" s="707"/>
      <c r="AE233" s="707"/>
      <c r="AF233" s="707"/>
      <c r="AG233" s="707"/>
      <c r="AH233" s="516"/>
      <c r="AI233" s="516"/>
      <c r="AJ233" s="516"/>
      <c r="AK233" s="516"/>
      <c r="AL233" s="516"/>
      <c r="AM233" s="516"/>
      <c r="AN233" s="516"/>
      <c r="AV233" s="516"/>
      <c r="AW233" s="516"/>
      <c r="AX233" s="516"/>
      <c r="AY233" s="516"/>
      <c r="AZ233" s="516"/>
      <c r="BA233" s="516"/>
      <c r="BB233" s="516"/>
      <c r="BC233" s="516"/>
      <c r="BD233" s="516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</row>
    <row r="234" spans="1:72" s="424" customFormat="1" ht="15.75" x14ac:dyDescent="0.25">
      <c r="A234" s="601"/>
      <c r="B234" s="776"/>
      <c r="C234" s="589"/>
      <c r="D234" s="603"/>
      <c r="E234" s="603"/>
      <c r="F234" s="777"/>
      <c r="G234" s="801"/>
      <c r="H234" s="779"/>
      <c r="I234" s="780"/>
      <c r="J234" s="721"/>
      <c r="K234" s="721"/>
      <c r="L234" s="721"/>
      <c r="M234" s="721"/>
      <c r="N234" s="721"/>
      <c r="O234" s="721"/>
      <c r="P234" s="721"/>
      <c r="Q234" s="721"/>
      <c r="R234" s="721"/>
      <c r="S234" s="721"/>
      <c r="T234" s="794"/>
      <c r="U234" s="707"/>
      <c r="V234" s="516"/>
      <c r="W234" s="516"/>
      <c r="X234" s="516"/>
      <c r="Y234" s="516"/>
      <c r="Z234" s="516"/>
      <c r="AA234" s="515"/>
      <c r="AB234" s="515"/>
      <c r="AC234" s="515"/>
      <c r="AD234" s="707"/>
      <c r="AE234" s="707"/>
      <c r="AF234" s="707"/>
      <c r="AG234" s="707"/>
      <c r="AH234" s="516"/>
      <c r="AI234" s="516"/>
      <c r="AJ234" s="516"/>
      <c r="AK234" s="516"/>
      <c r="AL234" s="516"/>
      <c r="AM234" s="516"/>
      <c r="AN234" s="516"/>
      <c r="AV234" s="516"/>
      <c r="AW234" s="516"/>
      <c r="AX234" s="516"/>
      <c r="AY234" s="516"/>
      <c r="AZ234" s="516"/>
      <c r="BA234" s="516"/>
      <c r="BB234" s="516"/>
      <c r="BC234" s="516"/>
      <c r="BD234" s="516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</row>
    <row r="235" spans="1:72" s="424" customFormat="1" ht="15.75" x14ac:dyDescent="0.25">
      <c r="A235" s="601">
        <v>45870</v>
      </c>
      <c r="B235" s="803" t="s">
        <v>3</v>
      </c>
      <c r="C235" s="804" t="s">
        <v>180</v>
      </c>
      <c r="D235" s="805"/>
      <c r="E235" s="805"/>
      <c r="F235" s="805"/>
      <c r="G235" s="806">
        <f>G124+C159+E159</f>
        <v>541.95000000000005</v>
      </c>
      <c r="H235" s="779"/>
      <c r="I235" s="780" t="s">
        <v>266</v>
      </c>
      <c r="J235" s="807"/>
      <c r="K235" s="808"/>
      <c r="L235" s="721"/>
      <c r="M235" s="721"/>
      <c r="N235" s="721"/>
      <c r="O235" s="721"/>
      <c r="P235" s="721"/>
      <c r="Q235" s="721"/>
      <c r="R235" s="721"/>
      <c r="S235" s="721"/>
      <c r="T235" s="794"/>
      <c r="U235" s="707"/>
      <c r="V235" s="516"/>
      <c r="W235" s="516"/>
      <c r="X235" s="516"/>
      <c r="Y235" s="516"/>
      <c r="Z235" s="516"/>
      <c r="AA235" s="515" t="b">
        <f>C117=C235</f>
        <v>0</v>
      </c>
      <c r="AB235" s="515" t="b">
        <f>G117=G235</f>
        <v>0</v>
      </c>
      <c r="AC235" s="515"/>
      <c r="AD235" s="707"/>
      <c r="AE235" s="707"/>
      <c r="AF235" s="707"/>
      <c r="AG235" s="707"/>
      <c r="AH235" s="516"/>
      <c r="AI235" s="516"/>
      <c r="AJ235" s="516"/>
      <c r="AK235" s="516"/>
      <c r="AL235" s="516"/>
      <c r="AM235" s="516"/>
      <c r="AN235" s="516"/>
      <c r="AV235" s="516"/>
      <c r="AW235" s="516"/>
      <c r="AX235" s="516"/>
      <c r="AY235" s="516"/>
      <c r="AZ235" s="516"/>
      <c r="BA235" s="516"/>
      <c r="BB235" s="516"/>
      <c r="BC235" s="516"/>
      <c r="BD235" s="516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</row>
    <row r="236" spans="1:72" s="424" customFormat="1" ht="18.75" x14ac:dyDescent="0.3">
      <c r="A236" s="809" t="s">
        <v>250</v>
      </c>
      <c r="B236" s="810"/>
      <c r="C236" s="810"/>
      <c r="D236" s="810"/>
      <c r="E236" s="810"/>
      <c r="F236" s="811"/>
      <c r="G236" s="812">
        <f>SUM(G214:G235)-G215</f>
        <v>4703.6500000000005</v>
      </c>
      <c r="H236" s="813" t="s">
        <v>181</v>
      </c>
      <c r="I236" s="814" t="s">
        <v>182</v>
      </c>
      <c r="J236" s="721"/>
      <c r="K236" s="721"/>
      <c r="L236" s="721"/>
      <c r="M236" s="721"/>
      <c r="N236" s="721"/>
      <c r="O236" s="721"/>
      <c r="P236" s="721"/>
      <c r="Q236" s="721"/>
      <c r="R236" s="721"/>
      <c r="S236" s="721"/>
      <c r="T236" s="794"/>
      <c r="U236" s="707"/>
      <c r="V236" s="516"/>
      <c r="W236" s="516"/>
      <c r="X236" s="516"/>
      <c r="Y236" s="516"/>
      <c r="Z236" s="516"/>
      <c r="AA236" s="515"/>
      <c r="AB236" s="515"/>
      <c r="AC236" s="515"/>
      <c r="AD236" s="707"/>
      <c r="AE236" s="707"/>
      <c r="AF236" s="707"/>
      <c r="AG236" s="707"/>
      <c r="AH236" s="516"/>
      <c r="AI236" s="516"/>
      <c r="AJ236" s="516"/>
      <c r="AK236" s="516"/>
      <c r="AL236" s="516"/>
      <c r="AM236" s="516"/>
      <c r="AN236" s="516"/>
      <c r="AV236" s="516"/>
      <c r="AW236" s="516"/>
      <c r="AX236" s="516"/>
      <c r="AY236" s="516"/>
      <c r="AZ236" s="516"/>
      <c r="BA236" s="516"/>
      <c r="BB236" s="516"/>
      <c r="BC236" s="516"/>
      <c r="BD236" s="516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</row>
    <row r="237" spans="1:72" s="424" customFormat="1" ht="18.75" x14ac:dyDescent="0.3">
      <c r="A237" s="815" t="s">
        <v>249</v>
      </c>
      <c r="B237" s="810"/>
      <c r="C237" s="810"/>
      <c r="D237" s="810"/>
      <c r="E237" s="810"/>
      <c r="F237" s="811"/>
      <c r="G237" s="812">
        <f>SUM(G161)</f>
        <v>9584</v>
      </c>
      <c r="H237" s="813" t="s">
        <v>181</v>
      </c>
      <c r="I237" s="816"/>
      <c r="J237" s="721"/>
      <c r="K237" s="721"/>
      <c r="L237" s="721"/>
      <c r="M237" s="721"/>
      <c r="N237" s="721"/>
      <c r="O237" s="721"/>
      <c r="P237" s="721"/>
      <c r="Q237" s="721"/>
      <c r="R237" s="721"/>
      <c r="S237" s="721"/>
      <c r="T237" s="794"/>
      <c r="U237" s="707"/>
      <c r="V237" s="516"/>
      <c r="W237" s="516"/>
      <c r="X237" s="516"/>
      <c r="Y237" s="516"/>
      <c r="Z237" s="516"/>
      <c r="AA237" s="515"/>
      <c r="AB237" s="515"/>
      <c r="AC237" s="515"/>
      <c r="AD237" s="707"/>
      <c r="AE237" s="707"/>
      <c r="AF237" s="707"/>
      <c r="AG237" s="707"/>
      <c r="AH237" s="516"/>
      <c r="AI237" s="516"/>
      <c r="AJ237" s="516"/>
      <c r="AK237" s="516"/>
      <c r="AL237" s="516"/>
      <c r="AM237" s="516"/>
      <c r="AN237" s="516"/>
      <c r="AV237" s="516"/>
      <c r="AW237" s="516"/>
      <c r="AX237" s="516"/>
      <c r="AY237" s="516"/>
      <c r="AZ237" s="516"/>
      <c r="BA237" s="516"/>
      <c r="BB237" s="516"/>
      <c r="BC237" s="516"/>
      <c r="BD237" s="516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</row>
    <row r="238" spans="1:72" s="424" customFormat="1" ht="15.75" x14ac:dyDescent="0.25">
      <c r="A238" s="817" t="s">
        <v>183</v>
      </c>
      <c r="B238" s="818"/>
      <c r="C238" s="818"/>
      <c r="D238" s="818"/>
      <c r="E238" s="818"/>
      <c r="F238" s="819"/>
      <c r="G238" s="812">
        <v>0</v>
      </c>
      <c r="H238" s="813" t="s">
        <v>181</v>
      </c>
      <c r="I238" s="820" t="s">
        <v>184</v>
      </c>
      <c r="J238" s="721"/>
      <c r="K238" s="721"/>
      <c r="L238" s="721"/>
      <c r="M238" s="721"/>
      <c r="N238" s="721"/>
      <c r="O238" s="721"/>
      <c r="P238" s="721"/>
      <c r="Q238" s="721"/>
      <c r="R238" s="721"/>
      <c r="S238" s="721"/>
      <c r="T238" s="794"/>
      <c r="U238" s="707"/>
      <c r="V238" s="516"/>
      <c r="W238" s="516"/>
      <c r="X238" s="516"/>
      <c r="Y238" s="516"/>
      <c r="Z238" s="516"/>
      <c r="AA238" s="515"/>
      <c r="AB238" s="515"/>
      <c r="AC238" s="515"/>
      <c r="AD238" s="707"/>
      <c r="AE238" s="707"/>
      <c r="AF238" s="707"/>
      <c r="AG238" s="707"/>
      <c r="AH238" s="516"/>
      <c r="AI238" s="516"/>
      <c r="AJ238" s="516"/>
      <c r="AK238" s="516"/>
      <c r="AL238" s="516"/>
      <c r="AM238" s="516"/>
      <c r="AN238" s="516"/>
      <c r="AV238" s="516"/>
      <c r="AW238" s="516"/>
      <c r="AX238" s="516"/>
      <c r="AY238" s="516"/>
      <c r="AZ238" s="516"/>
      <c r="BA238" s="516"/>
      <c r="BB238" s="516"/>
      <c r="BC238" s="516"/>
      <c r="BD238" s="516"/>
      <c r="BE238" s="515"/>
      <c r="BF238" s="515"/>
      <c r="BG238" s="515"/>
      <c r="BH238" s="515"/>
      <c r="BI238" s="515"/>
      <c r="BJ238" s="515"/>
      <c r="BK238" s="515"/>
      <c r="BL238" s="515"/>
      <c r="BM238" s="515"/>
      <c r="BN238" s="515"/>
      <c r="BO238" s="515"/>
      <c r="BP238" s="515"/>
      <c r="BQ238" s="515"/>
      <c r="BR238" s="515"/>
      <c r="BS238" s="515"/>
      <c r="BT238" s="515"/>
    </row>
    <row r="239" spans="1:72" s="424" customFormat="1" ht="18.75" x14ac:dyDescent="0.3">
      <c r="A239" s="809" t="s">
        <v>248</v>
      </c>
      <c r="B239" s="810"/>
      <c r="C239" s="810"/>
      <c r="D239" s="810"/>
      <c r="E239" s="810"/>
      <c r="F239" s="811"/>
      <c r="G239" s="821">
        <v>28715.633699999995</v>
      </c>
      <c r="H239" s="813" t="s">
        <v>181</v>
      </c>
      <c r="I239" s="822" t="s">
        <v>185</v>
      </c>
      <c r="J239" s="823"/>
      <c r="K239" s="721"/>
      <c r="L239" s="721"/>
      <c r="M239" s="721"/>
      <c r="N239" s="824" t="s">
        <v>186</v>
      </c>
      <c r="O239" s="824"/>
      <c r="P239" s="824"/>
      <c r="Q239" s="824"/>
      <c r="R239" s="824"/>
      <c r="S239" s="824"/>
      <c r="T239" s="794"/>
      <c r="U239" s="707"/>
      <c r="V239" s="516"/>
      <c r="W239" s="516"/>
      <c r="X239" s="516"/>
      <c r="Y239" s="516"/>
      <c r="Z239" s="516"/>
      <c r="AA239" s="515"/>
      <c r="AB239" s="515"/>
      <c r="AC239" s="515"/>
      <c r="AD239" s="707"/>
      <c r="AE239" s="707"/>
      <c r="AF239" s="707"/>
      <c r="AG239" s="707"/>
      <c r="AH239" s="516"/>
      <c r="AI239" s="516"/>
      <c r="AJ239" s="516"/>
      <c r="AK239" s="516"/>
      <c r="AL239" s="516"/>
      <c r="AM239" s="516"/>
      <c r="AN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5"/>
      <c r="BF239" s="515"/>
      <c r="BG239" s="515"/>
      <c r="BH239" s="515"/>
      <c r="BI239" s="515"/>
      <c r="BJ239" s="515"/>
      <c r="BK239" s="515"/>
      <c r="BL239" s="515"/>
      <c r="BM239" s="515"/>
      <c r="BN239" s="515"/>
      <c r="BO239" s="515"/>
      <c r="BP239" s="515"/>
      <c r="BQ239" s="515"/>
      <c r="BR239" s="515"/>
      <c r="BS239" s="515"/>
      <c r="BT239" s="515"/>
    </row>
    <row r="240" spans="1:72" s="424" customFormat="1" ht="18.75" x14ac:dyDescent="0.3">
      <c r="A240" s="809" t="s">
        <v>87</v>
      </c>
      <c r="B240" s="810"/>
      <c r="C240" s="810"/>
      <c r="D240" s="810"/>
      <c r="E240" s="810"/>
      <c r="F240" s="811"/>
      <c r="G240" s="821"/>
      <c r="H240" s="825"/>
      <c r="I240" s="826" t="s">
        <v>247</v>
      </c>
      <c r="J240" s="823"/>
      <c r="K240" s="721"/>
      <c r="L240" s="721"/>
      <c r="M240" s="721"/>
      <c r="N240" s="721"/>
      <c r="O240" s="721"/>
      <c r="P240" s="721"/>
      <c r="Q240" s="721"/>
      <c r="R240" s="827"/>
      <c r="S240" s="827"/>
      <c r="T240" s="828"/>
      <c r="U240" s="829"/>
      <c r="V240" s="830"/>
      <c r="W240" s="830"/>
      <c r="X240" s="830"/>
      <c r="Y240" s="830"/>
      <c r="Z240" s="830"/>
      <c r="AA240" s="515"/>
      <c r="AB240" s="515"/>
      <c r="AC240" s="515"/>
      <c r="AD240" s="707"/>
      <c r="AE240" s="707"/>
      <c r="AF240" s="707"/>
      <c r="AG240" s="707"/>
      <c r="AH240" s="516"/>
      <c r="AI240" s="516"/>
      <c r="AJ240" s="516"/>
      <c r="AK240" s="516"/>
      <c r="AL240" s="516"/>
      <c r="AM240" s="516"/>
      <c r="AN240" s="516"/>
      <c r="AV240" s="516"/>
      <c r="AW240" s="516"/>
      <c r="AX240" s="516"/>
      <c r="AY240" s="516"/>
      <c r="AZ240" s="516"/>
      <c r="BA240" s="516"/>
      <c r="BB240" s="516"/>
      <c r="BC240" s="516"/>
      <c r="BD240" s="516"/>
      <c r="BE240" s="515"/>
      <c r="BF240" s="515"/>
      <c r="BG240" s="515"/>
      <c r="BH240" s="515"/>
      <c r="BI240" s="515"/>
      <c r="BJ240" s="515"/>
      <c r="BK240" s="515"/>
      <c r="BL240" s="515"/>
      <c r="BM240" s="515"/>
      <c r="BN240" s="515"/>
      <c r="BO240" s="515"/>
      <c r="BP240" s="515"/>
      <c r="BQ240" s="515"/>
      <c r="BR240" s="515"/>
      <c r="BS240" s="515"/>
      <c r="BT240" s="515"/>
    </row>
    <row r="241" spans="1:72" s="424" customFormat="1" ht="18.75" x14ac:dyDescent="0.3">
      <c r="A241" s="809" t="s">
        <v>246</v>
      </c>
      <c r="B241" s="810"/>
      <c r="C241" s="810"/>
      <c r="D241" s="810"/>
      <c r="E241" s="810"/>
      <c r="F241" s="811"/>
      <c r="G241" s="831">
        <f>G237-G236+G239-G240</f>
        <v>33595.983699999997</v>
      </c>
      <c r="H241" s="832" t="s">
        <v>187</v>
      </c>
      <c r="I241" s="833" t="s">
        <v>188</v>
      </c>
      <c r="J241" s="721"/>
      <c r="K241" s="721"/>
      <c r="L241" s="721"/>
      <c r="M241" s="721"/>
      <c r="N241" s="721"/>
      <c r="O241" s="721"/>
      <c r="P241" s="721"/>
      <c r="Q241" s="721"/>
      <c r="R241" s="721"/>
      <c r="S241" s="721"/>
      <c r="T241" s="794"/>
      <c r="U241" s="707"/>
      <c r="V241" s="516"/>
      <c r="W241" s="516"/>
      <c r="X241" s="516"/>
      <c r="Y241" s="516"/>
      <c r="Z241" s="516"/>
      <c r="AA241" s="515"/>
      <c r="AB241" s="515"/>
      <c r="AC241" s="515"/>
      <c r="AD241" s="707"/>
      <c r="AE241" s="707"/>
      <c r="AF241" s="707"/>
      <c r="AG241" s="707"/>
      <c r="AH241" s="516"/>
      <c r="AI241" s="516"/>
      <c r="AJ241" s="516"/>
      <c r="AK241" s="516"/>
      <c r="AL241" s="516"/>
      <c r="AM241" s="516"/>
      <c r="AN241" s="516"/>
      <c r="AV241" s="516"/>
      <c r="AW241" s="516"/>
      <c r="AX241" s="516"/>
      <c r="AY241" s="516"/>
      <c r="AZ241" s="516"/>
      <c r="BA241" s="516"/>
      <c r="BB241" s="516"/>
      <c r="BC241" s="516"/>
      <c r="BD241" s="516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</row>
    <row r="242" spans="1:72" s="424" customFormat="1" ht="18.75" x14ac:dyDescent="0.3">
      <c r="A242" s="817" t="s">
        <v>189</v>
      </c>
      <c r="B242" s="810"/>
      <c r="C242" s="810"/>
      <c r="D242" s="810"/>
      <c r="E242" s="810"/>
      <c r="F242" s="811"/>
      <c r="G242" s="834">
        <v>0</v>
      </c>
      <c r="H242" s="835" t="s">
        <v>190</v>
      </c>
      <c r="I242" s="721"/>
      <c r="J242" s="721"/>
      <c r="K242" s="721"/>
      <c r="L242" s="721"/>
      <c r="M242" s="729"/>
      <c r="N242" s="721"/>
      <c r="O242" s="721"/>
      <c r="P242" s="721"/>
      <c r="Q242" s="721"/>
      <c r="R242" s="721"/>
      <c r="S242" s="721"/>
      <c r="T242" s="794"/>
      <c r="U242" s="707"/>
      <c r="V242" s="516"/>
      <c r="W242" s="516"/>
      <c r="X242" s="516"/>
      <c r="Y242" s="516"/>
      <c r="Z242" s="516"/>
      <c r="AA242" s="515"/>
      <c r="AB242" s="515"/>
      <c r="AC242" s="515"/>
      <c r="AD242" s="707"/>
      <c r="AE242" s="707"/>
      <c r="AF242" s="707"/>
      <c r="AG242" s="707"/>
      <c r="AH242" s="516"/>
      <c r="AI242" s="516"/>
      <c r="AJ242" s="516"/>
      <c r="AK242" s="516"/>
      <c r="AL242" s="516"/>
      <c r="AM242" s="516"/>
      <c r="AN242" s="516"/>
      <c r="AV242" s="516"/>
      <c r="AW242" s="516"/>
      <c r="AX242" s="516"/>
      <c r="AY242" s="516"/>
      <c r="AZ242" s="516"/>
      <c r="BA242" s="516"/>
      <c r="BB242" s="516"/>
      <c r="BC242" s="516"/>
      <c r="BD242" s="516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</row>
    <row r="243" spans="1:72" s="424" customFormat="1" ht="18.75" x14ac:dyDescent="0.3">
      <c r="A243" s="817" t="s">
        <v>245</v>
      </c>
      <c r="B243" s="810"/>
      <c r="C243" s="810"/>
      <c r="D243" s="810"/>
      <c r="E243" s="810"/>
      <c r="F243" s="811"/>
      <c r="G243" s="834">
        <v>25.99</v>
      </c>
      <c r="H243" s="721"/>
      <c r="I243" s="721"/>
      <c r="J243" s="721"/>
      <c r="K243" s="721"/>
      <c r="L243" s="715"/>
      <c r="M243" s="729"/>
      <c r="N243" s="721"/>
      <c r="O243" s="721"/>
      <c r="P243" s="721"/>
      <c r="Q243" s="721"/>
      <c r="R243" s="721"/>
      <c r="S243" s="721"/>
      <c r="T243" s="794"/>
      <c r="U243" s="707"/>
      <c r="V243" s="516"/>
      <c r="W243" s="516"/>
      <c r="X243" s="516"/>
      <c r="Y243" s="516"/>
      <c r="Z243" s="516"/>
      <c r="AA243" s="515"/>
      <c r="AB243" s="515"/>
      <c r="AC243" s="515"/>
      <c r="AD243" s="707"/>
      <c r="AE243" s="707"/>
      <c r="AF243" s="707"/>
      <c r="AG243" s="707"/>
      <c r="AH243" s="516"/>
      <c r="AI243" s="516"/>
      <c r="AJ243" s="516"/>
      <c r="AK243" s="516"/>
      <c r="AL243" s="516"/>
      <c r="AM243" s="516"/>
      <c r="AN243" s="516"/>
      <c r="AV243" s="516"/>
      <c r="AW243" s="516"/>
      <c r="AX243" s="516"/>
      <c r="AY243" s="516"/>
      <c r="AZ243" s="516"/>
      <c r="BA243" s="516"/>
      <c r="BB243" s="516"/>
      <c r="BC243" s="516"/>
      <c r="BD243" s="516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</row>
    <row r="244" spans="1:72" s="424" customFormat="1" ht="18.75" x14ac:dyDescent="0.3">
      <c r="A244" s="817" t="s">
        <v>244</v>
      </c>
      <c r="B244" s="810"/>
      <c r="C244" s="810"/>
      <c r="D244" s="810"/>
      <c r="E244" s="810"/>
      <c r="F244" s="811"/>
      <c r="G244" s="834">
        <v>49131.5</v>
      </c>
      <c r="H244" s="721"/>
      <c r="I244" s="721"/>
      <c r="J244" s="721"/>
      <c r="K244" s="721"/>
      <c r="L244" s="715"/>
      <c r="M244" s="729"/>
      <c r="N244" s="721"/>
      <c r="O244" s="721"/>
      <c r="P244" s="721"/>
      <c r="Q244" s="721"/>
      <c r="R244" s="721"/>
      <c r="S244" s="721"/>
      <c r="T244" s="794"/>
      <c r="U244" s="707"/>
      <c r="V244" s="516"/>
      <c r="W244" s="516"/>
      <c r="X244" s="516"/>
      <c r="Y244" s="516"/>
      <c r="Z244" s="516"/>
      <c r="AA244" s="515"/>
      <c r="AB244" s="515"/>
      <c r="AC244" s="515"/>
      <c r="AD244" s="707"/>
      <c r="AE244" s="707"/>
      <c r="AF244" s="707"/>
      <c r="AG244" s="707"/>
      <c r="AH244" s="516"/>
      <c r="AI244" s="516"/>
      <c r="AJ244" s="516"/>
      <c r="AK244" s="516"/>
      <c r="AL244" s="516"/>
      <c r="AM244" s="516"/>
      <c r="AN244" s="516"/>
      <c r="AV244" s="516"/>
      <c r="AW244" s="516"/>
      <c r="AX244" s="516"/>
      <c r="AY244" s="516"/>
      <c r="AZ244" s="516"/>
      <c r="BA244" s="516"/>
      <c r="BB244" s="516"/>
      <c r="BC244" s="516"/>
      <c r="BD244" s="516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</row>
    <row r="245" spans="1:72" s="424" customFormat="1" ht="18.75" x14ac:dyDescent="0.3">
      <c r="A245" s="817" t="s">
        <v>243</v>
      </c>
      <c r="B245" s="810"/>
      <c r="C245" s="810"/>
      <c r="D245" s="810"/>
      <c r="E245" s="810"/>
      <c r="F245" s="811"/>
      <c r="G245" s="834">
        <f>G243+G244</f>
        <v>49157.49</v>
      </c>
      <c r="H245" s="721"/>
      <c r="I245" s="733" t="s">
        <v>269</v>
      </c>
      <c r="J245" s="729"/>
      <c r="K245" s="721"/>
      <c r="L245" s="721"/>
      <c r="M245" s="729"/>
      <c r="N245" s="721"/>
      <c r="O245" s="721"/>
      <c r="P245" s="721"/>
      <c r="Q245" s="721"/>
      <c r="R245" s="721"/>
      <c r="S245" s="721"/>
      <c r="T245" s="794"/>
      <c r="U245" s="707"/>
      <c r="V245" s="516"/>
      <c r="W245" s="516"/>
      <c r="X245" s="516"/>
      <c r="Y245" s="516"/>
      <c r="Z245" s="516"/>
      <c r="AA245" s="515"/>
      <c r="AB245" s="515"/>
      <c r="AC245" s="515"/>
      <c r="AD245" s="707"/>
      <c r="AE245" s="707"/>
      <c r="AF245" s="707"/>
      <c r="AG245" s="707"/>
      <c r="AH245" s="516"/>
      <c r="AI245" s="516"/>
      <c r="AJ245" s="516"/>
      <c r="AK245" s="516"/>
      <c r="AL245" s="516"/>
      <c r="AM245" s="516"/>
      <c r="AN245" s="516"/>
      <c r="AV245" s="516"/>
      <c r="AW245" s="516"/>
      <c r="AX245" s="516"/>
      <c r="AY245" s="516"/>
      <c r="AZ245" s="516"/>
      <c r="BA245" s="516"/>
      <c r="BB245" s="516"/>
      <c r="BC245" s="516"/>
      <c r="BD245" s="516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</row>
    <row r="246" spans="1:72" s="424" customFormat="1" ht="15.75" x14ac:dyDescent="0.25">
      <c r="A246" s="836"/>
      <c r="B246" s="837"/>
      <c r="C246" s="837"/>
      <c r="D246" s="837"/>
      <c r="E246" s="837"/>
      <c r="F246" s="837"/>
      <c r="G246" s="838"/>
      <c r="H246" s="721"/>
      <c r="J246" s="734"/>
      <c r="K246" s="721"/>
      <c r="L246" s="721"/>
      <c r="M246" s="729"/>
      <c r="N246" s="721"/>
      <c r="O246" s="721"/>
      <c r="P246" s="721"/>
      <c r="Q246" s="721"/>
      <c r="R246" s="721"/>
      <c r="S246" s="721"/>
      <c r="T246" s="794"/>
      <c r="U246" s="707"/>
      <c r="V246" s="516"/>
      <c r="W246" s="516"/>
      <c r="X246" s="516"/>
      <c r="Y246" s="516"/>
      <c r="Z246" s="516"/>
      <c r="AA246" s="515"/>
      <c r="AB246" s="515"/>
      <c r="AC246" s="515"/>
      <c r="AD246" s="707"/>
      <c r="AE246" s="707"/>
      <c r="AF246" s="707"/>
      <c r="AG246" s="707"/>
      <c r="AH246" s="516"/>
      <c r="AI246" s="516"/>
      <c r="AJ246" s="516"/>
      <c r="AK246" s="516"/>
      <c r="AL246" s="516"/>
      <c r="AM246" s="516"/>
      <c r="AN246" s="516"/>
      <c r="AV246" s="516"/>
      <c r="AW246" s="516"/>
      <c r="AX246" s="516"/>
      <c r="AY246" s="516"/>
      <c r="AZ246" s="516"/>
      <c r="BA246" s="516"/>
      <c r="BB246" s="516"/>
      <c r="BC246" s="516"/>
      <c r="BD246" s="516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</row>
    <row r="247" spans="1:72" s="424" customFormat="1" ht="18.75" x14ac:dyDescent="0.3">
      <c r="A247" s="839" t="s">
        <v>242</v>
      </c>
      <c r="B247" s="840"/>
      <c r="C247" s="840"/>
      <c r="D247" s="840"/>
      <c r="E247" s="840"/>
      <c r="F247" s="841"/>
      <c r="G247" s="842">
        <v>34040.28</v>
      </c>
      <c r="H247" s="721"/>
      <c r="I247" s="735"/>
      <c r="J247" s="734"/>
      <c r="K247" s="721"/>
      <c r="L247" s="721"/>
      <c r="M247" s="721"/>
      <c r="N247" s="721"/>
      <c r="O247" s="721"/>
      <c r="P247" s="721"/>
      <c r="Q247" s="721"/>
      <c r="R247" s="721"/>
      <c r="S247" s="721"/>
      <c r="T247" s="794"/>
      <c r="U247" s="707"/>
      <c r="V247" s="516"/>
      <c r="W247" s="516"/>
      <c r="X247" s="516"/>
      <c r="Y247" s="516"/>
      <c r="Z247" s="516"/>
      <c r="AA247" s="515"/>
      <c r="AB247" s="515"/>
      <c r="AC247" s="515"/>
      <c r="AD247" s="707"/>
      <c r="AE247" s="707"/>
      <c r="AF247" s="707"/>
      <c r="AG247" s="707"/>
      <c r="AH247" s="516"/>
      <c r="AI247" s="516"/>
      <c r="AJ247" s="516"/>
      <c r="AK247" s="516"/>
      <c r="AL247" s="516"/>
      <c r="AM247" s="516"/>
      <c r="AN247" s="516"/>
      <c r="AV247" s="516"/>
      <c r="AW247" s="516"/>
      <c r="AX247" s="516"/>
      <c r="AY247" s="516"/>
      <c r="AZ247" s="516"/>
      <c r="BA247" s="516"/>
      <c r="BB247" s="516"/>
      <c r="BC247" s="516"/>
      <c r="BD247" s="516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</row>
    <row r="248" spans="1:72" s="424" customFormat="1" ht="18.75" x14ac:dyDescent="0.3">
      <c r="A248" s="843" t="s">
        <v>241</v>
      </c>
      <c r="B248" s="844"/>
      <c r="C248" s="844"/>
      <c r="D248" s="844"/>
      <c r="E248" s="844"/>
      <c r="F248" s="845"/>
      <c r="G248" s="842">
        <v>2100</v>
      </c>
      <c r="H248" s="721"/>
      <c r="I248" s="733" t="s">
        <v>270</v>
      </c>
      <c r="J248" s="734"/>
      <c r="K248" s="721"/>
      <c r="L248" s="721"/>
      <c r="M248" s="721"/>
      <c r="N248" s="721"/>
      <c r="O248" s="721"/>
      <c r="P248" s="721"/>
      <c r="Q248" s="721"/>
      <c r="R248" s="721"/>
      <c r="S248" s="721"/>
      <c r="T248" s="794"/>
      <c r="U248" s="707"/>
      <c r="V248" s="516"/>
      <c r="W248" s="516"/>
      <c r="X248" s="516"/>
      <c r="Y248" s="516"/>
      <c r="Z248" s="516"/>
      <c r="AA248" s="515"/>
      <c r="AB248" s="515"/>
      <c r="AC248" s="515"/>
      <c r="AD248" s="707"/>
      <c r="AE248" s="707"/>
      <c r="AF248" s="707"/>
      <c r="AG248" s="707"/>
      <c r="AH248" s="516"/>
      <c r="AI248" s="516"/>
      <c r="AJ248" s="516"/>
      <c r="AK248" s="516"/>
      <c r="AL248" s="516"/>
      <c r="AM248" s="516"/>
      <c r="AN248" s="516"/>
      <c r="AV248" s="516"/>
      <c r="AW248" s="516"/>
      <c r="AX248" s="516"/>
      <c r="AY248" s="516"/>
      <c r="AZ248" s="516"/>
      <c r="BA248" s="516"/>
      <c r="BB248" s="516"/>
      <c r="BC248" s="516"/>
      <c r="BD248" s="516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</row>
    <row r="249" spans="1:72" s="424" customFormat="1" ht="18.75" x14ac:dyDescent="0.3">
      <c r="A249" s="846" t="s">
        <v>41</v>
      </c>
      <c r="B249" s="847"/>
      <c r="C249" s="847"/>
      <c r="D249" s="847"/>
      <c r="E249" s="847"/>
      <c r="F249" s="848"/>
      <c r="G249" s="849">
        <f>(8500+1282.54+200)*-1</f>
        <v>-9982.5400000000009</v>
      </c>
      <c r="H249" s="721"/>
      <c r="I249" s="735"/>
      <c r="J249" s="734"/>
      <c r="K249" s="721"/>
      <c r="L249" s="721"/>
      <c r="M249" s="721"/>
      <c r="N249" s="721"/>
      <c r="O249" s="721"/>
      <c r="P249" s="721"/>
      <c r="Q249" s="721"/>
      <c r="R249" s="721"/>
      <c r="S249" s="721"/>
      <c r="T249" s="794"/>
      <c r="U249" s="707"/>
      <c r="V249" s="516"/>
      <c r="W249" s="516"/>
      <c r="X249" s="516"/>
      <c r="Y249" s="516"/>
      <c r="Z249" s="516"/>
      <c r="AA249" s="515"/>
      <c r="AB249" s="515"/>
      <c r="AC249" s="515"/>
      <c r="AD249" s="707"/>
      <c r="AE249" s="707"/>
      <c r="AF249" s="707"/>
      <c r="AG249" s="707"/>
      <c r="AH249" s="516"/>
      <c r="AI249" s="516"/>
      <c r="AJ249" s="516"/>
      <c r="AK249" s="516"/>
      <c r="AL249" s="516"/>
      <c r="AM249" s="516"/>
      <c r="AN249" s="516"/>
      <c r="AV249" s="516"/>
      <c r="AW249" s="516"/>
      <c r="AX249" s="516"/>
      <c r="AY249" s="516"/>
      <c r="AZ249" s="516"/>
      <c r="BA249" s="516"/>
      <c r="BB249" s="516"/>
      <c r="BC249" s="516"/>
      <c r="BD249" s="516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</row>
    <row r="250" spans="1:72" s="424" customFormat="1" ht="19.5" thickBot="1" x14ac:dyDescent="0.35">
      <c r="A250" s="850" t="s">
        <v>240</v>
      </c>
      <c r="B250" s="851"/>
      <c r="C250" s="851"/>
      <c r="D250" s="851"/>
      <c r="E250" s="851"/>
      <c r="F250" s="852"/>
      <c r="G250" s="853">
        <f>SUM(G247:G249)</f>
        <v>26157.739999999998</v>
      </c>
      <c r="H250" s="854"/>
      <c r="I250" s="854"/>
      <c r="J250" s="854"/>
      <c r="K250" s="854"/>
      <c r="L250" s="854"/>
      <c r="M250" s="854"/>
      <c r="N250" s="854"/>
      <c r="O250" s="854"/>
      <c r="P250" s="854"/>
      <c r="Q250" s="854"/>
      <c r="R250" s="854"/>
      <c r="S250" s="854"/>
      <c r="T250" s="855"/>
      <c r="U250" s="707"/>
      <c r="V250" s="516"/>
      <c r="W250" s="516"/>
      <c r="X250" s="516"/>
      <c r="Y250" s="516"/>
      <c r="Z250" s="516"/>
      <c r="AA250" s="515"/>
      <c r="AB250" s="515"/>
      <c r="AC250" s="515"/>
      <c r="AD250" s="707"/>
      <c r="AE250" s="707"/>
      <c r="AF250" s="707"/>
      <c r="AG250" s="707"/>
      <c r="AH250" s="516"/>
      <c r="AI250" s="516"/>
      <c r="AJ250" s="516"/>
      <c r="AK250" s="516"/>
      <c r="AL250" s="516"/>
      <c r="AM250" s="516"/>
      <c r="AN250" s="516"/>
      <c r="AV250" s="516"/>
      <c r="AW250" s="516"/>
      <c r="AX250" s="516"/>
      <c r="AY250" s="516"/>
      <c r="AZ250" s="516"/>
      <c r="BA250" s="516"/>
      <c r="BB250" s="516"/>
      <c r="BC250" s="516"/>
      <c r="BD250" s="516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</row>
    <row r="251" spans="1:72" s="424" customFormat="1" ht="18.75" x14ac:dyDescent="0.3">
      <c r="A251" s="856"/>
      <c r="B251" s="856"/>
      <c r="C251" s="856"/>
      <c r="D251" s="856"/>
      <c r="E251" s="856"/>
      <c r="F251" s="856"/>
      <c r="G251" s="857"/>
      <c r="H251" s="581"/>
      <c r="I251" s="581"/>
      <c r="J251" s="581"/>
      <c r="K251" s="581"/>
      <c r="L251" s="581"/>
      <c r="M251" s="581"/>
      <c r="N251" s="581"/>
      <c r="O251" s="581"/>
      <c r="P251" s="581"/>
      <c r="Q251" s="581"/>
      <c r="R251" s="581"/>
      <c r="S251" s="581"/>
      <c r="T251" s="581"/>
      <c r="U251" s="425"/>
      <c r="V251" s="430"/>
      <c r="W251" s="430"/>
      <c r="X251" s="430"/>
      <c r="Y251" s="430"/>
      <c r="Z251" s="430"/>
      <c r="AD251" s="425"/>
      <c r="AE251" s="425"/>
      <c r="AF251" s="425"/>
      <c r="AG251" s="425"/>
      <c r="AH251" s="430"/>
      <c r="AI251" s="430"/>
      <c r="AJ251" s="430"/>
      <c r="AK251" s="430"/>
      <c r="AL251" s="430"/>
      <c r="AM251" s="430"/>
      <c r="AN251" s="430"/>
      <c r="AV251" s="430"/>
      <c r="AW251" s="430"/>
      <c r="AX251" s="430"/>
      <c r="AY251" s="430"/>
      <c r="AZ251" s="430"/>
      <c r="BA251" s="430"/>
      <c r="BB251" s="430"/>
      <c r="BC251" s="430"/>
    </row>
    <row r="252" spans="1:72" s="424" customFormat="1" ht="18.75" x14ac:dyDescent="0.3">
      <c r="A252" s="858" t="s">
        <v>191</v>
      </c>
      <c r="B252" s="859"/>
      <c r="C252" s="859"/>
      <c r="D252" s="859"/>
      <c r="E252" s="859"/>
      <c r="F252" s="859"/>
      <c r="G252" s="860"/>
      <c r="H252" s="861"/>
      <c r="I252" s="861"/>
      <c r="J252" s="861"/>
      <c r="K252" s="861"/>
      <c r="L252" s="861"/>
      <c r="M252" s="861"/>
      <c r="N252" s="861"/>
      <c r="O252" s="861"/>
      <c r="P252" s="861"/>
      <c r="Q252" s="581"/>
      <c r="R252" s="581"/>
      <c r="S252" s="581"/>
      <c r="T252" s="581"/>
      <c r="U252" s="425"/>
      <c r="V252" s="430"/>
      <c r="W252" s="430"/>
      <c r="X252" s="430"/>
      <c r="Y252" s="430"/>
      <c r="Z252" s="430"/>
      <c r="AD252" s="425"/>
      <c r="AE252" s="425"/>
      <c r="AF252" s="425"/>
      <c r="AG252" s="425"/>
      <c r="AH252" s="430"/>
      <c r="AI252" s="430"/>
      <c r="AJ252" s="430"/>
      <c r="AK252" s="430"/>
      <c r="AL252" s="430"/>
      <c r="AM252" s="430"/>
      <c r="AN252" s="430"/>
      <c r="AV252" s="430"/>
      <c r="AW252" s="430"/>
      <c r="AX252" s="430"/>
      <c r="AY252" s="430"/>
      <c r="AZ252" s="430"/>
      <c r="BA252" s="430"/>
      <c r="BB252" s="430"/>
      <c r="BC252" s="430"/>
    </row>
    <row r="253" spans="1:72" s="425" customFormat="1" x14ac:dyDescent="0.25">
      <c r="A253" s="862" t="s">
        <v>192</v>
      </c>
      <c r="B253" s="862"/>
      <c r="C253" s="862"/>
      <c r="D253" s="862"/>
      <c r="E253" s="862"/>
      <c r="F253" s="862"/>
      <c r="G253" s="862"/>
      <c r="H253" s="862"/>
      <c r="I253" s="862"/>
      <c r="J253" s="862"/>
      <c r="K253" s="862"/>
      <c r="L253" s="862"/>
      <c r="M253" s="862"/>
      <c r="N253" s="862"/>
      <c r="O253" s="862"/>
      <c r="P253" s="862"/>
      <c r="Q253" s="581"/>
      <c r="R253" s="581"/>
      <c r="S253" s="581"/>
      <c r="T253" s="581"/>
      <c r="V253" s="430"/>
      <c r="W253" s="430"/>
      <c r="X253" s="430"/>
      <c r="Y253" s="430"/>
      <c r="Z253" s="430"/>
      <c r="AA253" s="424"/>
      <c r="AB253" s="424"/>
      <c r="AC253" s="424"/>
      <c r="AH253" s="430"/>
      <c r="AI253" s="430"/>
      <c r="AJ253" s="430"/>
      <c r="AK253" s="430"/>
      <c r="AL253" s="430"/>
      <c r="AM253" s="430"/>
      <c r="AN253" s="430"/>
      <c r="AV253" s="430"/>
      <c r="AW253" s="430"/>
      <c r="AX253" s="430"/>
      <c r="AY253" s="430"/>
      <c r="AZ253" s="430"/>
      <c r="BA253" s="430"/>
      <c r="BB253" s="430"/>
      <c r="BC253" s="430"/>
    </row>
    <row r="254" spans="1:72" s="425" customFormat="1" x14ac:dyDescent="0.25">
      <c r="A254" s="862" t="s">
        <v>0</v>
      </c>
      <c r="B254" s="862" t="s">
        <v>193</v>
      </c>
      <c r="C254" s="862" t="s">
        <v>194</v>
      </c>
      <c r="D254" s="862" t="s">
        <v>195</v>
      </c>
      <c r="E254" s="862" t="s">
        <v>50</v>
      </c>
      <c r="F254" s="862"/>
      <c r="G254" s="862"/>
      <c r="H254" s="862"/>
      <c r="I254" s="862"/>
      <c r="J254" s="862"/>
      <c r="K254" s="862"/>
      <c r="L254" s="862"/>
      <c r="M254" s="862"/>
      <c r="N254" s="862"/>
      <c r="O254" s="862"/>
      <c r="P254" s="862"/>
      <c r="Q254" s="581"/>
      <c r="R254" s="581"/>
      <c r="S254" s="581"/>
      <c r="T254" s="581"/>
      <c r="V254" s="430"/>
      <c r="W254" s="430"/>
      <c r="X254" s="430"/>
      <c r="Y254" s="430"/>
      <c r="Z254" s="430"/>
      <c r="AA254" s="424"/>
      <c r="AB254" s="424"/>
      <c r="AC254" s="424"/>
      <c r="AH254" s="430"/>
      <c r="AI254" s="430"/>
      <c r="AJ254" s="430"/>
      <c r="AK254" s="430"/>
      <c r="AL254" s="430"/>
      <c r="AM254" s="430"/>
      <c r="AN254" s="430"/>
      <c r="AV254" s="430"/>
      <c r="AW254" s="430"/>
      <c r="AX254" s="430"/>
      <c r="AY254" s="430"/>
      <c r="AZ254" s="430"/>
      <c r="BA254" s="430"/>
      <c r="BB254" s="430"/>
      <c r="BC254" s="430"/>
    </row>
    <row r="255" spans="1:72" s="425" customFormat="1" x14ac:dyDescent="0.25">
      <c r="A255" s="863">
        <v>45808</v>
      </c>
      <c r="B255" s="864">
        <v>211.04</v>
      </c>
      <c r="C255" s="864">
        <v>61684.34</v>
      </c>
      <c r="D255" s="864">
        <f>B255+C255</f>
        <v>61895.38</v>
      </c>
      <c r="E255" s="862"/>
      <c r="F255" s="862"/>
      <c r="G255" s="862"/>
      <c r="H255" s="862"/>
      <c r="I255" s="862"/>
      <c r="J255" s="862"/>
      <c r="K255" s="862"/>
      <c r="L255" s="862"/>
      <c r="M255" s="862"/>
      <c r="N255" s="862"/>
      <c r="O255" s="862"/>
      <c r="P255" s="862"/>
      <c r="Q255" s="581"/>
      <c r="R255" s="581"/>
      <c r="S255" s="581"/>
      <c r="T255" s="581"/>
      <c r="V255" s="430"/>
      <c r="W255" s="430"/>
      <c r="X255" s="430"/>
      <c r="Y255" s="430"/>
      <c r="Z255" s="430"/>
      <c r="AA255" s="424"/>
      <c r="AB255" s="424"/>
      <c r="AC255" s="424"/>
      <c r="AH255" s="430"/>
      <c r="AI255" s="430"/>
      <c r="AJ255" s="430"/>
      <c r="AK255" s="430"/>
      <c r="AL255" s="430"/>
      <c r="AM255" s="430"/>
      <c r="AN255" s="430"/>
      <c r="AV255" s="430"/>
      <c r="AW255" s="430"/>
      <c r="AX255" s="430"/>
      <c r="AY255" s="430"/>
      <c r="AZ255" s="430"/>
      <c r="BA255" s="430"/>
      <c r="BB255" s="430"/>
      <c r="BC255" s="430"/>
    </row>
    <row r="256" spans="1:72" s="425" customFormat="1" x14ac:dyDescent="0.25">
      <c r="A256" s="863">
        <v>45838</v>
      </c>
      <c r="B256" s="864">
        <v>112.84</v>
      </c>
      <c r="C256" s="864">
        <v>55896.52</v>
      </c>
      <c r="D256" s="864">
        <f>B256+C256</f>
        <v>56009.359999999993</v>
      </c>
      <c r="E256" s="862"/>
      <c r="F256" s="862"/>
      <c r="G256" s="862"/>
      <c r="H256" s="862"/>
      <c r="I256" s="862"/>
      <c r="J256" s="862"/>
      <c r="K256" s="862"/>
      <c r="L256" s="862"/>
      <c r="M256" s="862"/>
      <c r="N256" s="862"/>
      <c r="O256" s="862"/>
      <c r="P256" s="862"/>
      <c r="Q256" s="581"/>
      <c r="R256" s="581"/>
      <c r="S256" s="581"/>
      <c r="T256" s="581"/>
      <c r="V256" s="430"/>
      <c r="W256" s="430"/>
      <c r="X256" s="430"/>
      <c r="Y256" s="430"/>
      <c r="Z256" s="430"/>
      <c r="AA256" s="424"/>
      <c r="AB256" s="424"/>
      <c r="AC256" s="424"/>
      <c r="AH256" s="430"/>
      <c r="AI256" s="430"/>
      <c r="AJ256" s="430"/>
      <c r="AK256" s="430"/>
      <c r="AL256" s="430"/>
      <c r="AM256" s="430"/>
      <c r="AN256" s="430"/>
      <c r="AV256" s="430"/>
      <c r="AW256" s="430"/>
      <c r="AX256" s="430"/>
      <c r="AY256" s="430"/>
      <c r="AZ256" s="430"/>
      <c r="BA256" s="430"/>
      <c r="BB256" s="430"/>
      <c r="BC256" s="430"/>
    </row>
    <row r="257" spans="1:55" s="425" customFormat="1" x14ac:dyDescent="0.25">
      <c r="A257" s="863">
        <v>45869</v>
      </c>
      <c r="B257" s="864">
        <v>112.84</v>
      </c>
      <c r="C257" s="864">
        <v>55896.52</v>
      </c>
      <c r="D257" s="864">
        <f>B257+C257</f>
        <v>56009.359999999993</v>
      </c>
      <c r="E257" s="862" t="s">
        <v>196</v>
      </c>
      <c r="F257" s="862"/>
      <c r="G257" s="862"/>
      <c r="H257" s="862"/>
      <c r="I257" s="862"/>
      <c r="J257" s="862"/>
      <c r="K257" s="862"/>
      <c r="L257" s="862"/>
      <c r="M257" s="862"/>
      <c r="N257" s="862"/>
      <c r="O257" s="862"/>
      <c r="P257" s="862"/>
      <c r="Q257" s="581"/>
      <c r="R257" s="581"/>
      <c r="S257" s="581"/>
      <c r="T257" s="581"/>
      <c r="V257" s="430"/>
      <c r="W257" s="430"/>
      <c r="X257" s="430"/>
      <c r="Y257" s="430"/>
      <c r="Z257" s="430"/>
      <c r="AA257" s="424"/>
      <c r="AB257" s="424"/>
      <c r="AC257" s="424"/>
      <c r="AH257" s="430"/>
      <c r="AI257" s="430"/>
      <c r="AJ257" s="430"/>
      <c r="AK257" s="430"/>
      <c r="AL257" s="430"/>
      <c r="AM257" s="430"/>
      <c r="AN257" s="430"/>
      <c r="AV257" s="430"/>
      <c r="AW257" s="430"/>
      <c r="AX257" s="430"/>
      <c r="AY257" s="430"/>
      <c r="AZ257" s="430"/>
      <c r="BA257" s="430"/>
      <c r="BB257" s="430"/>
      <c r="BC257" s="430"/>
    </row>
    <row r="258" spans="1:55" s="425" customFormat="1" x14ac:dyDescent="0.25">
      <c r="A258" s="862"/>
      <c r="B258" s="862"/>
      <c r="C258" s="862"/>
      <c r="D258" s="862"/>
      <c r="E258" s="862"/>
      <c r="F258" s="862"/>
      <c r="G258" s="862"/>
      <c r="H258" s="862"/>
      <c r="I258" s="862"/>
      <c r="J258" s="862"/>
      <c r="K258" s="862"/>
      <c r="L258" s="862"/>
      <c r="M258" s="862"/>
      <c r="N258" s="862"/>
      <c r="O258" s="862"/>
      <c r="P258" s="862"/>
      <c r="Q258" s="581"/>
      <c r="R258" s="581"/>
      <c r="S258" s="581"/>
      <c r="T258" s="581"/>
      <c r="V258" s="430"/>
      <c r="W258" s="430"/>
      <c r="X258" s="430"/>
      <c r="Y258" s="430"/>
      <c r="Z258" s="430"/>
      <c r="AA258" s="424"/>
      <c r="AB258" s="424"/>
      <c r="AC258" s="424"/>
      <c r="AH258" s="430"/>
      <c r="AI258" s="430"/>
      <c r="AJ258" s="430"/>
      <c r="AK258" s="430"/>
      <c r="AL258" s="430"/>
      <c r="AM258" s="430"/>
      <c r="AN258" s="430"/>
      <c r="AV258" s="430"/>
      <c r="AW258" s="430"/>
      <c r="AX258" s="430"/>
      <c r="AY258" s="430"/>
      <c r="AZ258" s="430"/>
      <c r="BA258" s="430"/>
      <c r="BB258" s="430"/>
      <c r="BC258" s="430"/>
    </row>
    <row r="259" spans="1:55" s="425" customFormat="1" ht="18.75" x14ac:dyDescent="0.3">
      <c r="A259" s="858" t="s">
        <v>197</v>
      </c>
      <c r="B259" s="861"/>
      <c r="C259" s="861"/>
      <c r="D259" s="861"/>
      <c r="E259" s="861"/>
      <c r="F259" s="861"/>
      <c r="G259" s="861"/>
      <c r="H259" s="861"/>
      <c r="I259" s="861"/>
      <c r="J259" s="861"/>
      <c r="K259" s="861"/>
      <c r="L259" s="861"/>
      <c r="M259" s="861"/>
      <c r="N259" s="861"/>
      <c r="O259" s="861"/>
      <c r="P259" s="861"/>
      <c r="Q259" s="581"/>
      <c r="R259" s="581"/>
      <c r="S259" s="581"/>
      <c r="T259" s="581"/>
      <c r="V259" s="430"/>
      <c r="W259" s="430"/>
      <c r="X259" s="430"/>
      <c r="Y259" s="430"/>
      <c r="Z259" s="430"/>
      <c r="AA259" s="424"/>
      <c r="AB259" s="424"/>
      <c r="AC259" s="424"/>
      <c r="AH259" s="430"/>
      <c r="AI259" s="430"/>
      <c r="AJ259" s="430"/>
      <c r="AK259" s="430"/>
      <c r="AL259" s="430"/>
      <c r="AM259" s="430"/>
      <c r="AN259" s="430"/>
      <c r="AV259" s="430"/>
      <c r="AW259" s="430"/>
      <c r="AX259" s="430"/>
      <c r="AY259" s="430"/>
      <c r="AZ259" s="430"/>
      <c r="BA259" s="430"/>
      <c r="BB259" s="430"/>
      <c r="BC259" s="430"/>
    </row>
    <row r="260" spans="1:55" s="425" customFormat="1" x14ac:dyDescent="0.25">
      <c r="A260" s="862" t="s">
        <v>37</v>
      </c>
      <c r="B260" s="862"/>
      <c r="C260" s="862"/>
      <c r="D260" s="862"/>
      <c r="E260" s="862"/>
      <c r="F260" s="862"/>
      <c r="G260" s="862"/>
      <c r="H260" s="862"/>
      <c r="I260" s="862"/>
      <c r="J260" s="862"/>
      <c r="K260" s="862"/>
      <c r="L260" s="862"/>
      <c r="M260" s="862"/>
      <c r="N260" s="862"/>
      <c r="O260" s="862"/>
      <c r="P260" s="862"/>
      <c r="Q260" s="581"/>
      <c r="R260" s="581"/>
      <c r="S260" s="733" t="s">
        <v>201</v>
      </c>
      <c r="T260" s="581"/>
      <c r="V260" s="430"/>
      <c r="W260" s="430"/>
      <c r="X260" s="430"/>
      <c r="Y260" s="430"/>
      <c r="Z260" s="430"/>
      <c r="AA260" s="424"/>
      <c r="AB260" s="424"/>
      <c r="AC260" s="424"/>
      <c r="AH260" s="430"/>
      <c r="AI260" s="430"/>
      <c r="AJ260" s="430"/>
      <c r="AK260" s="430"/>
      <c r="AL260" s="430"/>
      <c r="AM260" s="430"/>
      <c r="AN260" s="430"/>
      <c r="AV260" s="430"/>
      <c r="AW260" s="430"/>
      <c r="AX260" s="430"/>
      <c r="AY260" s="430"/>
      <c r="AZ260" s="430"/>
      <c r="BA260" s="430"/>
      <c r="BB260" s="430"/>
      <c r="BC260" s="430"/>
    </row>
    <row r="261" spans="1:55" s="425" customFormat="1" ht="90" x14ac:dyDescent="0.25">
      <c r="A261" s="865" t="s">
        <v>42</v>
      </c>
      <c r="B261" s="866" t="s">
        <v>59</v>
      </c>
      <c r="C261" s="865" t="s">
        <v>60</v>
      </c>
      <c r="D261" s="867" t="s">
        <v>293</v>
      </c>
      <c r="E261" s="865" t="s">
        <v>54</v>
      </c>
      <c r="F261" s="868" t="s">
        <v>55</v>
      </c>
      <c r="G261" s="868" t="s">
        <v>56</v>
      </c>
      <c r="H261" s="867" t="s">
        <v>61</v>
      </c>
      <c r="I261" s="869" t="s">
        <v>57</v>
      </c>
      <c r="J261" s="870"/>
      <c r="K261" s="862"/>
      <c r="L261" s="862"/>
      <c r="M261" s="862"/>
      <c r="N261" s="862"/>
      <c r="O261" s="862"/>
      <c r="P261" s="862"/>
      <c r="Q261" s="581"/>
      <c r="R261" s="581"/>
      <c r="S261" s="581"/>
      <c r="T261" s="581"/>
      <c r="V261" s="430"/>
      <c r="W261" s="430"/>
      <c r="X261" s="430"/>
      <c r="Y261" s="430"/>
      <c r="Z261" s="430"/>
      <c r="AA261" s="424"/>
      <c r="AB261" s="424"/>
      <c r="AC261" s="424"/>
      <c r="AH261" s="430"/>
      <c r="AI261" s="430"/>
      <c r="AJ261" s="430"/>
      <c r="AK261" s="430"/>
      <c r="AL261" s="430"/>
      <c r="AM261" s="430"/>
      <c r="AN261" s="430"/>
      <c r="AV261" s="430"/>
      <c r="AW261" s="430"/>
      <c r="AX261" s="430"/>
      <c r="AY261" s="430"/>
      <c r="AZ261" s="430"/>
      <c r="BA261" s="430"/>
      <c r="BB261" s="430"/>
      <c r="BC261" s="430"/>
    </row>
    <row r="262" spans="1:55" s="425" customFormat="1" x14ac:dyDescent="0.25">
      <c r="A262" s="871">
        <v>45809</v>
      </c>
      <c r="B262" s="863">
        <v>45777</v>
      </c>
      <c r="C262" s="864">
        <v>36279.22</v>
      </c>
      <c r="D262" s="864">
        <v>2100</v>
      </c>
      <c r="E262" s="864">
        <v>-638.94000000000005</v>
      </c>
      <c r="F262" s="872">
        <v>45810</v>
      </c>
      <c r="G262" s="873" t="s">
        <v>39</v>
      </c>
      <c r="H262" s="864">
        <f>SUM(C262:E262)</f>
        <v>37740.28</v>
      </c>
      <c r="I262" s="864">
        <f>D255-H262</f>
        <v>24155.1</v>
      </c>
      <c r="J262" s="870"/>
      <c r="K262" s="862"/>
      <c r="L262" s="862"/>
      <c r="M262" s="862"/>
      <c r="N262" s="862"/>
      <c r="O262" s="862"/>
      <c r="P262" s="862"/>
      <c r="Q262" s="581"/>
      <c r="R262" s="581"/>
      <c r="S262" s="581"/>
      <c r="T262" s="581"/>
      <c r="V262" s="430"/>
      <c r="W262" s="430"/>
      <c r="X262" s="430"/>
      <c r="Y262" s="430"/>
      <c r="Z262" s="430"/>
      <c r="AA262" s="424"/>
      <c r="AB262" s="424"/>
      <c r="AC262" s="424"/>
      <c r="AH262" s="430"/>
      <c r="AI262" s="430"/>
      <c r="AJ262" s="430"/>
      <c r="AK262" s="430"/>
      <c r="AL262" s="430"/>
      <c r="AM262" s="430"/>
      <c r="AN262" s="430"/>
      <c r="AV262" s="430"/>
      <c r="AW262" s="430"/>
      <c r="AX262" s="430"/>
      <c r="AY262" s="430"/>
      <c r="AZ262" s="430"/>
      <c r="BA262" s="430"/>
      <c r="BB262" s="430"/>
      <c r="BC262" s="430"/>
    </row>
    <row r="263" spans="1:55" s="425" customFormat="1" x14ac:dyDescent="0.25">
      <c r="A263" s="871">
        <v>45839</v>
      </c>
      <c r="B263" s="863">
        <v>45808</v>
      </c>
      <c r="C263" s="864">
        <f>H262</f>
        <v>37740.28</v>
      </c>
      <c r="D263" s="864">
        <v>2100</v>
      </c>
      <c r="E263" s="864">
        <v>-5800</v>
      </c>
      <c r="F263" s="872">
        <v>45820</v>
      </c>
      <c r="G263" s="873" t="s">
        <v>41</v>
      </c>
      <c r="H263" s="864">
        <f t="shared" ref="H263:H264" si="47">SUM(C263:E263)</f>
        <v>34040.28</v>
      </c>
      <c r="I263" s="864">
        <f>D256-H263</f>
        <v>21969.079999999994</v>
      </c>
      <c r="J263" s="870"/>
      <c r="K263" s="862"/>
      <c r="L263" s="862"/>
      <c r="M263" s="862"/>
      <c r="N263" s="862"/>
      <c r="O263" s="862"/>
      <c r="P263" s="862"/>
      <c r="Q263" s="581"/>
      <c r="R263" s="581"/>
      <c r="S263" s="581"/>
      <c r="T263" s="581"/>
      <c r="V263" s="430"/>
      <c r="W263" s="430"/>
      <c r="X263" s="430"/>
      <c r="Y263" s="430"/>
      <c r="Z263" s="430"/>
      <c r="AA263" s="424"/>
      <c r="AB263" s="424"/>
      <c r="AC263" s="424"/>
      <c r="AH263" s="430"/>
      <c r="AI263" s="430"/>
      <c r="AJ263" s="430"/>
      <c r="AK263" s="430"/>
      <c r="AL263" s="430"/>
      <c r="AM263" s="430"/>
      <c r="AN263" s="430"/>
      <c r="AV263" s="430"/>
      <c r="AW263" s="430"/>
      <c r="AX263" s="430"/>
      <c r="AY263" s="430"/>
      <c r="AZ263" s="430"/>
      <c r="BA263" s="430"/>
      <c r="BB263" s="430"/>
      <c r="BC263" s="430"/>
    </row>
    <row r="264" spans="1:55" s="425" customFormat="1" x14ac:dyDescent="0.25">
      <c r="A264" s="871">
        <v>45870</v>
      </c>
      <c r="B264" s="863">
        <v>45838</v>
      </c>
      <c r="C264" s="864">
        <f>H263</f>
        <v>34040.28</v>
      </c>
      <c r="D264" s="864">
        <v>2100</v>
      </c>
      <c r="E264" s="864">
        <v>-8500</v>
      </c>
      <c r="F264" s="872">
        <v>45845</v>
      </c>
      <c r="G264" s="873" t="s">
        <v>41</v>
      </c>
      <c r="H264" s="864">
        <f t="shared" si="47"/>
        <v>27640.28</v>
      </c>
      <c r="I264" s="864">
        <f>D257-H264</f>
        <v>28369.079999999994</v>
      </c>
      <c r="J264" s="870"/>
      <c r="K264" s="862"/>
      <c r="L264" s="862"/>
      <c r="M264" s="862"/>
      <c r="N264" s="862"/>
      <c r="O264" s="862"/>
      <c r="P264" s="862"/>
      <c r="Q264" s="581"/>
      <c r="R264" s="581"/>
      <c r="S264" s="581"/>
      <c r="T264" s="581"/>
      <c r="V264" s="430"/>
      <c r="W264" s="430"/>
      <c r="X264" s="430"/>
      <c r="Y264" s="430"/>
      <c r="Z264" s="430"/>
      <c r="AA264" s="424"/>
      <c r="AB264" s="424"/>
      <c r="AC264" s="424"/>
      <c r="AH264" s="430"/>
      <c r="AI264" s="430"/>
      <c r="AJ264" s="430"/>
      <c r="AK264" s="430"/>
      <c r="AL264" s="430"/>
      <c r="AM264" s="430"/>
      <c r="AN264" s="430"/>
      <c r="AV264" s="430"/>
      <c r="AW264" s="430"/>
      <c r="AX264" s="430"/>
      <c r="AY264" s="430"/>
      <c r="AZ264" s="430"/>
      <c r="BA264" s="430"/>
      <c r="BB264" s="430"/>
      <c r="BC264" s="430"/>
    </row>
    <row r="265" spans="1:55" s="424" customFormat="1" ht="15.75" x14ac:dyDescent="0.25">
      <c r="A265" s="568" t="s">
        <v>392</v>
      </c>
      <c r="B265" s="569" t="s">
        <v>435</v>
      </c>
      <c r="C265" s="570"/>
      <c r="D265" s="571"/>
      <c r="E265" s="572"/>
      <c r="F265" s="570"/>
      <c r="G265" s="572"/>
      <c r="H265" s="569" t="s">
        <v>435</v>
      </c>
      <c r="I265" s="571"/>
      <c r="J265" s="571"/>
      <c r="K265" s="570"/>
      <c r="L265" s="571"/>
      <c r="M265" s="571"/>
      <c r="N265" s="571"/>
      <c r="O265" s="571"/>
      <c r="P265" s="569" t="s">
        <v>435</v>
      </c>
      <c r="Q265" s="571"/>
      <c r="R265" s="571"/>
      <c r="S265" s="571"/>
      <c r="T265" s="573"/>
      <c r="U265" s="574"/>
      <c r="V265" s="571"/>
    </row>
    <row r="266" spans="1:55" s="425" customFormat="1" x14ac:dyDescent="0.25">
      <c r="A266" s="581"/>
      <c r="B266" s="581"/>
      <c r="C266" s="581"/>
      <c r="D266" s="581"/>
      <c r="E266" s="581"/>
      <c r="F266" s="581"/>
      <c r="G266" s="581"/>
      <c r="H266" s="581"/>
      <c r="I266" s="581"/>
      <c r="J266" s="581"/>
      <c r="K266" s="581"/>
      <c r="L266" s="581"/>
      <c r="M266" s="581"/>
      <c r="N266" s="581"/>
      <c r="O266" s="581"/>
      <c r="P266" s="581"/>
      <c r="Q266" s="581"/>
      <c r="R266" s="581"/>
      <c r="S266" s="581"/>
      <c r="T266" s="581"/>
      <c r="V266" s="430"/>
      <c r="W266" s="430"/>
      <c r="X266" s="430"/>
      <c r="Y266" s="430"/>
      <c r="Z266" s="430"/>
      <c r="AA266" s="424"/>
      <c r="AB266" s="424"/>
      <c r="AC266" s="424"/>
      <c r="AH266" s="430"/>
      <c r="AI266" s="430"/>
      <c r="AJ266" s="430"/>
      <c r="AK266" s="430"/>
      <c r="AL266" s="430"/>
      <c r="AM266" s="430"/>
      <c r="AN266" s="430"/>
      <c r="AV266" s="430"/>
      <c r="AW266" s="430"/>
      <c r="AX266" s="430"/>
      <c r="AY266" s="430"/>
      <c r="AZ266" s="430"/>
      <c r="BA266" s="430"/>
      <c r="BB266" s="430"/>
      <c r="BC266" s="430"/>
    </row>
    <row r="267" spans="1:55" s="425" customFormat="1" x14ac:dyDescent="0.25">
      <c r="A267" s="581"/>
      <c r="B267" s="581"/>
      <c r="C267" s="581"/>
      <c r="D267" s="581"/>
      <c r="E267" s="581"/>
      <c r="F267" s="581"/>
      <c r="G267" s="581"/>
      <c r="H267" s="581"/>
      <c r="I267" s="581"/>
      <c r="J267" s="581"/>
      <c r="K267" s="581"/>
      <c r="L267" s="581"/>
      <c r="M267" s="581"/>
      <c r="N267" s="581"/>
      <c r="O267" s="581"/>
      <c r="P267" s="581"/>
      <c r="Q267" s="581"/>
      <c r="R267" s="581"/>
      <c r="S267" s="581"/>
      <c r="T267" s="581"/>
      <c r="V267" s="430"/>
      <c r="W267" s="430"/>
      <c r="X267" s="430"/>
      <c r="Y267" s="430"/>
      <c r="Z267" s="430"/>
      <c r="AA267" s="424"/>
      <c r="AB267" s="424"/>
      <c r="AC267" s="424"/>
      <c r="AH267" s="430"/>
      <c r="AI267" s="430"/>
      <c r="AJ267" s="430"/>
      <c r="AK267" s="430"/>
      <c r="AL267" s="430"/>
      <c r="AM267" s="430"/>
      <c r="AN267" s="430"/>
      <c r="AV267" s="430"/>
      <c r="AW267" s="430"/>
      <c r="AX267" s="430"/>
      <c r="AY267" s="430"/>
      <c r="AZ267" s="430"/>
      <c r="BA267" s="430"/>
      <c r="BB267" s="430"/>
      <c r="BC267" s="430"/>
    </row>
    <row r="268" spans="1:55" s="425" customFormat="1" x14ac:dyDescent="0.25">
      <c r="A268" s="581"/>
      <c r="B268" s="581"/>
      <c r="C268" s="581"/>
      <c r="D268" s="581"/>
      <c r="E268" s="581"/>
      <c r="F268" s="581"/>
      <c r="G268" s="581"/>
      <c r="H268" s="581"/>
      <c r="I268" s="581"/>
      <c r="J268" s="581"/>
      <c r="K268" s="581"/>
      <c r="L268" s="581"/>
      <c r="M268" s="581"/>
      <c r="N268" s="581"/>
      <c r="O268" s="581"/>
      <c r="P268" s="581"/>
      <c r="Q268" s="581"/>
      <c r="R268" s="581"/>
      <c r="S268" s="581"/>
      <c r="T268" s="581"/>
      <c r="V268" s="430"/>
      <c r="W268" s="430"/>
      <c r="X268" s="430"/>
      <c r="Y268" s="430"/>
      <c r="Z268" s="430"/>
      <c r="AA268" s="424"/>
      <c r="AB268" s="424"/>
      <c r="AC268" s="424"/>
      <c r="AH268" s="430"/>
      <c r="AI268" s="430"/>
      <c r="AJ268" s="430"/>
      <c r="AK268" s="430"/>
      <c r="AL268" s="430"/>
      <c r="AM268" s="430"/>
      <c r="AN268" s="430"/>
      <c r="AV268" s="430"/>
      <c r="AW268" s="430"/>
      <c r="AX268" s="430"/>
      <c r="AY268" s="430"/>
      <c r="AZ268" s="430"/>
      <c r="BA268" s="430"/>
      <c r="BB268" s="430"/>
      <c r="BC268" s="430"/>
    </row>
    <row r="269" spans="1:55" s="425" customFormat="1" x14ac:dyDescent="0.25">
      <c r="A269" s="581"/>
      <c r="B269" s="581"/>
      <c r="C269" s="581"/>
      <c r="D269" s="581"/>
      <c r="E269" s="581"/>
      <c r="F269" s="581"/>
      <c r="G269" s="581"/>
      <c r="H269" s="581"/>
      <c r="I269" s="581"/>
      <c r="J269" s="581"/>
      <c r="K269" s="581"/>
      <c r="L269" s="581"/>
      <c r="M269" s="581"/>
      <c r="N269" s="581"/>
      <c r="O269" s="581"/>
      <c r="P269" s="581"/>
      <c r="Q269" s="581"/>
      <c r="R269" s="581"/>
      <c r="S269" s="581"/>
      <c r="T269" s="581"/>
      <c r="V269" s="430"/>
      <c r="W269" s="430"/>
      <c r="X269" s="430"/>
      <c r="Y269" s="430"/>
      <c r="Z269" s="430"/>
      <c r="AA269" s="424"/>
      <c r="AB269" s="424"/>
      <c r="AC269" s="424"/>
      <c r="AH269" s="430"/>
      <c r="AI269" s="430"/>
      <c r="AJ269" s="430"/>
      <c r="AK269" s="430"/>
      <c r="AL269" s="430"/>
      <c r="AM269" s="430"/>
      <c r="AN269" s="430"/>
      <c r="AV269" s="430"/>
      <c r="AW269" s="430"/>
      <c r="AX269" s="430"/>
      <c r="AY269" s="430"/>
      <c r="AZ269" s="430"/>
      <c r="BA269" s="430"/>
      <c r="BB269" s="430"/>
      <c r="BC269" s="430"/>
    </row>
    <row r="270" spans="1:55" s="425" customFormat="1" x14ac:dyDescent="0.25">
      <c r="A270" s="581"/>
      <c r="B270" s="581"/>
      <c r="C270" s="581"/>
      <c r="D270" s="581"/>
      <c r="E270" s="581"/>
      <c r="F270" s="581"/>
      <c r="G270" s="581"/>
      <c r="H270" s="581"/>
      <c r="I270" s="581"/>
      <c r="J270" s="581"/>
      <c r="K270" s="581"/>
      <c r="L270" s="581"/>
      <c r="M270" s="581"/>
      <c r="N270" s="581"/>
      <c r="O270" s="581"/>
      <c r="P270" s="581"/>
      <c r="Q270" s="581"/>
      <c r="R270" s="581"/>
      <c r="S270" s="581"/>
      <c r="T270" s="581"/>
      <c r="V270" s="430"/>
      <c r="W270" s="430"/>
      <c r="X270" s="430"/>
      <c r="Y270" s="430"/>
      <c r="Z270" s="430"/>
      <c r="AA270" s="424"/>
      <c r="AB270" s="424"/>
      <c r="AC270" s="424"/>
      <c r="AH270" s="430"/>
      <c r="AI270" s="430"/>
      <c r="AJ270" s="430"/>
      <c r="AK270" s="430"/>
      <c r="AL270" s="430"/>
      <c r="AM270" s="430"/>
      <c r="AN270" s="430"/>
      <c r="AV270" s="430"/>
      <c r="AW270" s="430"/>
      <c r="AX270" s="430"/>
      <c r="AY270" s="430"/>
      <c r="AZ270" s="430"/>
      <c r="BA270" s="430"/>
      <c r="BB270" s="430"/>
      <c r="BC270" s="430"/>
    </row>
    <row r="271" spans="1:55" s="425" customFormat="1" x14ac:dyDescent="0.25">
      <c r="A271" s="581"/>
      <c r="B271" s="581"/>
      <c r="C271" s="581"/>
      <c r="D271" s="581"/>
      <c r="E271" s="581"/>
      <c r="F271" s="581"/>
      <c r="G271" s="581"/>
      <c r="H271" s="581"/>
      <c r="I271" s="581"/>
      <c r="J271" s="581"/>
      <c r="K271" s="581"/>
      <c r="L271" s="581"/>
      <c r="M271" s="581"/>
      <c r="N271" s="581"/>
      <c r="O271" s="581"/>
      <c r="P271" s="581"/>
      <c r="Q271" s="581"/>
      <c r="R271" s="581"/>
      <c r="S271" s="581"/>
      <c r="T271" s="581"/>
      <c r="V271" s="430"/>
      <c r="W271" s="430"/>
      <c r="X271" s="430"/>
      <c r="Y271" s="430"/>
      <c r="Z271" s="430"/>
      <c r="AA271" s="424"/>
      <c r="AB271" s="424"/>
      <c r="AC271" s="424"/>
      <c r="AH271" s="430"/>
      <c r="AI271" s="430"/>
      <c r="AJ271" s="430"/>
      <c r="AK271" s="430"/>
      <c r="AL271" s="430"/>
      <c r="AM271" s="430"/>
      <c r="AN271" s="430"/>
      <c r="AV271" s="430"/>
      <c r="AW271" s="430"/>
      <c r="AX271" s="430"/>
      <c r="AY271" s="430"/>
      <c r="AZ271" s="430"/>
      <c r="BA271" s="430"/>
      <c r="BB271" s="430"/>
      <c r="BC271" s="430"/>
    </row>
    <row r="272" spans="1:55" s="425" customFormat="1" x14ac:dyDescent="0.25">
      <c r="A272" s="581"/>
      <c r="B272" s="581"/>
      <c r="C272" s="581"/>
      <c r="D272" s="581"/>
      <c r="E272" s="581"/>
      <c r="F272" s="581"/>
      <c r="G272" s="581"/>
      <c r="H272" s="581"/>
      <c r="I272" s="581"/>
      <c r="J272" s="581"/>
      <c r="K272" s="581"/>
      <c r="L272" s="581"/>
      <c r="M272" s="581"/>
      <c r="N272" s="581"/>
      <c r="O272" s="581"/>
      <c r="P272" s="581"/>
      <c r="Q272" s="581"/>
      <c r="R272" s="581"/>
      <c r="S272" s="581"/>
      <c r="T272" s="581"/>
      <c r="V272" s="430"/>
      <c r="W272" s="430"/>
      <c r="X272" s="430"/>
      <c r="Y272" s="430"/>
      <c r="Z272" s="430"/>
      <c r="AA272" s="424"/>
      <c r="AB272" s="424"/>
      <c r="AC272" s="424"/>
      <c r="AH272" s="430"/>
      <c r="AI272" s="430"/>
      <c r="AJ272" s="430"/>
      <c r="AK272" s="430"/>
      <c r="AL272" s="430"/>
      <c r="AM272" s="430"/>
      <c r="AN272" s="430"/>
      <c r="AV272" s="430"/>
      <c r="AW272" s="430"/>
      <c r="AX272" s="430"/>
      <c r="AY272" s="430"/>
      <c r="AZ272" s="430"/>
      <c r="BA272" s="430"/>
      <c r="BB272" s="430"/>
      <c r="BC272" s="430"/>
    </row>
    <row r="273" spans="1:55" s="425" customFormat="1" x14ac:dyDescent="0.25">
      <c r="A273" s="581"/>
      <c r="B273" s="581"/>
      <c r="C273" s="581"/>
      <c r="D273" s="581"/>
      <c r="E273" s="581"/>
      <c r="F273" s="581"/>
      <c r="G273" s="581"/>
      <c r="H273" s="581"/>
      <c r="I273" s="581"/>
      <c r="J273" s="581"/>
      <c r="K273" s="581"/>
      <c r="L273" s="581"/>
      <c r="M273" s="581"/>
      <c r="N273" s="581"/>
      <c r="O273" s="581"/>
      <c r="P273" s="581"/>
      <c r="Q273" s="581"/>
      <c r="R273" s="581"/>
      <c r="S273" s="581"/>
      <c r="T273" s="581"/>
      <c r="V273" s="430"/>
      <c r="W273" s="430"/>
      <c r="X273" s="430"/>
      <c r="Y273" s="430"/>
      <c r="Z273" s="430"/>
      <c r="AA273" s="424"/>
      <c r="AB273" s="424"/>
      <c r="AC273" s="424"/>
      <c r="AH273" s="430"/>
      <c r="AI273" s="430"/>
      <c r="AJ273" s="430"/>
      <c r="AK273" s="430"/>
      <c r="AL273" s="430"/>
      <c r="AM273" s="430"/>
      <c r="AN273" s="430"/>
      <c r="AV273" s="430"/>
      <c r="AW273" s="430"/>
      <c r="AX273" s="430"/>
      <c r="AY273" s="430"/>
      <c r="AZ273" s="430"/>
      <c r="BA273" s="430"/>
      <c r="BB273" s="430"/>
      <c r="BC273" s="430"/>
    </row>
  </sheetData>
  <sheetProtection formatCells="0" formatColumns="0" formatRows="0" insertColumns="0" insertRows="0" deleteColumns="0" deleteRows="0"/>
  <autoFilter ref="K213:S232" xr:uid="{9FB3AD14-7CDF-4B95-B824-22BB4529CCE1}"/>
  <mergeCells count="8">
    <mergeCell ref="BG2:BG40"/>
    <mergeCell ref="BY2:BY40"/>
    <mergeCell ref="L213:T213"/>
    <mergeCell ref="A210:G210"/>
    <mergeCell ref="L209:T209"/>
    <mergeCell ref="L210:T210"/>
    <mergeCell ref="L211:T211"/>
    <mergeCell ref="L212:T212"/>
  </mergeCells>
  <conditionalFormatting sqref="G135">
    <cfRule type="cellIs" dxfId="38" priority="1" operator="equal">
      <formula>FALSE</formula>
    </cfRule>
    <cfRule type="cellIs" dxfId="37" priority="2" operator="equal">
      <formula>FALSE</formula>
    </cfRule>
    <cfRule type="cellIs" dxfId="36" priority="3" operator="equal">
      <formula>TRUE</formula>
    </cfRule>
  </conditionalFormatting>
  <printOptions horizontalCentered="1"/>
  <pageMargins left="0.78740157480314965" right="0.78740157480314965" top="0.78740157480314965" bottom="0.7874015748031496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6181-C68D-4ECF-B15E-802A00DF4D85}">
  <dimension ref="A1:BK85"/>
  <sheetViews>
    <sheetView workbookViewId="0">
      <selection activeCell="A32" sqref="A32"/>
    </sheetView>
  </sheetViews>
  <sheetFormatPr defaultRowHeight="15" x14ac:dyDescent="0.25"/>
  <cols>
    <col min="1" max="1" width="57.7109375" style="254" bestFit="1" customWidth="1"/>
    <col min="2" max="2" width="9.28515625" style="214" customWidth="1"/>
    <col min="3" max="3" width="10.7109375" style="214" customWidth="1"/>
    <col min="4" max="4" width="9.5703125" style="214" customWidth="1"/>
    <col min="5" max="5" width="10.42578125" style="214" bestFit="1" customWidth="1"/>
    <col min="6" max="6" width="9.28515625" style="214" customWidth="1"/>
    <col min="7" max="7" width="10.7109375" style="214" customWidth="1"/>
    <col min="8" max="8" width="9.5703125" style="214" customWidth="1"/>
    <col min="9" max="9" width="10.42578125" style="214" bestFit="1" customWidth="1"/>
    <col min="10" max="10" width="9.28515625" style="214" customWidth="1"/>
    <col min="11" max="11" width="10.7109375" style="214" customWidth="1"/>
    <col min="12" max="12" width="9.5703125" style="214" customWidth="1"/>
    <col min="13" max="13" width="9.140625" style="214"/>
    <col min="14" max="14" width="9.28515625" style="214" customWidth="1"/>
    <col min="15" max="15" width="10.7109375" style="214" customWidth="1"/>
    <col min="16" max="16" width="9.5703125" style="214" customWidth="1"/>
    <col min="17" max="17" width="9.140625" style="214"/>
    <col min="18" max="18" width="9.28515625" style="214" customWidth="1"/>
    <col min="19" max="19" width="10.7109375" style="214" customWidth="1"/>
    <col min="20" max="20" width="9.5703125" style="214" customWidth="1"/>
    <col min="21" max="21" width="9.140625" style="214"/>
    <col min="22" max="22" width="9.28515625" style="214" customWidth="1"/>
    <col min="23" max="23" width="10.7109375" style="214" customWidth="1"/>
    <col min="24" max="24" width="9.5703125" style="214" customWidth="1"/>
    <col min="25" max="25" width="9.140625" style="214"/>
    <col min="26" max="26" width="9.28515625" style="214" customWidth="1"/>
    <col min="27" max="27" width="10.7109375" style="214" customWidth="1"/>
    <col min="28" max="28" width="9.5703125" style="214" customWidth="1"/>
    <col min="29" max="29" width="10.42578125" style="214" bestFit="1" customWidth="1"/>
    <col min="30" max="30" width="9.28515625" style="214" customWidth="1"/>
    <col min="31" max="31" width="10.7109375" style="214" customWidth="1"/>
    <col min="32" max="32" width="9.5703125" style="214" customWidth="1"/>
    <col min="33" max="33" width="9.140625" style="214"/>
    <col min="34" max="34" width="9.28515625" style="214" customWidth="1"/>
    <col min="35" max="35" width="10.7109375" style="214" customWidth="1"/>
    <col min="36" max="36" width="9.5703125" style="214" customWidth="1"/>
    <col min="37" max="37" width="9.140625" style="214"/>
    <col min="38" max="38" width="9.28515625" style="214" customWidth="1"/>
    <col min="39" max="39" width="10.7109375" style="214" customWidth="1"/>
    <col min="40" max="40" width="9.5703125" style="214" customWidth="1"/>
    <col min="41" max="41" width="9.140625" style="214"/>
    <col min="42" max="42" width="9.28515625" style="214" customWidth="1"/>
    <col min="43" max="43" width="10.7109375" style="214" customWidth="1"/>
    <col min="44" max="44" width="9.5703125" style="214" customWidth="1"/>
    <col min="45" max="45" width="9.140625" style="214"/>
    <col min="46" max="46" width="9.28515625" style="214" customWidth="1"/>
    <col min="47" max="47" width="10.7109375" style="214" customWidth="1"/>
    <col min="48" max="48" width="9.5703125" style="214" customWidth="1"/>
    <col min="49" max="49" width="9.140625" style="214"/>
    <col min="51" max="51" width="67.7109375" style="254" customWidth="1"/>
    <col min="52" max="52" width="14.28515625" customWidth="1"/>
  </cols>
  <sheetData>
    <row r="1" spans="1:52" x14ac:dyDescent="0.25">
      <c r="A1" s="248" t="str">
        <f>AY1</f>
        <v>LANÇAMENTOS, TABELA CRIADA EM 07/07/2025 (OS ITENS "RATEIO PARCIAL", "RATEIO PARCIAL DO SÍNDICO (RP/13)" E "RATEIO FINAL" NÃO SÃO NECESSÁRIOS AQUI, POIS SÃO FÓRMULAS QUE DEPENDEM DIRETAMENTE DOS VALORES AQUI INFORMADOS, BASTANDO USAR A BASE DA PLANILHA ATUAL)</v>
      </c>
      <c r="B1" s="249"/>
      <c r="E1" s="249"/>
      <c r="F1" s="249"/>
      <c r="G1" s="249"/>
      <c r="H1" s="249"/>
      <c r="I1" s="249"/>
      <c r="J1" s="249"/>
      <c r="K1" s="249"/>
      <c r="AU1" s="250" t="s">
        <v>361</v>
      </c>
      <c r="AV1" s="250"/>
      <c r="AY1" s="248" t="s">
        <v>394</v>
      </c>
      <c r="AZ1" s="209" t="s">
        <v>52</v>
      </c>
    </row>
    <row r="2" spans="1:52" x14ac:dyDescent="0.25">
      <c r="A2" s="235" t="str">
        <f>AY2</f>
        <v>DESCRIÇÃO</v>
      </c>
      <c r="B2" s="234" t="s">
        <v>42</v>
      </c>
      <c r="C2" s="236" t="s">
        <v>49</v>
      </c>
      <c r="D2" s="236" t="s">
        <v>0</v>
      </c>
      <c r="E2" s="213" t="s">
        <v>202</v>
      </c>
      <c r="F2" s="243" t="s">
        <v>42</v>
      </c>
      <c r="G2" s="236" t="s">
        <v>49</v>
      </c>
      <c r="H2" s="236" t="s">
        <v>0</v>
      </c>
      <c r="I2" s="213" t="s">
        <v>202</v>
      </c>
      <c r="J2" s="243" t="s">
        <v>42</v>
      </c>
      <c r="K2" s="236" t="s">
        <v>49</v>
      </c>
      <c r="L2" s="236" t="s">
        <v>0</v>
      </c>
      <c r="M2" s="213" t="s">
        <v>202</v>
      </c>
      <c r="N2" s="243" t="s">
        <v>42</v>
      </c>
      <c r="O2" s="236" t="s">
        <v>49</v>
      </c>
      <c r="P2" s="236" t="s">
        <v>0</v>
      </c>
      <c r="Q2" s="213" t="s">
        <v>202</v>
      </c>
      <c r="R2" s="243" t="s">
        <v>42</v>
      </c>
      <c r="S2" s="236" t="s">
        <v>49</v>
      </c>
      <c r="T2" s="236" t="s">
        <v>0</v>
      </c>
      <c r="U2" s="213" t="s">
        <v>202</v>
      </c>
      <c r="V2" s="243" t="s">
        <v>42</v>
      </c>
      <c r="W2" s="236" t="s">
        <v>49</v>
      </c>
      <c r="X2" s="236" t="s">
        <v>0</v>
      </c>
      <c r="Y2" s="213" t="s">
        <v>202</v>
      </c>
      <c r="Z2" s="243" t="s">
        <v>42</v>
      </c>
      <c r="AA2" s="236" t="s">
        <v>49</v>
      </c>
      <c r="AB2" s="236" t="s">
        <v>0</v>
      </c>
      <c r="AC2" s="213" t="s">
        <v>202</v>
      </c>
      <c r="AD2" s="243" t="s">
        <v>42</v>
      </c>
      <c r="AE2" s="236" t="s">
        <v>49</v>
      </c>
      <c r="AF2" s="236" t="s">
        <v>0</v>
      </c>
      <c r="AG2" s="213" t="s">
        <v>202</v>
      </c>
      <c r="AH2" s="243" t="s">
        <v>42</v>
      </c>
      <c r="AI2" s="236" t="s">
        <v>49</v>
      </c>
      <c r="AJ2" s="236" t="s">
        <v>0</v>
      </c>
      <c r="AK2" s="213" t="s">
        <v>505</v>
      </c>
      <c r="AL2" s="243" t="s">
        <v>42</v>
      </c>
      <c r="AM2" s="236" t="s">
        <v>49</v>
      </c>
      <c r="AN2" s="236" t="s">
        <v>0</v>
      </c>
      <c r="AO2" s="213" t="s">
        <v>505</v>
      </c>
      <c r="AP2" s="243" t="s">
        <v>42</v>
      </c>
      <c r="AQ2" s="236" t="s">
        <v>49</v>
      </c>
      <c r="AR2" s="236" t="s">
        <v>0</v>
      </c>
      <c r="AS2" s="213" t="s">
        <v>505</v>
      </c>
      <c r="AT2" s="243" t="s">
        <v>42</v>
      </c>
      <c r="AU2" s="236" t="s">
        <v>49</v>
      </c>
      <c r="AV2" s="236" t="s">
        <v>0</v>
      </c>
      <c r="AW2" s="213" t="s">
        <v>505</v>
      </c>
      <c r="AY2" s="235" t="s">
        <v>2</v>
      </c>
      <c r="AZ2" s="210"/>
    </row>
    <row r="3" spans="1:52" x14ac:dyDescent="0.25">
      <c r="A3" s="213" t="str">
        <f t="shared" ref="A3:A34" si="0">AY3</f>
        <v xml:space="preserve">CONSERVADORA CAMPOS DE OLIVEIRA  </v>
      </c>
      <c r="B3" s="235">
        <v>45778</v>
      </c>
      <c r="C3" s="237">
        <v>1342.94</v>
      </c>
      <c r="D3" s="239">
        <v>45789</v>
      </c>
      <c r="E3" s="213" t="s">
        <v>86</v>
      </c>
      <c r="F3" s="244">
        <v>45809</v>
      </c>
      <c r="G3" s="237">
        <v>1342.94</v>
      </c>
      <c r="H3" s="239">
        <v>45818</v>
      </c>
      <c r="I3" s="213" t="s">
        <v>86</v>
      </c>
      <c r="J3" s="244">
        <v>45839</v>
      </c>
      <c r="K3" s="237">
        <v>1342.94</v>
      </c>
      <c r="L3" s="239">
        <v>45848</v>
      </c>
      <c r="M3" s="213" t="s">
        <v>86</v>
      </c>
      <c r="N3" s="244">
        <v>45870</v>
      </c>
      <c r="O3" s="246">
        <v>1342.94</v>
      </c>
      <c r="P3" s="239">
        <v>45880</v>
      </c>
      <c r="Q3" s="213" t="s">
        <v>86</v>
      </c>
      <c r="R3" s="244">
        <v>45901</v>
      </c>
      <c r="S3" s="237">
        <v>1342.94</v>
      </c>
      <c r="T3" s="239">
        <v>45910</v>
      </c>
      <c r="U3" s="213" t="s">
        <v>86</v>
      </c>
      <c r="V3" s="244">
        <v>45931</v>
      </c>
      <c r="W3" s="237">
        <v>1342.94</v>
      </c>
      <c r="X3" s="239">
        <v>45940</v>
      </c>
      <c r="Y3" s="213" t="s">
        <v>86</v>
      </c>
      <c r="Z3" s="244">
        <v>45962</v>
      </c>
      <c r="AA3" s="237">
        <v>1342.94</v>
      </c>
      <c r="AB3" s="239">
        <v>45971</v>
      </c>
      <c r="AC3" s="213" t="s">
        <v>86</v>
      </c>
      <c r="AD3" s="244">
        <v>45992</v>
      </c>
      <c r="AE3" s="237">
        <v>1342.94</v>
      </c>
      <c r="AF3" s="239">
        <v>46001</v>
      </c>
      <c r="AG3" s="213" t="s">
        <v>86</v>
      </c>
      <c r="AH3" s="244">
        <v>46023</v>
      </c>
      <c r="AI3" s="237">
        <v>1342.94</v>
      </c>
      <c r="AJ3" s="239">
        <v>46034</v>
      </c>
      <c r="AK3" s="213" t="s">
        <v>86</v>
      </c>
      <c r="AL3" s="244">
        <v>46054</v>
      </c>
      <c r="AM3" s="237">
        <v>1443.6599999999999</v>
      </c>
      <c r="AN3" s="239">
        <v>46063</v>
      </c>
      <c r="AO3" s="213" t="s">
        <v>86</v>
      </c>
      <c r="AP3" s="244">
        <v>46082</v>
      </c>
      <c r="AQ3" s="237">
        <v>1443.66</v>
      </c>
      <c r="AR3" s="239">
        <v>46091</v>
      </c>
      <c r="AS3" s="213" t="s">
        <v>86</v>
      </c>
      <c r="AT3" s="244">
        <v>46113</v>
      </c>
      <c r="AU3" s="237">
        <v>1443.66</v>
      </c>
      <c r="AV3" s="239">
        <v>46122</v>
      </c>
      <c r="AW3" s="213" t="s">
        <v>86</v>
      </c>
      <c r="AY3" s="213" t="s">
        <v>4</v>
      </c>
      <c r="AZ3" s="210" t="b">
        <f t="shared" ref="AZ3:AZ34" si="1">A3=AY3</f>
        <v>1</v>
      </c>
    </row>
    <row r="4" spans="1:52" x14ac:dyDescent="0.25">
      <c r="A4" s="213" t="str">
        <f t="shared" si="0"/>
        <v xml:space="preserve">MANUTENÇÃO ELEVADOR - THYSSENKRUPP                                   </v>
      </c>
      <c r="B4" s="235">
        <v>45778</v>
      </c>
      <c r="C4" s="237">
        <v>1138.6500000000001</v>
      </c>
      <c r="D4" s="239">
        <v>45792</v>
      </c>
      <c r="E4" s="213" t="s">
        <v>86</v>
      </c>
      <c r="F4" s="244">
        <v>45809</v>
      </c>
      <c r="G4" s="237">
        <v>1334.14</v>
      </c>
      <c r="H4" s="239">
        <v>45824</v>
      </c>
      <c r="I4" s="213" t="s">
        <v>86</v>
      </c>
      <c r="J4" s="244">
        <v>45839</v>
      </c>
      <c r="K4" s="237">
        <v>1231.1099999999999</v>
      </c>
      <c r="L4" s="239">
        <v>45853</v>
      </c>
      <c r="M4" s="213" t="s">
        <v>86</v>
      </c>
      <c r="N4" s="244">
        <v>45870</v>
      </c>
      <c r="O4" s="237">
        <v>1231.1099999999999</v>
      </c>
      <c r="P4" s="239">
        <v>45888</v>
      </c>
      <c r="Q4" s="213" t="s">
        <v>86</v>
      </c>
      <c r="R4" s="244">
        <v>45901</v>
      </c>
      <c r="S4" s="237">
        <v>1231.1099999999999</v>
      </c>
      <c r="T4" s="239">
        <v>45915</v>
      </c>
      <c r="U4" s="213" t="s">
        <v>86</v>
      </c>
      <c r="V4" s="244">
        <v>45931</v>
      </c>
      <c r="W4" s="237">
        <v>1231.1099999999999</v>
      </c>
      <c r="X4" s="239">
        <v>45945</v>
      </c>
      <c r="Y4" s="213" t="s">
        <v>86</v>
      </c>
      <c r="Z4" s="244">
        <v>45962</v>
      </c>
      <c r="AA4" s="237">
        <v>1231.1099999999999</v>
      </c>
      <c r="AB4" s="239">
        <v>45978</v>
      </c>
      <c r="AC4" s="213" t="s">
        <v>86</v>
      </c>
      <c r="AD4" s="244">
        <v>45992</v>
      </c>
      <c r="AE4" s="237">
        <v>1231.1099999999999</v>
      </c>
      <c r="AF4" s="239">
        <v>46006</v>
      </c>
      <c r="AG4" s="213" t="s">
        <v>86</v>
      </c>
      <c r="AH4" s="244">
        <v>46023</v>
      </c>
      <c r="AI4" s="237">
        <v>1231.1099999999999</v>
      </c>
      <c r="AJ4" s="239">
        <v>46037</v>
      </c>
      <c r="AK4" s="213" t="s">
        <v>86</v>
      </c>
      <c r="AL4" s="244">
        <v>46054</v>
      </c>
      <c r="AM4" s="237">
        <v>1231.1099999999999</v>
      </c>
      <c r="AN4" s="239">
        <v>46068</v>
      </c>
      <c r="AO4" s="213" t="s">
        <v>86</v>
      </c>
      <c r="AP4" s="244">
        <v>46082</v>
      </c>
      <c r="AQ4" s="237">
        <v>1231.1099999999999</v>
      </c>
      <c r="AR4" s="239">
        <v>46097</v>
      </c>
      <c r="AS4" s="213" t="s">
        <v>86</v>
      </c>
      <c r="AT4" s="244">
        <v>46113</v>
      </c>
      <c r="AU4" s="237">
        <v>1231.1099999999999</v>
      </c>
      <c r="AV4" s="239">
        <v>46127</v>
      </c>
      <c r="AW4" s="213" t="s">
        <v>86</v>
      </c>
      <c r="AY4" s="213" t="s">
        <v>32</v>
      </c>
      <c r="AZ4" s="210" t="b">
        <f t="shared" si="1"/>
        <v>1</v>
      </c>
    </row>
    <row r="5" spans="1:52" x14ac:dyDescent="0.25">
      <c r="A5" s="251" t="str">
        <f t="shared" si="0"/>
        <v>CONTA DE ÁGUA DO CONDOMÍNIO (A SER RATEADA ENTRE OS CONDÔMINOS)</v>
      </c>
      <c r="B5" s="235">
        <v>45778</v>
      </c>
      <c r="C5" s="238">
        <f>'VRS. DEVIDOS E OUTROS'!C4</f>
        <v>0</v>
      </c>
      <c r="D5" s="239" t="s">
        <v>51</v>
      </c>
      <c r="E5" s="213" t="s">
        <v>204</v>
      </c>
      <c r="F5" s="244">
        <v>45809</v>
      </c>
      <c r="G5" s="237">
        <f>'VRS. DEVIDOS E OUTROS'!C11</f>
        <v>429.47000000000116</v>
      </c>
      <c r="H5" s="240">
        <f>'MEDIÇÕES E TABELAS'!AW30</f>
        <v>45824</v>
      </c>
      <c r="I5" s="213" t="s">
        <v>331</v>
      </c>
      <c r="J5" s="244">
        <v>45839</v>
      </c>
      <c r="K5" s="238">
        <f>'VRS. DEVIDOS E OUTROS'!C18</f>
        <v>0</v>
      </c>
      <c r="L5" s="240" t="s">
        <v>51</v>
      </c>
      <c r="M5" s="213" t="s">
        <v>208</v>
      </c>
      <c r="N5" s="244">
        <v>45870</v>
      </c>
      <c r="O5" s="238">
        <f>'VRS. DEVIDOS E OUTROS'!C25</f>
        <v>0</v>
      </c>
      <c r="P5" s="240" t="s">
        <v>51</v>
      </c>
      <c r="Q5" s="213" t="s">
        <v>265</v>
      </c>
      <c r="R5" s="244">
        <v>45901</v>
      </c>
      <c r="S5" s="238">
        <f>'MEDIÇÕES E TABELAS'!AQ34</f>
        <v>102.13</v>
      </c>
      <c r="T5" s="240">
        <f>'MEDIÇÕES E TABELAS'!AW33</f>
        <v>45915</v>
      </c>
      <c r="U5" s="213" t="s">
        <v>331</v>
      </c>
      <c r="V5" s="244">
        <v>45931</v>
      </c>
      <c r="W5" s="237">
        <f>'MEDIÇÕES E TABELAS'!AQ37</f>
        <v>348.46</v>
      </c>
      <c r="X5" s="240">
        <f>'MEDIÇÕES E TABELAS'!AW36</f>
        <v>45945</v>
      </c>
      <c r="Y5" s="213" t="s">
        <v>331</v>
      </c>
      <c r="Z5" s="244">
        <v>45962</v>
      </c>
      <c r="AA5" s="237">
        <f>'MEDIÇÕES E TABELAS'!AQ38</f>
        <v>351.47</v>
      </c>
      <c r="AB5" s="240">
        <f>'MEDIÇÕES E TABELAS'!AW37</f>
        <v>45978</v>
      </c>
      <c r="AC5" s="1005">
        <v>45978</v>
      </c>
      <c r="AD5" s="244">
        <v>45992</v>
      </c>
      <c r="AE5" s="237">
        <f>'MEDIÇÕES E TABELAS'!AQ39</f>
        <v>346.4</v>
      </c>
      <c r="AF5" s="240">
        <f>'MEDIÇÕES E TABELAS'!AW38</f>
        <v>46006</v>
      </c>
      <c r="AG5" s="213" t="s">
        <v>86</v>
      </c>
      <c r="AH5" s="244">
        <v>46023</v>
      </c>
      <c r="AI5" s="237">
        <f>'MEDIÇÕES E TABELAS'!AQ40</f>
        <v>0</v>
      </c>
      <c r="AJ5" s="240">
        <f>'MEDIÇÕES E TABELAS'!AW39</f>
        <v>46037</v>
      </c>
      <c r="AK5" s="213" t="s">
        <v>51</v>
      </c>
      <c r="AL5" s="244">
        <v>46054</v>
      </c>
      <c r="AM5" s="237">
        <f>'MEDIÇÕES E TABELAS'!AQ41</f>
        <v>0</v>
      </c>
      <c r="AN5" s="240">
        <f>'MEDIÇÕES E TABELAS'!AW40</f>
        <v>46071</v>
      </c>
      <c r="AO5" s="213" t="s">
        <v>51</v>
      </c>
      <c r="AP5" s="244">
        <v>46082</v>
      </c>
      <c r="AQ5" s="237">
        <f>'MEDIÇÕES E TABELAS'!AQ42</f>
        <v>0</v>
      </c>
      <c r="AR5" s="240">
        <f>'MEDIÇÕES E TABELAS'!AW41</f>
        <v>46099</v>
      </c>
      <c r="AS5" s="213" t="s">
        <v>51</v>
      </c>
      <c r="AT5" s="244">
        <v>46113</v>
      </c>
      <c r="AU5" s="237">
        <f>'MEDIÇÕES E TABELAS'!AQ43</f>
        <v>236.41</v>
      </c>
      <c r="AV5" s="240">
        <f>'MEDIÇÕES E TABELAS'!AW42</f>
        <v>46127</v>
      </c>
      <c r="AW5" s="213" t="s">
        <v>86</v>
      </c>
      <c r="AY5" s="251" t="s">
        <v>497</v>
      </c>
      <c r="AZ5" s="210" t="b">
        <f t="shared" si="1"/>
        <v>1</v>
      </c>
    </row>
    <row r="6" spans="1:52" x14ac:dyDescent="0.25">
      <c r="A6" s="213" t="str">
        <f t="shared" si="0"/>
        <v>CONTA DE LUZ DO CONDOMÍNIO (CEMIG)</v>
      </c>
      <c r="B6" s="235">
        <v>45778</v>
      </c>
      <c r="C6" s="237">
        <v>311.36</v>
      </c>
      <c r="D6" s="239">
        <v>45796</v>
      </c>
      <c r="E6" s="213" t="s">
        <v>86</v>
      </c>
      <c r="F6" s="244">
        <v>45809</v>
      </c>
      <c r="G6" s="237">
        <v>333.58</v>
      </c>
      <c r="H6" s="239">
        <v>45825</v>
      </c>
      <c r="I6" s="213" t="s">
        <v>86</v>
      </c>
      <c r="J6" s="244">
        <v>45839</v>
      </c>
      <c r="K6" s="237">
        <v>378.75</v>
      </c>
      <c r="L6" s="239">
        <v>45855</v>
      </c>
      <c r="M6" s="213" t="s">
        <v>86</v>
      </c>
      <c r="N6" s="244">
        <v>45870</v>
      </c>
      <c r="O6" s="237">
        <v>440.76</v>
      </c>
      <c r="P6" s="239">
        <v>45887</v>
      </c>
      <c r="Q6" s="213" t="s">
        <v>86</v>
      </c>
      <c r="R6" s="244">
        <v>45901</v>
      </c>
      <c r="S6" s="237">
        <v>487.7</v>
      </c>
      <c r="T6" s="239">
        <v>45917</v>
      </c>
      <c r="U6" s="213" t="s">
        <v>86</v>
      </c>
      <c r="V6" s="244">
        <v>45931</v>
      </c>
      <c r="W6" s="237">
        <v>467.79</v>
      </c>
      <c r="X6" s="239">
        <v>45947</v>
      </c>
      <c r="Y6" s="213" t="s">
        <v>86</v>
      </c>
      <c r="Z6" s="244">
        <v>45962</v>
      </c>
      <c r="AA6" s="237">
        <v>475.91</v>
      </c>
      <c r="AB6" s="239">
        <v>45978</v>
      </c>
      <c r="AC6" s="213" t="s">
        <v>86</v>
      </c>
      <c r="AD6" s="244">
        <v>45992</v>
      </c>
      <c r="AE6" s="237">
        <v>399.98</v>
      </c>
      <c r="AF6" s="239">
        <v>46008</v>
      </c>
      <c r="AG6" s="213" t="s">
        <v>86</v>
      </c>
      <c r="AH6" s="244">
        <v>46023</v>
      </c>
      <c r="AI6" s="237">
        <v>429.59</v>
      </c>
      <c r="AJ6" s="239">
        <v>46041</v>
      </c>
      <c r="AK6" s="213" t="s">
        <v>86</v>
      </c>
      <c r="AL6" s="244">
        <v>46054</v>
      </c>
      <c r="AM6" s="237">
        <v>470.4</v>
      </c>
      <c r="AN6" s="239">
        <v>46070</v>
      </c>
      <c r="AO6" s="213" t="s">
        <v>86</v>
      </c>
      <c r="AP6" s="244">
        <v>46082</v>
      </c>
      <c r="AQ6" s="237">
        <v>404.07</v>
      </c>
      <c r="AR6" s="239">
        <v>46098</v>
      </c>
      <c r="AS6" s="213" t="s">
        <v>86</v>
      </c>
      <c r="AT6" s="244">
        <v>46113</v>
      </c>
      <c r="AU6" s="237">
        <v>429.96</v>
      </c>
      <c r="AV6" s="239">
        <v>46129</v>
      </c>
      <c r="AW6" s="213" t="s">
        <v>86</v>
      </c>
      <c r="AY6" s="213" t="s">
        <v>7</v>
      </c>
      <c r="AZ6" s="210" t="b">
        <f t="shared" si="1"/>
        <v>1</v>
      </c>
    </row>
    <row r="7" spans="1:52" x14ac:dyDescent="0.25">
      <c r="A7" s="252" t="str">
        <f t="shared" si="0"/>
        <v>RETENÇÕES FEDERAIS / MUNICIPAIS DE TRIBUTOS A RECOLHER</v>
      </c>
      <c r="B7" s="235">
        <v>45778</v>
      </c>
      <c r="C7" s="237">
        <v>221.5</v>
      </c>
      <c r="D7" s="239">
        <v>45797</v>
      </c>
      <c r="E7" s="213" t="s">
        <v>86</v>
      </c>
      <c r="F7" s="244">
        <v>45809</v>
      </c>
      <c r="G7" s="238">
        <v>226.01</v>
      </c>
      <c r="H7" s="239">
        <v>45828</v>
      </c>
      <c r="I7" s="213" t="s">
        <v>86</v>
      </c>
      <c r="J7" s="244">
        <v>45839</v>
      </c>
      <c r="K7" s="238">
        <v>226.01</v>
      </c>
      <c r="L7" s="239">
        <v>45856</v>
      </c>
      <c r="M7" s="213" t="s">
        <v>86</v>
      </c>
      <c r="N7" s="244">
        <v>45870</v>
      </c>
      <c r="O7" s="237">
        <v>226.01</v>
      </c>
      <c r="P7" s="239">
        <v>45889</v>
      </c>
      <c r="Q7" s="213" t="s">
        <v>86</v>
      </c>
      <c r="R7" s="244">
        <v>45901</v>
      </c>
      <c r="S7" s="237">
        <v>226.01</v>
      </c>
      <c r="T7" s="239">
        <v>45919</v>
      </c>
      <c r="U7" s="213" t="s">
        <v>86</v>
      </c>
      <c r="V7" s="244">
        <v>45931</v>
      </c>
      <c r="W7" s="237">
        <f>226.01+21.16+19.23</f>
        <v>266.39999999999998</v>
      </c>
      <c r="X7" s="239">
        <v>45950</v>
      </c>
      <c r="Y7" s="213" t="s">
        <v>86</v>
      </c>
      <c r="Z7" s="244">
        <v>45962</v>
      </c>
      <c r="AA7" s="237">
        <v>226.01</v>
      </c>
      <c r="AB7" s="239">
        <v>45981</v>
      </c>
      <c r="AC7" s="213" t="s">
        <v>86</v>
      </c>
      <c r="AD7" s="244">
        <v>45992</v>
      </c>
      <c r="AE7" s="237">
        <v>226.01</v>
      </c>
      <c r="AF7" s="239">
        <v>46010</v>
      </c>
      <c r="AG7" s="213" t="s">
        <v>86</v>
      </c>
      <c r="AH7" s="244">
        <v>46023</v>
      </c>
      <c r="AI7" s="237">
        <f>226.01+45</f>
        <v>271.01</v>
      </c>
      <c r="AJ7" s="239" t="s">
        <v>501</v>
      </c>
      <c r="AK7" s="213" t="s">
        <v>86</v>
      </c>
      <c r="AL7" s="244">
        <v>46054</v>
      </c>
      <c r="AM7" s="237">
        <v>238.46</v>
      </c>
      <c r="AN7" s="239">
        <v>46073</v>
      </c>
      <c r="AO7" s="997" t="s">
        <v>555</v>
      </c>
      <c r="AP7" s="244">
        <v>46082</v>
      </c>
      <c r="AQ7" s="237">
        <v>238.45</v>
      </c>
      <c r="AR7" s="239">
        <v>46101</v>
      </c>
      <c r="AS7" s="213" t="s">
        <v>86</v>
      </c>
      <c r="AT7" s="244">
        <v>46113</v>
      </c>
      <c r="AU7" s="247">
        <v>238.45</v>
      </c>
      <c r="AV7" s="239">
        <v>46132</v>
      </c>
      <c r="AW7" s="213" t="s">
        <v>86</v>
      </c>
      <c r="AY7" s="252" t="s">
        <v>359</v>
      </c>
      <c r="AZ7" s="210" t="b">
        <f t="shared" si="1"/>
        <v>1</v>
      </c>
    </row>
    <row r="8" spans="1:52" x14ac:dyDescent="0.25">
      <c r="A8" s="213" t="str">
        <f t="shared" si="0"/>
        <v>SEGURO DO PRÉDIO</v>
      </c>
      <c r="B8" s="235">
        <v>45778</v>
      </c>
      <c r="C8" s="237">
        <v>224.69</v>
      </c>
      <c r="D8" s="239">
        <v>45772</v>
      </c>
      <c r="E8" s="213" t="s">
        <v>203</v>
      </c>
      <c r="F8" s="244">
        <v>45809</v>
      </c>
      <c r="G8" s="237">
        <v>224.69</v>
      </c>
      <c r="H8" s="239">
        <v>45803</v>
      </c>
      <c r="I8" s="213" t="s">
        <v>207</v>
      </c>
      <c r="J8" s="244">
        <v>45839</v>
      </c>
      <c r="K8" s="237">
        <v>0</v>
      </c>
      <c r="L8" s="239" t="s">
        <v>51</v>
      </c>
      <c r="M8" s="242" t="s">
        <v>51</v>
      </c>
      <c r="N8" s="244">
        <v>45870</v>
      </c>
      <c r="O8" s="237">
        <v>0</v>
      </c>
      <c r="P8" s="239" t="s">
        <v>51</v>
      </c>
      <c r="Q8" s="242" t="s">
        <v>51</v>
      </c>
      <c r="R8" s="244">
        <v>45901</v>
      </c>
      <c r="S8" s="237">
        <v>0</v>
      </c>
      <c r="T8" s="239" t="s">
        <v>51</v>
      </c>
      <c r="U8" s="242" t="s">
        <v>51</v>
      </c>
      <c r="V8" s="244">
        <v>45931</v>
      </c>
      <c r="W8" s="237">
        <v>0</v>
      </c>
      <c r="X8" s="239" t="s">
        <v>51</v>
      </c>
      <c r="Y8" s="242" t="s">
        <v>51</v>
      </c>
      <c r="Z8" s="244">
        <v>45962</v>
      </c>
      <c r="AA8" s="237">
        <v>0</v>
      </c>
      <c r="AB8" s="239" t="s">
        <v>51</v>
      </c>
      <c r="AC8" s="242" t="s">
        <v>51</v>
      </c>
      <c r="AD8" s="244">
        <v>45992</v>
      </c>
      <c r="AE8" s="237">
        <v>0</v>
      </c>
      <c r="AF8" s="239" t="s">
        <v>51</v>
      </c>
      <c r="AG8" s="242" t="s">
        <v>51</v>
      </c>
      <c r="AH8" s="244">
        <v>46023</v>
      </c>
      <c r="AI8" s="237">
        <v>259.07</v>
      </c>
      <c r="AJ8" s="239">
        <v>46017</v>
      </c>
      <c r="AK8" s="242" t="s">
        <v>499</v>
      </c>
      <c r="AL8" s="244">
        <v>46054</v>
      </c>
      <c r="AM8" s="238">
        <v>259.77999999999997</v>
      </c>
      <c r="AN8" s="239">
        <v>46051</v>
      </c>
      <c r="AO8" s="242" t="s">
        <v>546</v>
      </c>
      <c r="AP8" s="244">
        <v>46082</v>
      </c>
      <c r="AQ8" s="237">
        <v>259.06</v>
      </c>
      <c r="AR8" s="239">
        <v>46078</v>
      </c>
      <c r="AS8" s="242" t="s">
        <v>557</v>
      </c>
      <c r="AT8" s="244">
        <v>46113</v>
      </c>
      <c r="AU8" s="237">
        <v>259.06</v>
      </c>
      <c r="AV8" s="239">
        <v>46106</v>
      </c>
      <c r="AW8" s="242" t="s">
        <v>573</v>
      </c>
      <c r="AY8" s="213" t="s">
        <v>504</v>
      </c>
      <c r="AZ8" s="210" t="b">
        <f t="shared" si="1"/>
        <v>1</v>
      </c>
    </row>
    <row r="9" spans="1:52" x14ac:dyDescent="0.25">
      <c r="A9" s="213" t="str">
        <f t="shared" si="0"/>
        <v>RECARGA ANUAL E REPARO DOS EXTINTORES</v>
      </c>
      <c r="B9" s="235">
        <v>45778</v>
      </c>
      <c r="C9" s="237">
        <v>608</v>
      </c>
      <c r="D9" s="239">
        <v>45789</v>
      </c>
      <c r="E9" s="213" t="s">
        <v>86</v>
      </c>
      <c r="F9" s="244">
        <v>45809</v>
      </c>
      <c r="G9" s="237">
        <v>0</v>
      </c>
      <c r="H9" s="239" t="s">
        <v>51</v>
      </c>
      <c r="I9" s="242" t="s">
        <v>51</v>
      </c>
      <c r="J9" s="244">
        <v>45839</v>
      </c>
      <c r="K9" s="237">
        <v>0</v>
      </c>
      <c r="L9" s="239" t="s">
        <v>51</v>
      </c>
      <c r="M9" s="242" t="s">
        <v>51</v>
      </c>
      <c r="N9" s="244">
        <v>45870</v>
      </c>
      <c r="O9" s="237">
        <v>0</v>
      </c>
      <c r="P9" s="239" t="s">
        <v>51</v>
      </c>
      <c r="Q9" s="242" t="s">
        <v>51</v>
      </c>
      <c r="R9" s="244">
        <v>45901</v>
      </c>
      <c r="S9" s="237">
        <v>0</v>
      </c>
      <c r="T9" s="239" t="s">
        <v>51</v>
      </c>
      <c r="U9" s="242" t="s">
        <v>51</v>
      </c>
      <c r="V9" s="244">
        <v>45931</v>
      </c>
      <c r="W9" s="237">
        <v>0</v>
      </c>
      <c r="X9" s="239" t="s">
        <v>51</v>
      </c>
      <c r="Y9" s="242" t="s">
        <v>51</v>
      </c>
      <c r="Z9" s="244">
        <v>45962</v>
      </c>
      <c r="AA9" s="237">
        <v>0</v>
      </c>
      <c r="AB9" s="239" t="s">
        <v>51</v>
      </c>
      <c r="AC9" s="242" t="s">
        <v>51</v>
      </c>
      <c r="AD9" s="244">
        <v>45992</v>
      </c>
      <c r="AE9" s="237">
        <v>0</v>
      </c>
      <c r="AF9" s="239" t="s">
        <v>51</v>
      </c>
      <c r="AG9" s="242" t="s">
        <v>51</v>
      </c>
      <c r="AH9" s="244">
        <v>46023</v>
      </c>
      <c r="AI9" s="237">
        <v>0</v>
      </c>
      <c r="AJ9" s="239" t="s">
        <v>51</v>
      </c>
      <c r="AK9" s="242" t="s">
        <v>51</v>
      </c>
      <c r="AL9" s="244">
        <v>46054</v>
      </c>
      <c r="AM9" s="237">
        <v>0</v>
      </c>
      <c r="AN9" s="239" t="s">
        <v>51</v>
      </c>
      <c r="AO9" s="242" t="s">
        <v>51</v>
      </c>
      <c r="AP9" s="244">
        <v>46082</v>
      </c>
      <c r="AQ9" s="237">
        <v>0</v>
      </c>
      <c r="AR9" s="239" t="s">
        <v>51</v>
      </c>
      <c r="AS9" s="242" t="s">
        <v>51</v>
      </c>
      <c r="AT9" s="244">
        <v>46113</v>
      </c>
      <c r="AU9" s="237">
        <v>0</v>
      </c>
      <c r="AV9" s="239" t="s">
        <v>51</v>
      </c>
      <c r="AW9" s="242" t="s">
        <v>51</v>
      </c>
      <c r="AY9" s="213" t="s">
        <v>36</v>
      </c>
      <c r="AZ9" s="210" t="b">
        <f t="shared" si="1"/>
        <v>1</v>
      </c>
    </row>
    <row r="10" spans="1:52" x14ac:dyDescent="0.25">
      <c r="A10" s="213" t="str">
        <f t="shared" si="0"/>
        <v>HONORÁRIOS DA CONTADORA - MAYRA S. P. OLIVEIRA</v>
      </c>
      <c r="B10" s="235">
        <v>45778</v>
      </c>
      <c r="C10" s="237">
        <v>151.6</v>
      </c>
      <c r="D10" s="239">
        <v>45805</v>
      </c>
      <c r="E10" s="213" t="s">
        <v>86</v>
      </c>
      <c r="F10" s="244">
        <v>45809</v>
      </c>
      <c r="G10" s="237">
        <v>151.6</v>
      </c>
      <c r="H10" s="239">
        <v>45836</v>
      </c>
      <c r="I10" s="213" t="s">
        <v>86</v>
      </c>
      <c r="J10" s="244">
        <v>45839</v>
      </c>
      <c r="K10" s="237">
        <v>151.6</v>
      </c>
      <c r="L10" s="239">
        <v>45866</v>
      </c>
      <c r="M10" s="213" t="s">
        <v>86</v>
      </c>
      <c r="N10" s="244">
        <v>45870</v>
      </c>
      <c r="O10" s="237">
        <v>151.6</v>
      </c>
      <c r="P10" s="239">
        <v>45897</v>
      </c>
      <c r="Q10" s="213" t="s">
        <v>86</v>
      </c>
      <c r="R10" s="244">
        <v>45901</v>
      </c>
      <c r="S10" s="237">
        <v>151.6</v>
      </c>
      <c r="T10" s="239">
        <v>45929</v>
      </c>
      <c r="U10" s="213" t="s">
        <v>86</v>
      </c>
      <c r="V10" s="244">
        <v>45931</v>
      </c>
      <c r="W10" s="237">
        <v>151.6</v>
      </c>
      <c r="X10" s="239">
        <v>45958</v>
      </c>
      <c r="Y10" s="213" t="s">
        <v>86</v>
      </c>
      <c r="Z10" s="244">
        <v>45962</v>
      </c>
      <c r="AA10" s="237">
        <v>151.6</v>
      </c>
      <c r="AB10" s="239">
        <v>45989</v>
      </c>
      <c r="AC10" s="213" t="s">
        <v>86</v>
      </c>
      <c r="AD10" s="244">
        <v>45992</v>
      </c>
      <c r="AE10" s="237">
        <v>151.6</v>
      </c>
      <c r="AF10" s="239">
        <v>46020</v>
      </c>
      <c r="AG10" s="213" t="s">
        <v>86</v>
      </c>
      <c r="AH10" s="244">
        <v>46023</v>
      </c>
      <c r="AI10" s="237">
        <v>151.6</v>
      </c>
      <c r="AJ10" s="239">
        <v>46050</v>
      </c>
      <c r="AK10" s="213" t="s">
        <v>86</v>
      </c>
      <c r="AL10" s="244">
        <v>46054</v>
      </c>
      <c r="AM10" s="237">
        <v>163</v>
      </c>
      <c r="AN10" s="239">
        <v>46080</v>
      </c>
      <c r="AO10" s="213" t="s">
        <v>86</v>
      </c>
      <c r="AP10" s="244">
        <v>46082</v>
      </c>
      <c r="AQ10" s="237">
        <v>162</v>
      </c>
      <c r="AR10" s="239">
        <v>46111</v>
      </c>
      <c r="AS10" s="213" t="s">
        <v>86</v>
      </c>
      <c r="AT10" s="244">
        <v>46113</v>
      </c>
      <c r="AU10" s="237">
        <v>162</v>
      </c>
      <c r="AV10" s="239">
        <v>46140</v>
      </c>
      <c r="AW10" s="213" t="s">
        <v>86</v>
      </c>
      <c r="AY10" s="213" t="s">
        <v>8</v>
      </c>
      <c r="AZ10" s="210" t="b">
        <f t="shared" si="1"/>
        <v>1</v>
      </c>
    </row>
    <row r="11" spans="1:52" x14ac:dyDescent="0.25">
      <c r="A11" s="213" t="str">
        <f t="shared" si="0"/>
        <v>INTERNET PARA TRANSMISSÃO DE IMAGENS DAS CÂMERAS</v>
      </c>
      <c r="B11" s="235">
        <v>45778</v>
      </c>
      <c r="C11" s="237">
        <v>65</v>
      </c>
      <c r="D11" s="239">
        <v>45778</v>
      </c>
      <c r="E11" s="213" t="s">
        <v>86</v>
      </c>
      <c r="F11" s="244">
        <v>45809</v>
      </c>
      <c r="G11" s="237">
        <v>65</v>
      </c>
      <c r="H11" s="239">
        <v>45810</v>
      </c>
      <c r="I11" s="213" t="s">
        <v>86</v>
      </c>
      <c r="J11" s="244">
        <v>45839</v>
      </c>
      <c r="K11" s="237">
        <v>65</v>
      </c>
      <c r="L11" s="239">
        <v>45839</v>
      </c>
      <c r="M11" s="213" t="s">
        <v>86</v>
      </c>
      <c r="N11" s="244">
        <v>45870</v>
      </c>
      <c r="O11" s="237">
        <v>65</v>
      </c>
      <c r="P11" s="239">
        <v>45870</v>
      </c>
      <c r="Q11" s="213" t="s">
        <v>86</v>
      </c>
      <c r="R11" s="244">
        <v>45901</v>
      </c>
      <c r="S11" s="237">
        <v>65</v>
      </c>
      <c r="T11" s="239">
        <v>45901</v>
      </c>
      <c r="U11" s="213" t="s">
        <v>86</v>
      </c>
      <c r="V11" s="244">
        <v>45931</v>
      </c>
      <c r="W11" s="237">
        <v>65</v>
      </c>
      <c r="X11" s="239">
        <v>45931</v>
      </c>
      <c r="Y11" s="213" t="s">
        <v>86</v>
      </c>
      <c r="Z11" s="244">
        <v>45962</v>
      </c>
      <c r="AA11" s="237">
        <v>65</v>
      </c>
      <c r="AB11" s="239">
        <v>45962</v>
      </c>
      <c r="AC11" s="213" t="s">
        <v>86</v>
      </c>
      <c r="AD11" s="244">
        <v>45992</v>
      </c>
      <c r="AE11" s="237">
        <v>65</v>
      </c>
      <c r="AF11" s="239">
        <v>45993</v>
      </c>
      <c r="AG11" s="213" t="s">
        <v>86</v>
      </c>
      <c r="AH11" s="244">
        <v>46023</v>
      </c>
      <c r="AI11" s="237">
        <v>65</v>
      </c>
      <c r="AJ11" s="239">
        <v>46024</v>
      </c>
      <c r="AK11" s="213" t="s">
        <v>86</v>
      </c>
      <c r="AL11" s="244">
        <v>46054</v>
      </c>
      <c r="AM11" s="237">
        <v>65</v>
      </c>
      <c r="AN11" s="239">
        <v>46055</v>
      </c>
      <c r="AO11" s="213" t="s">
        <v>86</v>
      </c>
      <c r="AP11" s="244">
        <v>46082</v>
      </c>
      <c r="AQ11" s="237">
        <v>65</v>
      </c>
      <c r="AR11" s="239">
        <v>46083</v>
      </c>
      <c r="AS11" s="213" t="s">
        <v>86</v>
      </c>
      <c r="AT11" s="244">
        <v>46113</v>
      </c>
      <c r="AU11" s="237">
        <v>65</v>
      </c>
      <c r="AV11" s="239">
        <v>46113</v>
      </c>
      <c r="AW11" s="213" t="s">
        <v>86</v>
      </c>
      <c r="AY11" s="213" t="s">
        <v>9</v>
      </c>
      <c r="AZ11" s="210" t="b">
        <f t="shared" si="1"/>
        <v>1</v>
      </c>
    </row>
    <row r="12" spans="1:52" x14ac:dyDescent="0.25">
      <c r="A12" s="213" t="str">
        <f t="shared" si="0"/>
        <v>CADEADO</v>
      </c>
      <c r="B12" s="235">
        <v>45778</v>
      </c>
      <c r="C12" s="237">
        <v>0</v>
      </c>
      <c r="D12" s="239" t="s">
        <v>51</v>
      </c>
      <c r="E12" s="242" t="s">
        <v>51</v>
      </c>
      <c r="F12" s="244">
        <v>45809</v>
      </c>
      <c r="G12" s="237">
        <v>0</v>
      </c>
      <c r="H12" s="239" t="s">
        <v>51</v>
      </c>
      <c r="I12" s="242" t="s">
        <v>51</v>
      </c>
      <c r="J12" s="244">
        <v>45839</v>
      </c>
      <c r="K12" s="237">
        <v>0</v>
      </c>
      <c r="L12" s="239" t="s">
        <v>51</v>
      </c>
      <c r="M12" s="213" t="s">
        <v>51</v>
      </c>
      <c r="N12" s="244">
        <v>45870</v>
      </c>
      <c r="O12" s="238">
        <v>14.9</v>
      </c>
      <c r="P12" s="239">
        <v>45845</v>
      </c>
      <c r="Q12" s="213" t="s">
        <v>213</v>
      </c>
      <c r="R12" s="244">
        <v>45901</v>
      </c>
      <c r="S12" s="237">
        <v>0</v>
      </c>
      <c r="T12" s="239" t="s">
        <v>51</v>
      </c>
      <c r="U12" s="213" t="s">
        <v>51</v>
      </c>
      <c r="V12" s="244">
        <v>45931</v>
      </c>
      <c r="W12" s="237">
        <v>0</v>
      </c>
      <c r="X12" s="239" t="s">
        <v>51</v>
      </c>
      <c r="Y12" s="213" t="s">
        <v>51</v>
      </c>
      <c r="Z12" s="244">
        <v>45962</v>
      </c>
      <c r="AA12" s="237">
        <v>0</v>
      </c>
      <c r="AB12" s="239" t="s">
        <v>51</v>
      </c>
      <c r="AC12" s="213" t="s">
        <v>51</v>
      </c>
      <c r="AD12" s="244">
        <v>45992</v>
      </c>
      <c r="AE12" s="237">
        <v>0</v>
      </c>
      <c r="AF12" s="239" t="s">
        <v>51</v>
      </c>
      <c r="AG12" s="213" t="s">
        <v>51</v>
      </c>
      <c r="AH12" s="244">
        <v>46023</v>
      </c>
      <c r="AI12" s="237">
        <v>0</v>
      </c>
      <c r="AJ12" s="239" t="s">
        <v>51</v>
      </c>
      <c r="AK12" s="213" t="s">
        <v>51</v>
      </c>
      <c r="AL12" s="244">
        <v>46054</v>
      </c>
      <c r="AM12" s="237">
        <v>0</v>
      </c>
      <c r="AN12" s="239" t="s">
        <v>51</v>
      </c>
      <c r="AO12" s="213" t="s">
        <v>51</v>
      </c>
      <c r="AP12" s="244">
        <v>46082</v>
      </c>
      <c r="AQ12" s="237">
        <v>0</v>
      </c>
      <c r="AR12" s="239" t="s">
        <v>51</v>
      </c>
      <c r="AS12" s="213" t="s">
        <v>51</v>
      </c>
      <c r="AT12" s="244">
        <v>46113</v>
      </c>
      <c r="AU12" s="237">
        <v>0</v>
      </c>
      <c r="AV12" s="239" t="s">
        <v>51</v>
      </c>
      <c r="AW12" s="213" t="s">
        <v>51</v>
      </c>
      <c r="AY12" s="213" t="s">
        <v>212</v>
      </c>
      <c r="AZ12" s="210" t="b">
        <f t="shared" si="1"/>
        <v>1</v>
      </c>
    </row>
    <row r="13" spans="1:52" x14ac:dyDescent="0.25">
      <c r="A13" s="213" t="str">
        <f t="shared" si="0"/>
        <v>CHAVES RESERVA</v>
      </c>
      <c r="B13" s="235">
        <v>45778</v>
      </c>
      <c r="C13" s="237">
        <v>0</v>
      </c>
      <c r="D13" s="239" t="s">
        <v>51</v>
      </c>
      <c r="E13" s="242" t="s">
        <v>51</v>
      </c>
      <c r="F13" s="244">
        <v>45809</v>
      </c>
      <c r="G13" s="237">
        <v>0</v>
      </c>
      <c r="H13" s="239" t="s">
        <v>51</v>
      </c>
      <c r="I13" s="242" t="s">
        <v>51</v>
      </c>
      <c r="J13" s="244">
        <v>45839</v>
      </c>
      <c r="K13" s="237">
        <v>0</v>
      </c>
      <c r="L13" s="239" t="s">
        <v>51</v>
      </c>
      <c r="M13" s="213" t="s">
        <v>51</v>
      </c>
      <c r="N13" s="244">
        <v>45870</v>
      </c>
      <c r="O13" s="238">
        <v>14</v>
      </c>
      <c r="P13" s="239">
        <v>45845</v>
      </c>
      <c r="Q13" s="213" t="s">
        <v>216</v>
      </c>
      <c r="R13" s="244">
        <v>45901</v>
      </c>
      <c r="S13" s="237">
        <v>0</v>
      </c>
      <c r="T13" s="239" t="s">
        <v>51</v>
      </c>
      <c r="U13" s="213" t="s">
        <v>51</v>
      </c>
      <c r="V13" s="244">
        <v>45931</v>
      </c>
      <c r="W13" s="237">
        <v>0</v>
      </c>
      <c r="X13" s="239" t="s">
        <v>51</v>
      </c>
      <c r="Y13" s="213" t="s">
        <v>51</v>
      </c>
      <c r="Z13" s="244">
        <v>45962</v>
      </c>
      <c r="AA13" s="237">
        <v>0</v>
      </c>
      <c r="AB13" s="239" t="s">
        <v>51</v>
      </c>
      <c r="AC13" s="213" t="s">
        <v>51</v>
      </c>
      <c r="AD13" s="244">
        <v>45992</v>
      </c>
      <c r="AE13" s="237">
        <v>0</v>
      </c>
      <c r="AF13" s="239" t="s">
        <v>51</v>
      </c>
      <c r="AG13" s="213" t="s">
        <v>51</v>
      </c>
      <c r="AH13" s="244">
        <v>46023</v>
      </c>
      <c r="AI13" s="237">
        <v>0</v>
      </c>
      <c r="AJ13" s="239" t="s">
        <v>51</v>
      </c>
      <c r="AK13" s="213" t="s">
        <v>51</v>
      </c>
      <c r="AL13" s="244">
        <v>46054</v>
      </c>
      <c r="AM13" s="237">
        <v>0</v>
      </c>
      <c r="AN13" s="239" t="s">
        <v>51</v>
      </c>
      <c r="AO13" s="213" t="s">
        <v>51</v>
      </c>
      <c r="AP13" s="244">
        <v>46082</v>
      </c>
      <c r="AQ13" s="237">
        <v>0</v>
      </c>
      <c r="AR13" s="239" t="s">
        <v>51</v>
      </c>
      <c r="AS13" s="213" t="s">
        <v>51</v>
      </c>
      <c r="AT13" s="244">
        <v>46113</v>
      </c>
      <c r="AU13" s="237">
        <v>0</v>
      </c>
      <c r="AV13" s="239" t="s">
        <v>51</v>
      </c>
      <c r="AW13" s="213" t="s">
        <v>51</v>
      </c>
      <c r="AY13" s="213" t="s">
        <v>211</v>
      </c>
      <c r="AZ13" s="210" t="b">
        <f t="shared" si="1"/>
        <v>1</v>
      </c>
    </row>
    <row r="14" spans="1:52" x14ac:dyDescent="0.25">
      <c r="A14" s="213" t="str">
        <f t="shared" si="0"/>
        <v>LÂMPADAS 9W DE LED</v>
      </c>
      <c r="B14" s="235">
        <v>45778</v>
      </c>
      <c r="C14" s="237">
        <v>0</v>
      </c>
      <c r="D14" s="239" t="s">
        <v>51</v>
      </c>
      <c r="E14" s="242" t="s">
        <v>51</v>
      </c>
      <c r="F14" s="244">
        <v>45809</v>
      </c>
      <c r="G14" s="237">
        <v>0</v>
      </c>
      <c r="H14" s="239" t="s">
        <v>51</v>
      </c>
      <c r="I14" s="242" t="s">
        <v>51</v>
      </c>
      <c r="J14" s="244">
        <v>45839</v>
      </c>
      <c r="K14" s="237">
        <v>0</v>
      </c>
      <c r="L14" s="239" t="s">
        <v>51</v>
      </c>
      <c r="M14" s="213" t="s">
        <v>51</v>
      </c>
      <c r="N14" s="244">
        <v>45870</v>
      </c>
      <c r="O14" s="238">
        <v>24.6</v>
      </c>
      <c r="P14" s="239">
        <v>45870</v>
      </c>
      <c r="Q14" s="213" t="s">
        <v>264</v>
      </c>
      <c r="R14" s="244">
        <v>45901</v>
      </c>
      <c r="S14" s="237">
        <v>0</v>
      </c>
      <c r="T14" s="239" t="s">
        <v>51</v>
      </c>
      <c r="U14" s="213" t="s">
        <v>51</v>
      </c>
      <c r="V14" s="244">
        <v>45931</v>
      </c>
      <c r="W14" s="237">
        <v>0</v>
      </c>
      <c r="X14" s="239" t="s">
        <v>51</v>
      </c>
      <c r="Y14" s="213" t="s">
        <v>51</v>
      </c>
      <c r="Z14" s="244">
        <v>45962</v>
      </c>
      <c r="AA14" s="237">
        <v>0</v>
      </c>
      <c r="AB14" s="239" t="s">
        <v>51</v>
      </c>
      <c r="AC14" s="213" t="s">
        <v>51</v>
      </c>
      <c r="AD14" s="244">
        <v>45992</v>
      </c>
      <c r="AE14" s="237">
        <v>0</v>
      </c>
      <c r="AF14" s="239" t="s">
        <v>51</v>
      </c>
      <c r="AG14" s="213" t="s">
        <v>51</v>
      </c>
      <c r="AH14" s="244">
        <v>46023</v>
      </c>
      <c r="AI14" s="237">
        <v>0</v>
      </c>
      <c r="AJ14" s="239" t="s">
        <v>51</v>
      </c>
      <c r="AK14" s="213" t="s">
        <v>51</v>
      </c>
      <c r="AL14" s="244">
        <v>46054</v>
      </c>
      <c r="AM14" s="237">
        <v>0</v>
      </c>
      <c r="AN14" s="239" t="s">
        <v>51</v>
      </c>
      <c r="AO14" s="213" t="s">
        <v>51</v>
      </c>
      <c r="AP14" s="244">
        <v>46082</v>
      </c>
      <c r="AQ14" s="237">
        <v>0</v>
      </c>
      <c r="AR14" s="239" t="s">
        <v>51</v>
      </c>
      <c r="AS14" s="213" t="s">
        <v>51</v>
      </c>
      <c r="AT14" s="244">
        <v>46113</v>
      </c>
      <c r="AU14" s="237">
        <v>0</v>
      </c>
      <c r="AV14" s="239" t="s">
        <v>51</v>
      </c>
      <c r="AW14" s="213" t="s">
        <v>51</v>
      </c>
      <c r="AY14" s="213" t="s">
        <v>263</v>
      </c>
      <c r="AZ14" s="210" t="b">
        <f t="shared" si="1"/>
        <v>1</v>
      </c>
    </row>
    <row r="15" spans="1:52" x14ac:dyDescent="0.25">
      <c r="A15" s="213" t="str">
        <f t="shared" si="0"/>
        <v>SERVIÇOS DE SERRALHEIRO NO PORTÃO DA GARAGEM</v>
      </c>
      <c r="B15" s="235">
        <v>45778</v>
      </c>
      <c r="C15" s="237">
        <v>0</v>
      </c>
      <c r="D15" s="239" t="s">
        <v>51</v>
      </c>
      <c r="E15" s="242" t="s">
        <v>51</v>
      </c>
      <c r="F15" s="244">
        <v>45809</v>
      </c>
      <c r="G15" s="237">
        <v>0</v>
      </c>
      <c r="H15" s="239" t="s">
        <v>51</v>
      </c>
      <c r="I15" s="242" t="s">
        <v>51</v>
      </c>
      <c r="J15" s="244">
        <v>45839</v>
      </c>
      <c r="K15" s="237">
        <v>0</v>
      </c>
      <c r="L15" s="239" t="s">
        <v>51</v>
      </c>
      <c r="M15" s="213" t="s">
        <v>51</v>
      </c>
      <c r="N15" s="244">
        <v>45870</v>
      </c>
      <c r="O15" s="237">
        <v>0</v>
      </c>
      <c r="P15" s="239" t="s">
        <v>51</v>
      </c>
      <c r="Q15" s="213" t="s">
        <v>51</v>
      </c>
      <c r="R15" s="244">
        <v>45901</v>
      </c>
      <c r="S15" s="237">
        <v>700</v>
      </c>
      <c r="T15" s="239">
        <v>45887</v>
      </c>
      <c r="U15" s="213" t="s">
        <v>295</v>
      </c>
      <c r="V15" s="244">
        <v>45931</v>
      </c>
      <c r="W15" s="237">
        <v>0</v>
      </c>
      <c r="X15" s="239" t="s">
        <v>51</v>
      </c>
      <c r="Y15" s="213" t="s">
        <v>51</v>
      </c>
      <c r="Z15" s="244">
        <v>45962</v>
      </c>
      <c r="AA15" s="237">
        <v>0</v>
      </c>
      <c r="AB15" s="239" t="s">
        <v>51</v>
      </c>
      <c r="AC15" s="213" t="s">
        <v>51</v>
      </c>
      <c r="AD15" s="244">
        <v>45992</v>
      </c>
      <c r="AE15" s="237">
        <v>0</v>
      </c>
      <c r="AF15" s="239" t="s">
        <v>51</v>
      </c>
      <c r="AG15" s="213" t="s">
        <v>51</v>
      </c>
      <c r="AH15" s="244">
        <v>46023</v>
      </c>
      <c r="AI15" s="237">
        <v>0</v>
      </c>
      <c r="AJ15" s="239" t="s">
        <v>51</v>
      </c>
      <c r="AK15" s="213" t="s">
        <v>51</v>
      </c>
      <c r="AL15" s="244">
        <v>46054</v>
      </c>
      <c r="AM15" s="237">
        <v>0</v>
      </c>
      <c r="AN15" s="239" t="s">
        <v>51</v>
      </c>
      <c r="AO15" s="213" t="s">
        <v>51</v>
      </c>
      <c r="AP15" s="244">
        <v>46082</v>
      </c>
      <c r="AQ15" s="237">
        <v>0</v>
      </c>
      <c r="AR15" s="239" t="s">
        <v>51</v>
      </c>
      <c r="AS15" s="213" t="s">
        <v>51</v>
      </c>
      <c r="AT15" s="244">
        <v>46113</v>
      </c>
      <c r="AU15" s="237">
        <v>0</v>
      </c>
      <c r="AV15" s="239" t="s">
        <v>51</v>
      </c>
      <c r="AW15" s="213" t="s">
        <v>51</v>
      </c>
      <c r="AY15" s="213" t="s">
        <v>294</v>
      </c>
      <c r="AZ15" s="210" t="b">
        <f t="shared" si="1"/>
        <v>1</v>
      </c>
    </row>
    <row r="16" spans="1:52" x14ac:dyDescent="0.25">
      <c r="A16" s="213" t="str">
        <f t="shared" si="0"/>
        <v>MATERIAL PARA PINTURA</v>
      </c>
      <c r="B16" s="235">
        <v>45778</v>
      </c>
      <c r="C16" s="237">
        <v>0</v>
      </c>
      <c r="D16" s="239" t="s">
        <v>51</v>
      </c>
      <c r="E16" s="242" t="s">
        <v>51</v>
      </c>
      <c r="F16" s="244">
        <v>45809</v>
      </c>
      <c r="G16" s="237">
        <v>0</v>
      </c>
      <c r="H16" s="239" t="s">
        <v>51</v>
      </c>
      <c r="I16" s="242" t="s">
        <v>51</v>
      </c>
      <c r="J16" s="244">
        <v>45839</v>
      </c>
      <c r="K16" s="237">
        <v>0</v>
      </c>
      <c r="L16" s="239" t="s">
        <v>51</v>
      </c>
      <c r="M16" s="213" t="s">
        <v>51</v>
      </c>
      <c r="N16" s="244">
        <v>45870</v>
      </c>
      <c r="O16" s="237">
        <v>0</v>
      </c>
      <c r="P16" s="239" t="s">
        <v>51</v>
      </c>
      <c r="Q16" s="213" t="s">
        <v>51</v>
      </c>
      <c r="R16" s="244">
        <v>45901</v>
      </c>
      <c r="S16" s="237">
        <v>0</v>
      </c>
      <c r="T16" s="239" t="s">
        <v>51</v>
      </c>
      <c r="U16" s="213" t="s">
        <v>51</v>
      </c>
      <c r="V16" s="244">
        <v>45931</v>
      </c>
      <c r="W16" s="237">
        <v>74.95</v>
      </c>
      <c r="X16" s="239">
        <v>45908</v>
      </c>
      <c r="Y16" s="213" t="s">
        <v>364</v>
      </c>
      <c r="Z16" s="244">
        <v>45962</v>
      </c>
      <c r="AA16" s="237">
        <v>0</v>
      </c>
      <c r="AB16" s="239" t="s">
        <v>51</v>
      </c>
      <c r="AC16" s="213" t="s">
        <v>51</v>
      </c>
      <c r="AD16" s="244">
        <v>45992</v>
      </c>
      <c r="AE16" s="237">
        <v>0</v>
      </c>
      <c r="AF16" s="239" t="s">
        <v>51</v>
      </c>
      <c r="AG16" s="213" t="s">
        <v>51</v>
      </c>
      <c r="AH16" s="244">
        <v>46023</v>
      </c>
      <c r="AI16" s="237">
        <v>0</v>
      </c>
      <c r="AJ16" s="239" t="s">
        <v>51</v>
      </c>
      <c r="AK16" s="213" t="s">
        <v>51</v>
      </c>
      <c r="AL16" s="244">
        <v>46054</v>
      </c>
      <c r="AM16" s="237">
        <v>0</v>
      </c>
      <c r="AN16" s="239" t="s">
        <v>51</v>
      </c>
      <c r="AO16" s="213" t="s">
        <v>51</v>
      </c>
      <c r="AP16" s="244">
        <v>46082</v>
      </c>
      <c r="AQ16" s="237">
        <v>0</v>
      </c>
      <c r="AR16" s="239" t="s">
        <v>51</v>
      </c>
      <c r="AS16" s="213" t="s">
        <v>51</v>
      </c>
      <c r="AT16" s="244">
        <v>46113</v>
      </c>
      <c r="AU16" s="237">
        <v>0</v>
      </c>
      <c r="AV16" s="239" t="s">
        <v>51</v>
      </c>
      <c r="AW16" s="213" t="s">
        <v>51</v>
      </c>
      <c r="AY16" s="213" t="s">
        <v>363</v>
      </c>
      <c r="AZ16" s="210" t="b">
        <f t="shared" si="1"/>
        <v>1</v>
      </c>
    </row>
    <row r="17" spans="1:52" x14ac:dyDescent="0.25">
      <c r="A17" s="213" t="str">
        <f t="shared" si="0"/>
        <v>ATA DE ELEIÇÃO DE NOVO SÍNDICO, REGISTRO NO CARTÓRIO</v>
      </c>
      <c r="B17" s="235">
        <v>45778</v>
      </c>
      <c r="C17" s="237">
        <v>0</v>
      </c>
      <c r="D17" s="239" t="s">
        <v>51</v>
      </c>
      <c r="E17" s="242" t="s">
        <v>51</v>
      </c>
      <c r="F17" s="244">
        <v>45809</v>
      </c>
      <c r="G17" s="237">
        <v>0</v>
      </c>
      <c r="H17" s="239" t="s">
        <v>51</v>
      </c>
      <c r="I17" s="242" t="s">
        <v>51</v>
      </c>
      <c r="J17" s="244">
        <v>45839</v>
      </c>
      <c r="K17" s="237">
        <v>120.9</v>
      </c>
      <c r="L17" s="239">
        <v>45834</v>
      </c>
      <c r="M17" s="213" t="s">
        <v>86</v>
      </c>
      <c r="N17" s="244">
        <v>45870</v>
      </c>
      <c r="O17" s="237">
        <v>0</v>
      </c>
      <c r="P17" s="239" t="s">
        <v>51</v>
      </c>
      <c r="Q17" s="242" t="s">
        <v>51</v>
      </c>
      <c r="R17" s="244">
        <v>45901</v>
      </c>
      <c r="S17" s="237">
        <v>0</v>
      </c>
      <c r="T17" s="239" t="s">
        <v>51</v>
      </c>
      <c r="U17" s="242" t="s">
        <v>51</v>
      </c>
      <c r="V17" s="244">
        <v>45931</v>
      </c>
      <c r="W17" s="237">
        <v>0</v>
      </c>
      <c r="X17" s="239" t="s">
        <v>51</v>
      </c>
      <c r="Y17" s="242" t="s">
        <v>51</v>
      </c>
      <c r="Z17" s="244">
        <v>45962</v>
      </c>
      <c r="AA17" s="237">
        <v>0</v>
      </c>
      <c r="AB17" s="239" t="s">
        <v>51</v>
      </c>
      <c r="AC17" s="242" t="s">
        <v>51</v>
      </c>
      <c r="AD17" s="244">
        <v>45992</v>
      </c>
      <c r="AE17" s="237">
        <v>0</v>
      </c>
      <c r="AF17" s="239" t="s">
        <v>51</v>
      </c>
      <c r="AG17" s="242" t="s">
        <v>51</v>
      </c>
      <c r="AH17" s="244">
        <v>46023</v>
      </c>
      <c r="AI17" s="237">
        <v>0</v>
      </c>
      <c r="AJ17" s="239" t="s">
        <v>51</v>
      </c>
      <c r="AK17" s="242" t="s">
        <v>51</v>
      </c>
      <c r="AL17" s="244">
        <v>46054</v>
      </c>
      <c r="AM17" s="237">
        <v>0</v>
      </c>
      <c r="AN17" s="239" t="s">
        <v>51</v>
      </c>
      <c r="AO17" s="242" t="s">
        <v>51</v>
      </c>
      <c r="AP17" s="244">
        <v>46082</v>
      </c>
      <c r="AQ17" s="237">
        <v>0</v>
      </c>
      <c r="AR17" s="239" t="s">
        <v>51</v>
      </c>
      <c r="AS17" s="242" t="s">
        <v>51</v>
      </c>
      <c r="AT17" s="244">
        <v>46113</v>
      </c>
      <c r="AU17" s="237">
        <v>0</v>
      </c>
      <c r="AV17" s="239" t="s">
        <v>51</v>
      </c>
      <c r="AW17" s="242" t="s">
        <v>51</v>
      </c>
      <c r="AY17" s="213" t="s">
        <v>38</v>
      </c>
      <c r="AZ17" s="210" t="b">
        <f t="shared" si="1"/>
        <v>1</v>
      </c>
    </row>
    <row r="18" spans="1:52" x14ac:dyDescent="0.25">
      <c r="A18" s="213" t="str">
        <f t="shared" si="0"/>
        <v>AÇÃO CONTRA COPASA, CUSTAS DE RECURSO JUDICIAL</v>
      </c>
      <c r="B18" s="235">
        <v>45778</v>
      </c>
      <c r="C18" s="237">
        <v>0</v>
      </c>
      <c r="D18" s="239" t="s">
        <v>51</v>
      </c>
      <c r="E18" s="242" t="s">
        <v>51</v>
      </c>
      <c r="F18" s="244">
        <v>45809</v>
      </c>
      <c r="G18" s="237">
        <v>0</v>
      </c>
      <c r="H18" s="239" t="s">
        <v>51</v>
      </c>
      <c r="I18" s="242" t="s">
        <v>51</v>
      </c>
      <c r="J18" s="244">
        <v>45839</v>
      </c>
      <c r="K18" s="237">
        <v>477.87</v>
      </c>
      <c r="L18" s="239">
        <v>45833</v>
      </c>
      <c r="M18" s="213" t="s">
        <v>86</v>
      </c>
      <c r="N18" s="244">
        <v>45870</v>
      </c>
      <c r="O18" s="237">
        <v>0</v>
      </c>
      <c r="P18" s="239" t="s">
        <v>51</v>
      </c>
      <c r="Q18" s="242" t="s">
        <v>51</v>
      </c>
      <c r="R18" s="244">
        <v>45901</v>
      </c>
      <c r="S18" s="237">
        <v>0</v>
      </c>
      <c r="T18" s="239" t="s">
        <v>51</v>
      </c>
      <c r="U18" s="242" t="s">
        <v>51</v>
      </c>
      <c r="V18" s="244">
        <v>45931</v>
      </c>
      <c r="W18" s="237">
        <v>0</v>
      </c>
      <c r="X18" s="239" t="s">
        <v>51</v>
      </c>
      <c r="Y18" s="242" t="s">
        <v>51</v>
      </c>
      <c r="Z18" s="244">
        <v>45962</v>
      </c>
      <c r="AA18" s="237">
        <v>0</v>
      </c>
      <c r="AB18" s="239" t="s">
        <v>51</v>
      </c>
      <c r="AC18" s="242" t="s">
        <v>51</v>
      </c>
      <c r="AD18" s="244">
        <v>45992</v>
      </c>
      <c r="AE18" s="237">
        <v>0</v>
      </c>
      <c r="AF18" s="239" t="s">
        <v>51</v>
      </c>
      <c r="AG18" s="242" t="s">
        <v>51</v>
      </c>
      <c r="AH18" s="244">
        <v>46023</v>
      </c>
      <c r="AI18" s="237">
        <v>0</v>
      </c>
      <c r="AJ18" s="239" t="s">
        <v>51</v>
      </c>
      <c r="AK18" s="242" t="s">
        <v>51</v>
      </c>
      <c r="AL18" s="244">
        <v>46054</v>
      </c>
      <c r="AM18" s="237">
        <v>0</v>
      </c>
      <c r="AN18" s="239" t="s">
        <v>51</v>
      </c>
      <c r="AO18" s="242" t="s">
        <v>51</v>
      </c>
      <c r="AP18" s="244">
        <v>46082</v>
      </c>
      <c r="AQ18" s="237">
        <v>0</v>
      </c>
      <c r="AR18" s="239" t="s">
        <v>51</v>
      </c>
      <c r="AS18" s="242" t="s">
        <v>51</v>
      </c>
      <c r="AT18" s="244">
        <v>46113</v>
      </c>
      <c r="AU18" s="237">
        <v>0</v>
      </c>
      <c r="AV18" s="239" t="s">
        <v>51</v>
      </c>
      <c r="AW18" s="242" t="s">
        <v>51</v>
      </c>
      <c r="AY18" s="213" t="s">
        <v>40</v>
      </c>
      <c r="AZ18" s="210" t="b">
        <f t="shared" si="1"/>
        <v>1</v>
      </c>
    </row>
    <row r="19" spans="1:52" x14ac:dyDescent="0.25">
      <c r="A19" s="213" t="str">
        <f t="shared" si="0"/>
        <v>XEROX PROJ.ELÉTRICO P/RENOV.AUTO DE VISTORIA/CORPO DE BOMBEIROS</v>
      </c>
      <c r="B19" s="235">
        <v>45778</v>
      </c>
      <c r="C19" s="237">
        <v>0</v>
      </c>
      <c r="D19" s="239" t="s">
        <v>51</v>
      </c>
      <c r="E19" s="242" t="s">
        <v>51</v>
      </c>
      <c r="F19" s="244">
        <v>45809</v>
      </c>
      <c r="G19" s="237">
        <v>0</v>
      </c>
      <c r="H19" s="239" t="s">
        <v>51</v>
      </c>
      <c r="I19" s="242" t="s">
        <v>51</v>
      </c>
      <c r="J19" s="244">
        <v>45839</v>
      </c>
      <c r="K19" s="237">
        <v>0</v>
      </c>
      <c r="L19" s="239" t="s">
        <v>51</v>
      </c>
      <c r="M19" s="213" t="s">
        <v>51</v>
      </c>
      <c r="N19" s="244">
        <v>45870</v>
      </c>
      <c r="O19" s="237">
        <v>0</v>
      </c>
      <c r="P19" s="239" t="s">
        <v>51</v>
      </c>
      <c r="Q19" s="213" t="s">
        <v>51</v>
      </c>
      <c r="R19" s="244">
        <v>45901</v>
      </c>
      <c r="S19" s="237">
        <v>0</v>
      </c>
      <c r="T19" s="239" t="s">
        <v>51</v>
      </c>
      <c r="U19" s="213" t="s">
        <v>51</v>
      </c>
      <c r="V19" s="244">
        <v>45931</v>
      </c>
      <c r="W19" s="237">
        <v>36.9</v>
      </c>
      <c r="X19" s="239">
        <v>45923</v>
      </c>
      <c r="Y19" s="213" t="s">
        <v>86</v>
      </c>
      <c r="Z19" s="244">
        <v>45962</v>
      </c>
      <c r="AA19" s="237">
        <v>0</v>
      </c>
      <c r="AB19" s="239" t="s">
        <v>51</v>
      </c>
      <c r="AC19" s="242" t="s">
        <v>51</v>
      </c>
      <c r="AD19" s="244">
        <v>45992</v>
      </c>
      <c r="AE19" s="237">
        <v>0</v>
      </c>
      <c r="AF19" s="239" t="s">
        <v>51</v>
      </c>
      <c r="AG19" s="242" t="s">
        <v>51</v>
      </c>
      <c r="AH19" s="244">
        <v>46023</v>
      </c>
      <c r="AI19" s="237">
        <v>0</v>
      </c>
      <c r="AJ19" s="239" t="s">
        <v>51</v>
      </c>
      <c r="AK19" s="242" t="s">
        <v>51</v>
      </c>
      <c r="AL19" s="244">
        <v>46054</v>
      </c>
      <c r="AM19" s="237">
        <v>0</v>
      </c>
      <c r="AN19" s="239" t="s">
        <v>51</v>
      </c>
      <c r="AO19" s="242" t="s">
        <v>51</v>
      </c>
      <c r="AP19" s="244">
        <v>46082</v>
      </c>
      <c r="AQ19" s="237">
        <v>0</v>
      </c>
      <c r="AR19" s="239" t="s">
        <v>51</v>
      </c>
      <c r="AS19" s="242" t="s">
        <v>51</v>
      </c>
      <c r="AT19" s="244">
        <v>46113</v>
      </c>
      <c r="AU19" s="237">
        <v>0</v>
      </c>
      <c r="AV19" s="239" t="s">
        <v>51</v>
      </c>
      <c r="AW19" s="242" t="s">
        <v>51</v>
      </c>
      <c r="AY19" s="213" t="s">
        <v>370</v>
      </c>
      <c r="AZ19" s="210" t="b">
        <f t="shared" si="1"/>
        <v>1</v>
      </c>
    </row>
    <row r="20" spans="1:52" x14ac:dyDescent="0.25">
      <c r="A20" s="213" t="str">
        <f t="shared" si="0"/>
        <v>CONSERTO DA CERCA ELÉTRICA</v>
      </c>
      <c r="B20" s="235">
        <v>45778</v>
      </c>
      <c r="C20" s="237">
        <v>0</v>
      </c>
      <c r="D20" s="239" t="s">
        <v>51</v>
      </c>
      <c r="E20" s="242" t="s">
        <v>51</v>
      </c>
      <c r="F20" s="244">
        <v>45809</v>
      </c>
      <c r="G20" s="237">
        <v>0</v>
      </c>
      <c r="H20" s="239" t="s">
        <v>51</v>
      </c>
      <c r="I20" s="242" t="s">
        <v>51</v>
      </c>
      <c r="J20" s="244">
        <v>45839</v>
      </c>
      <c r="K20" s="237">
        <v>0</v>
      </c>
      <c r="L20" s="239" t="s">
        <v>51</v>
      </c>
      <c r="M20" s="213" t="s">
        <v>51</v>
      </c>
      <c r="N20" s="244">
        <v>45870</v>
      </c>
      <c r="O20" s="237">
        <v>0</v>
      </c>
      <c r="P20" s="239" t="s">
        <v>51</v>
      </c>
      <c r="Q20" s="213" t="s">
        <v>51</v>
      </c>
      <c r="R20" s="244">
        <v>45901</v>
      </c>
      <c r="S20" s="237">
        <v>0</v>
      </c>
      <c r="T20" s="239" t="s">
        <v>51</v>
      </c>
      <c r="U20" s="213" t="s">
        <v>51</v>
      </c>
      <c r="V20" s="244">
        <v>45931</v>
      </c>
      <c r="W20" s="237">
        <v>0</v>
      </c>
      <c r="X20" s="239" t="s">
        <v>51</v>
      </c>
      <c r="Y20" s="213" t="s">
        <v>51</v>
      </c>
      <c r="Z20" s="244">
        <v>45962</v>
      </c>
      <c r="AA20" s="237">
        <v>0</v>
      </c>
      <c r="AB20" s="239" t="s">
        <v>51</v>
      </c>
      <c r="AC20" s="213" t="s">
        <v>51</v>
      </c>
      <c r="AD20" s="244">
        <v>45992</v>
      </c>
      <c r="AE20" s="237">
        <v>120</v>
      </c>
      <c r="AF20" s="239">
        <v>45968</v>
      </c>
      <c r="AG20" s="213" t="s">
        <v>86</v>
      </c>
      <c r="AH20" s="244">
        <v>46023</v>
      </c>
      <c r="AI20" s="237">
        <v>0</v>
      </c>
      <c r="AJ20" s="239" t="s">
        <v>51</v>
      </c>
      <c r="AK20" s="213" t="s">
        <v>51</v>
      </c>
      <c r="AL20" s="244">
        <v>46054</v>
      </c>
      <c r="AM20" s="237">
        <v>0</v>
      </c>
      <c r="AN20" s="239" t="s">
        <v>51</v>
      </c>
      <c r="AO20" s="213" t="s">
        <v>51</v>
      </c>
      <c r="AP20" s="244">
        <v>46082</v>
      </c>
      <c r="AQ20" s="237">
        <v>0</v>
      </c>
      <c r="AR20" s="239" t="s">
        <v>51</v>
      </c>
      <c r="AS20" s="213" t="s">
        <v>51</v>
      </c>
      <c r="AT20" s="244">
        <v>46113</v>
      </c>
      <c r="AU20" s="237">
        <v>0</v>
      </c>
      <c r="AV20" s="239" t="s">
        <v>51</v>
      </c>
      <c r="AW20" s="213" t="s">
        <v>51</v>
      </c>
      <c r="AY20" s="213" t="s">
        <v>485</v>
      </c>
      <c r="AZ20" s="210" t="b">
        <f t="shared" si="1"/>
        <v>1</v>
      </c>
    </row>
    <row r="21" spans="1:52" x14ac:dyDescent="0.25">
      <c r="A21" s="213" t="str">
        <f t="shared" si="0"/>
        <v>LUMINÁRIA DE EMERGÊNCIA</v>
      </c>
      <c r="B21" s="235">
        <v>45778</v>
      </c>
      <c r="C21" s="237">
        <v>0</v>
      </c>
      <c r="D21" s="239" t="s">
        <v>51</v>
      </c>
      <c r="E21" s="242" t="s">
        <v>51</v>
      </c>
      <c r="F21" s="244">
        <v>45809</v>
      </c>
      <c r="G21" s="237">
        <v>0</v>
      </c>
      <c r="H21" s="239" t="s">
        <v>51</v>
      </c>
      <c r="I21" s="242" t="s">
        <v>51</v>
      </c>
      <c r="J21" s="244">
        <v>45839</v>
      </c>
      <c r="K21" s="237">
        <v>0</v>
      </c>
      <c r="L21" s="239" t="s">
        <v>51</v>
      </c>
      <c r="M21" s="213" t="s">
        <v>51</v>
      </c>
      <c r="N21" s="244">
        <v>45870</v>
      </c>
      <c r="O21" s="237">
        <v>0</v>
      </c>
      <c r="P21" s="239" t="s">
        <v>51</v>
      </c>
      <c r="Q21" s="213" t="s">
        <v>51</v>
      </c>
      <c r="R21" s="244">
        <v>45901</v>
      </c>
      <c r="S21" s="237">
        <v>0</v>
      </c>
      <c r="T21" s="239" t="s">
        <v>51</v>
      </c>
      <c r="U21" s="213" t="s">
        <v>51</v>
      </c>
      <c r="V21" s="244">
        <v>45931</v>
      </c>
      <c r="W21" s="237">
        <v>0</v>
      </c>
      <c r="X21" s="239" t="s">
        <v>51</v>
      </c>
      <c r="Y21" s="213" t="s">
        <v>51</v>
      </c>
      <c r="Z21" s="244">
        <v>45962</v>
      </c>
      <c r="AA21" s="237">
        <v>0</v>
      </c>
      <c r="AB21" s="239" t="s">
        <v>51</v>
      </c>
      <c r="AC21" s="213" t="s">
        <v>51</v>
      </c>
      <c r="AD21" s="244">
        <v>45992</v>
      </c>
      <c r="AE21" s="237">
        <v>17.899999999999999</v>
      </c>
      <c r="AF21" s="239">
        <v>45993</v>
      </c>
      <c r="AG21" s="213" t="s">
        <v>479</v>
      </c>
      <c r="AH21" s="244">
        <v>46023</v>
      </c>
      <c r="AI21" s="237">
        <v>0</v>
      </c>
      <c r="AJ21" s="239" t="s">
        <v>51</v>
      </c>
      <c r="AK21" s="213" t="s">
        <v>51</v>
      </c>
      <c r="AL21" s="244">
        <v>46054</v>
      </c>
      <c r="AM21" s="237">
        <v>0</v>
      </c>
      <c r="AN21" s="239" t="s">
        <v>51</v>
      </c>
      <c r="AO21" s="213" t="s">
        <v>51</v>
      </c>
      <c r="AP21" s="244">
        <v>46082</v>
      </c>
      <c r="AQ21" s="237">
        <v>0</v>
      </c>
      <c r="AR21" s="239" t="s">
        <v>51</v>
      </c>
      <c r="AS21" s="213" t="s">
        <v>51</v>
      </c>
      <c r="AT21" s="244">
        <v>46113</v>
      </c>
      <c r="AU21" s="237">
        <v>0</v>
      </c>
      <c r="AV21" s="239" t="s">
        <v>51</v>
      </c>
      <c r="AW21" s="213" t="s">
        <v>51</v>
      </c>
      <c r="AY21" s="213" t="s">
        <v>478</v>
      </c>
      <c r="AZ21" s="210" t="b">
        <f t="shared" si="1"/>
        <v>1</v>
      </c>
    </row>
    <row r="22" spans="1:52" x14ac:dyDescent="0.25">
      <c r="A22" s="213" t="str">
        <f t="shared" si="0"/>
        <v>RECUPERAÇÃO DA PAREDE DAS VAGAS 402 E 601 FUNDOS</v>
      </c>
      <c r="B22" s="235">
        <v>45778</v>
      </c>
      <c r="C22" s="237">
        <v>0</v>
      </c>
      <c r="D22" s="239" t="s">
        <v>51</v>
      </c>
      <c r="E22" s="242" t="s">
        <v>51</v>
      </c>
      <c r="F22" s="244">
        <v>45809</v>
      </c>
      <c r="G22" s="237">
        <v>0</v>
      </c>
      <c r="H22" s="239" t="s">
        <v>51</v>
      </c>
      <c r="I22" s="242" t="s">
        <v>51</v>
      </c>
      <c r="J22" s="244">
        <v>45839</v>
      </c>
      <c r="K22" s="237">
        <v>0</v>
      </c>
      <c r="L22" s="239" t="s">
        <v>51</v>
      </c>
      <c r="M22" s="213" t="s">
        <v>51</v>
      </c>
      <c r="N22" s="244">
        <v>45870</v>
      </c>
      <c r="O22" s="237">
        <v>0</v>
      </c>
      <c r="P22" s="239" t="s">
        <v>51</v>
      </c>
      <c r="Q22" s="213" t="s">
        <v>51</v>
      </c>
      <c r="R22" s="244">
        <v>45901</v>
      </c>
      <c r="S22" s="237">
        <v>0</v>
      </c>
      <c r="T22" s="239" t="s">
        <v>51</v>
      </c>
      <c r="U22" s="213" t="s">
        <v>51</v>
      </c>
      <c r="V22" s="244">
        <v>45931</v>
      </c>
      <c r="W22" s="237">
        <v>0</v>
      </c>
      <c r="X22" s="239" t="s">
        <v>51</v>
      </c>
      <c r="Y22" s="213" t="s">
        <v>51</v>
      </c>
      <c r="Z22" s="244">
        <v>45962</v>
      </c>
      <c r="AA22" s="237">
        <v>0</v>
      </c>
      <c r="AB22" s="239" t="s">
        <v>51</v>
      </c>
      <c r="AC22" s="213" t="s">
        <v>51</v>
      </c>
      <c r="AD22" s="244">
        <v>45992</v>
      </c>
      <c r="AE22" s="237">
        <v>124</v>
      </c>
      <c r="AF22" s="239">
        <v>45993</v>
      </c>
      <c r="AG22" s="213" t="s">
        <v>481</v>
      </c>
      <c r="AH22" s="244">
        <v>46023</v>
      </c>
      <c r="AI22" s="237">
        <v>0</v>
      </c>
      <c r="AJ22" s="239" t="s">
        <v>51</v>
      </c>
      <c r="AK22" s="213" t="s">
        <v>51</v>
      </c>
      <c r="AL22" s="244">
        <v>46054</v>
      </c>
      <c r="AM22" s="237">
        <v>0</v>
      </c>
      <c r="AN22" s="239" t="s">
        <v>51</v>
      </c>
      <c r="AO22" s="213" t="s">
        <v>51</v>
      </c>
      <c r="AP22" s="244">
        <v>46082</v>
      </c>
      <c r="AQ22" s="237">
        <v>0</v>
      </c>
      <c r="AR22" s="239" t="s">
        <v>51</v>
      </c>
      <c r="AS22" s="213" t="s">
        <v>51</v>
      </c>
      <c r="AT22" s="244">
        <v>46113</v>
      </c>
      <c r="AU22" s="237">
        <v>0</v>
      </c>
      <c r="AV22" s="239" t="s">
        <v>51</v>
      </c>
      <c r="AW22" s="213" t="s">
        <v>51</v>
      </c>
      <c r="AY22" s="213" t="s">
        <v>480</v>
      </c>
      <c r="AZ22" s="210" t="b">
        <f t="shared" si="1"/>
        <v>1</v>
      </c>
    </row>
    <row r="23" spans="1:52" ht="37.5" customHeight="1" x14ac:dyDescent="0.25">
      <c r="A23" s="233" t="str">
        <f t="shared" si="0"/>
        <v>COPIAR/COLAR ESTA LINHA PARA NOVA DESPESA. ACIMA DESTA LINHA: INFORMAR NA PLANILHA P/CONDÔMINOS.; ABAIXO: NÃO INFORMAR NA PLANILHA P/CONDÔMINOS (DESCONTAR NO FUNDO DE RESERVA)</v>
      </c>
      <c r="B23" s="235">
        <v>45778</v>
      </c>
      <c r="C23" s="237">
        <v>0</v>
      </c>
      <c r="D23" s="239" t="s">
        <v>51</v>
      </c>
      <c r="E23" s="242" t="s">
        <v>51</v>
      </c>
      <c r="F23" s="244">
        <v>45809</v>
      </c>
      <c r="G23" s="237">
        <v>0</v>
      </c>
      <c r="H23" s="239" t="s">
        <v>51</v>
      </c>
      <c r="I23" s="242" t="s">
        <v>51</v>
      </c>
      <c r="J23" s="244">
        <v>45839</v>
      </c>
      <c r="K23" s="237">
        <v>0</v>
      </c>
      <c r="L23" s="239" t="s">
        <v>51</v>
      </c>
      <c r="M23" s="213" t="s">
        <v>51</v>
      </c>
      <c r="N23" s="244">
        <v>45870</v>
      </c>
      <c r="O23" s="237">
        <v>0</v>
      </c>
      <c r="P23" s="239" t="s">
        <v>51</v>
      </c>
      <c r="Q23" s="213" t="s">
        <v>51</v>
      </c>
      <c r="R23" s="244">
        <v>45901</v>
      </c>
      <c r="S23" s="237">
        <v>0</v>
      </c>
      <c r="T23" s="239" t="s">
        <v>51</v>
      </c>
      <c r="U23" s="213" t="s">
        <v>51</v>
      </c>
      <c r="V23" s="244">
        <v>45931</v>
      </c>
      <c r="W23" s="237">
        <v>0</v>
      </c>
      <c r="X23" s="239" t="s">
        <v>51</v>
      </c>
      <c r="Y23" s="213" t="s">
        <v>51</v>
      </c>
      <c r="Z23" s="244">
        <v>45962</v>
      </c>
      <c r="AA23" s="237">
        <v>0</v>
      </c>
      <c r="AB23" s="239" t="s">
        <v>51</v>
      </c>
      <c r="AC23" s="213" t="s">
        <v>51</v>
      </c>
      <c r="AD23" s="244">
        <v>45992</v>
      </c>
      <c r="AE23" s="237">
        <v>0</v>
      </c>
      <c r="AF23" s="239" t="s">
        <v>51</v>
      </c>
      <c r="AG23" s="213" t="s">
        <v>51</v>
      </c>
      <c r="AH23" s="244">
        <v>46023</v>
      </c>
      <c r="AI23" s="237">
        <v>0</v>
      </c>
      <c r="AJ23" s="239" t="s">
        <v>51</v>
      </c>
      <c r="AK23" s="213" t="s">
        <v>51</v>
      </c>
      <c r="AL23" s="244">
        <v>46054</v>
      </c>
      <c r="AM23" s="237">
        <v>0</v>
      </c>
      <c r="AN23" s="239" t="s">
        <v>51</v>
      </c>
      <c r="AO23" s="213" t="s">
        <v>51</v>
      </c>
      <c r="AP23" s="244">
        <v>46082</v>
      </c>
      <c r="AQ23" s="237">
        <v>0</v>
      </c>
      <c r="AR23" s="239" t="s">
        <v>51</v>
      </c>
      <c r="AS23" s="213" t="s">
        <v>51</v>
      </c>
      <c r="AT23" s="244">
        <v>46113</v>
      </c>
      <c r="AU23" s="237">
        <v>0</v>
      </c>
      <c r="AV23" s="239" t="s">
        <v>51</v>
      </c>
      <c r="AW23" s="213" t="s">
        <v>51</v>
      </c>
      <c r="AY23" s="233" t="s">
        <v>484</v>
      </c>
      <c r="AZ23" s="210" t="b">
        <f t="shared" si="1"/>
        <v>1</v>
      </c>
    </row>
    <row r="24" spans="1:52" x14ac:dyDescent="0.25">
      <c r="A24" s="253" t="str">
        <f t="shared" si="0"/>
        <v>CONTA DE ÁGUA DO CONDOMÍNIO, VALOR TOTAL A PAGAR</v>
      </c>
      <c r="B24" s="235">
        <v>45778</v>
      </c>
      <c r="C24" s="237">
        <f>'MEDIÇÕES E TABELAS'!AZ30</f>
        <v>3043.1800000000003</v>
      </c>
      <c r="D24" s="240">
        <f>'MEDIÇÕES E TABELAS'!AW30</f>
        <v>45824</v>
      </c>
      <c r="E24" s="213" t="s">
        <v>51</v>
      </c>
      <c r="F24" s="244">
        <v>45809</v>
      </c>
      <c r="G24" s="237">
        <f>'MEDIÇÕES E TABELAS'!AZ31</f>
        <v>4380.4100000000008</v>
      </c>
      <c r="H24" s="240">
        <f>'MEDIÇÕES E TABELAS'!AW31</f>
        <v>45853</v>
      </c>
      <c r="I24" s="213" t="s">
        <v>51</v>
      </c>
      <c r="J24" s="244">
        <v>45839</v>
      </c>
      <c r="K24" s="237">
        <f>'MEDIÇÕES E TABELAS'!AZ32</f>
        <v>3870.3299999999995</v>
      </c>
      <c r="L24" s="240">
        <f>'MEDIÇÕES E TABELAS'!AW32</f>
        <v>45887</v>
      </c>
      <c r="M24" s="242" t="s">
        <v>51</v>
      </c>
      <c r="N24" s="244">
        <v>45870</v>
      </c>
      <c r="O24" s="237">
        <f>'MEDIÇÕES E TABELAS'!AZ33</f>
        <v>650.78</v>
      </c>
      <c r="P24" s="240">
        <f>'MEDIÇÕES E TABELAS'!AW33</f>
        <v>45915</v>
      </c>
      <c r="Q24" s="242" t="s">
        <v>51</v>
      </c>
      <c r="R24" s="244">
        <v>45901</v>
      </c>
      <c r="S24" s="238">
        <f>'MEDIÇÕES E TABELAS'!AZ36</f>
        <v>5204.8200000000006</v>
      </c>
      <c r="T24" s="240">
        <f>'MEDIÇÕES E TABELAS'!AW36</f>
        <v>45945</v>
      </c>
      <c r="U24" s="213" t="s">
        <v>51</v>
      </c>
      <c r="V24" s="244">
        <v>45931</v>
      </c>
      <c r="W24" s="238">
        <f>'MEDIÇÕES E TABELAS'!AZ37</f>
        <v>3715.8899999999994</v>
      </c>
      <c r="X24" s="240">
        <f>'MEDIÇÕES E TABELAS'!AW37</f>
        <v>45978</v>
      </c>
      <c r="Y24" s="213" t="s">
        <v>51</v>
      </c>
      <c r="Z24" s="244">
        <v>45962</v>
      </c>
      <c r="AA24" s="238">
        <f>'MEDIÇÕES E TABELAS'!AZ38</f>
        <v>3062.91</v>
      </c>
      <c r="AB24" s="240">
        <f>'MEDIÇÕES E TABELAS'!AW38</f>
        <v>46006</v>
      </c>
      <c r="AC24" s="213" t="s">
        <v>51</v>
      </c>
      <c r="AD24" s="244">
        <v>45992</v>
      </c>
      <c r="AE24" s="238">
        <f>'MEDIÇÕES E TABELAS'!AZ39</f>
        <v>3466.7200000000003</v>
      </c>
      <c r="AF24" s="240">
        <f>'MEDIÇÕES E TABELAS'!AW39</f>
        <v>46037</v>
      </c>
      <c r="AG24" s="213" t="s">
        <v>51</v>
      </c>
      <c r="AH24" s="244">
        <v>46023</v>
      </c>
      <c r="AI24" s="238">
        <f>'MEDIÇÕES E TABELAS'!AZ40</f>
        <v>2101.4300000000003</v>
      </c>
      <c r="AJ24" s="240">
        <f>'MEDIÇÕES E TABELAS'!AW40</f>
        <v>46071</v>
      </c>
      <c r="AK24" s="213" t="s">
        <v>51</v>
      </c>
      <c r="AL24" s="244">
        <v>46054</v>
      </c>
      <c r="AM24" s="238">
        <f>'MEDIÇÕES E TABELAS'!AZ41</f>
        <v>997.74</v>
      </c>
      <c r="AN24" s="240">
        <f>'MEDIÇÕES E TABELAS'!AW41</f>
        <v>46099</v>
      </c>
      <c r="AO24" s="213" t="s">
        <v>51</v>
      </c>
      <c r="AP24" s="244">
        <v>46082</v>
      </c>
      <c r="AQ24" s="238">
        <f>'MEDIÇÕES E TABELAS'!AZ42</f>
        <v>1010.35</v>
      </c>
      <c r="AR24" s="240">
        <f>'MEDIÇÕES E TABELAS'!AW42</f>
        <v>46127</v>
      </c>
      <c r="AS24" s="213" t="s">
        <v>51</v>
      </c>
      <c r="AT24" s="244">
        <v>46113</v>
      </c>
      <c r="AU24" s="238">
        <f>'MEDIÇÕES E TABELAS'!AZ43</f>
        <v>2943.7</v>
      </c>
      <c r="AV24" s="240">
        <f>'MEDIÇÕES E TABELAS'!AW43</f>
        <v>46157</v>
      </c>
      <c r="AW24" s="213" t="s">
        <v>51</v>
      </c>
      <c r="AY24" s="253" t="s">
        <v>358</v>
      </c>
      <c r="AZ24" s="210" t="b">
        <f t="shared" si="1"/>
        <v>1</v>
      </c>
    </row>
    <row r="25" spans="1:52" x14ac:dyDescent="0.25">
      <c r="A25" s="253" t="str">
        <f t="shared" si="0"/>
        <v>GÁS ABASTECIMENTO (RETIRAR VALOR DO SALDO BANCÁRIO, E NÃO DO FUNDO DE RESERVA. É COBRADO DE CADA CONDÔMINO POR RATEIO, CONF. PLANILHA "VALORES DEVIDOS POR UNIDADE")</v>
      </c>
      <c r="B25" s="235">
        <v>45778</v>
      </c>
      <c r="C25" s="237">
        <v>0</v>
      </c>
      <c r="D25" s="239" t="s">
        <v>51</v>
      </c>
      <c r="E25" s="213" t="s">
        <v>51</v>
      </c>
      <c r="F25" s="244">
        <v>45809</v>
      </c>
      <c r="G25" s="237">
        <v>4277.1899999999996</v>
      </c>
      <c r="H25" s="239">
        <v>45835</v>
      </c>
      <c r="I25" s="213" t="s">
        <v>51</v>
      </c>
      <c r="J25" s="244">
        <v>45839</v>
      </c>
      <c r="K25" s="237">
        <v>0</v>
      </c>
      <c r="L25" s="239" t="s">
        <v>51</v>
      </c>
      <c r="M25" s="213" t="s">
        <v>51</v>
      </c>
      <c r="N25" s="244">
        <v>45870</v>
      </c>
      <c r="O25" s="237">
        <v>0</v>
      </c>
      <c r="P25" s="239" t="s">
        <v>51</v>
      </c>
      <c r="Q25" s="213" t="s">
        <v>51</v>
      </c>
      <c r="R25" s="244">
        <v>45901</v>
      </c>
      <c r="S25" s="237">
        <v>0</v>
      </c>
      <c r="T25" s="239" t="s">
        <v>51</v>
      </c>
      <c r="U25" s="213" t="s">
        <v>51</v>
      </c>
      <c r="V25" s="244">
        <v>45931</v>
      </c>
      <c r="W25" s="237">
        <v>0</v>
      </c>
      <c r="X25" s="239" t="s">
        <v>51</v>
      </c>
      <c r="Y25" s="213" t="s">
        <v>51</v>
      </c>
      <c r="Z25" s="244">
        <v>45962</v>
      </c>
      <c r="AA25" s="237">
        <v>0</v>
      </c>
      <c r="AB25" s="239" t="s">
        <v>51</v>
      </c>
      <c r="AC25" s="213" t="s">
        <v>51</v>
      </c>
      <c r="AD25" s="244">
        <v>45992</v>
      </c>
      <c r="AE25" s="237">
        <v>0</v>
      </c>
      <c r="AF25" s="239" t="s">
        <v>51</v>
      </c>
      <c r="AG25" s="213" t="s">
        <v>51</v>
      </c>
      <c r="AH25" s="244">
        <v>46023</v>
      </c>
      <c r="AI25" s="237">
        <v>0</v>
      </c>
      <c r="AJ25" s="239" t="s">
        <v>51</v>
      </c>
      <c r="AK25" s="213" t="s">
        <v>51</v>
      </c>
      <c r="AL25" s="244">
        <v>46054</v>
      </c>
      <c r="AM25" s="237">
        <v>4846.5</v>
      </c>
      <c r="AN25" s="239">
        <v>46031</v>
      </c>
      <c r="AO25" s="213" t="s">
        <v>51</v>
      </c>
      <c r="AP25" s="244">
        <v>46082</v>
      </c>
      <c r="AQ25" s="237">
        <v>0</v>
      </c>
      <c r="AR25" s="239" t="s">
        <v>51</v>
      </c>
      <c r="AS25" s="213" t="s">
        <v>51</v>
      </c>
      <c r="AT25" s="244">
        <v>46113</v>
      </c>
      <c r="AU25" s="237">
        <v>0</v>
      </c>
      <c r="AV25" s="239" t="s">
        <v>51</v>
      </c>
      <c r="AW25" s="213" t="s">
        <v>51</v>
      </c>
      <c r="AY25" s="253" t="s">
        <v>516</v>
      </c>
      <c r="AZ25" s="210" t="b">
        <f t="shared" si="1"/>
        <v>1</v>
      </c>
    </row>
    <row r="26" spans="1:52" x14ac:dyDescent="0.25">
      <c r="A26" s="253" t="str">
        <f t="shared" si="0"/>
        <v>RECUPERAÇÃO DO TETO E DO GESSO DE PARTE DO APTº 201 DO CONDOMÍNIO</v>
      </c>
      <c r="B26" s="235">
        <v>45778</v>
      </c>
      <c r="C26" s="237">
        <v>0</v>
      </c>
      <c r="D26" s="239" t="s">
        <v>51</v>
      </c>
      <c r="E26" s="242" t="s">
        <v>51</v>
      </c>
      <c r="F26" s="244">
        <v>45809</v>
      </c>
      <c r="G26" s="237">
        <v>638.94000000000005</v>
      </c>
      <c r="H26" s="239">
        <v>45810</v>
      </c>
      <c r="I26" s="213" t="s">
        <v>206</v>
      </c>
      <c r="J26" s="244">
        <v>45839</v>
      </c>
      <c r="K26" s="237">
        <v>0</v>
      </c>
      <c r="L26" s="239" t="s">
        <v>51</v>
      </c>
      <c r="M26" s="213" t="s">
        <v>51</v>
      </c>
      <c r="N26" s="244">
        <v>45870</v>
      </c>
      <c r="O26" s="237">
        <v>0</v>
      </c>
      <c r="P26" s="239" t="s">
        <v>51</v>
      </c>
      <c r="Q26" s="213" t="s">
        <v>51</v>
      </c>
      <c r="R26" s="244">
        <v>45901</v>
      </c>
      <c r="S26" s="237">
        <v>0</v>
      </c>
      <c r="T26" s="239" t="s">
        <v>51</v>
      </c>
      <c r="U26" s="213" t="s">
        <v>51</v>
      </c>
      <c r="V26" s="244">
        <v>45931</v>
      </c>
      <c r="W26" s="237">
        <v>0</v>
      </c>
      <c r="X26" s="239" t="s">
        <v>51</v>
      </c>
      <c r="Y26" s="213" t="s">
        <v>51</v>
      </c>
      <c r="Z26" s="244">
        <v>45962</v>
      </c>
      <c r="AA26" s="237">
        <v>0</v>
      </c>
      <c r="AB26" s="239" t="s">
        <v>51</v>
      </c>
      <c r="AC26" s="213" t="s">
        <v>51</v>
      </c>
      <c r="AD26" s="244">
        <v>45992</v>
      </c>
      <c r="AE26" s="237">
        <v>0</v>
      </c>
      <c r="AF26" s="239" t="s">
        <v>51</v>
      </c>
      <c r="AG26" s="213" t="s">
        <v>51</v>
      </c>
      <c r="AH26" s="244">
        <v>46023</v>
      </c>
      <c r="AI26" s="237">
        <v>0</v>
      </c>
      <c r="AJ26" s="239" t="s">
        <v>51</v>
      </c>
      <c r="AK26" s="213" t="s">
        <v>51</v>
      </c>
      <c r="AL26" s="244">
        <v>46054</v>
      </c>
      <c r="AM26" s="237">
        <v>0</v>
      </c>
      <c r="AN26" s="239" t="s">
        <v>51</v>
      </c>
      <c r="AO26" s="213" t="s">
        <v>51</v>
      </c>
      <c r="AP26" s="244">
        <v>46082</v>
      </c>
      <c r="AQ26" s="237">
        <v>0</v>
      </c>
      <c r="AR26" s="239" t="s">
        <v>51</v>
      </c>
      <c r="AS26" s="213" t="s">
        <v>51</v>
      </c>
      <c r="AT26" s="244">
        <v>46113</v>
      </c>
      <c r="AU26" s="237">
        <v>0</v>
      </c>
      <c r="AV26" s="239" t="s">
        <v>51</v>
      </c>
      <c r="AW26" s="213" t="s">
        <v>51</v>
      </c>
      <c r="AY26" s="253" t="s">
        <v>39</v>
      </c>
      <c r="AZ26" s="210" t="b">
        <f t="shared" si="1"/>
        <v>1</v>
      </c>
    </row>
    <row r="27" spans="1:52" x14ac:dyDescent="0.25">
      <c r="A27" s="253" t="str">
        <f t="shared" si="0"/>
        <v>GASTOS COM ATUALIZAÇÃO DO SISTEMA DE CÂMERAS E INTERFONES</v>
      </c>
      <c r="B27" s="235">
        <v>45778</v>
      </c>
      <c r="C27" s="237">
        <v>0</v>
      </c>
      <c r="D27" s="239" t="s">
        <v>51</v>
      </c>
      <c r="E27" s="242" t="s">
        <v>51</v>
      </c>
      <c r="F27" s="244">
        <v>45809</v>
      </c>
      <c r="G27" s="238">
        <v>5800</v>
      </c>
      <c r="H27" s="239">
        <v>45820</v>
      </c>
      <c r="I27" s="213" t="s">
        <v>209</v>
      </c>
      <c r="J27" s="244">
        <v>45839</v>
      </c>
      <c r="K27" s="237">
        <v>0</v>
      </c>
      <c r="L27" s="239" t="s">
        <v>51</v>
      </c>
      <c r="M27" s="213" t="s">
        <v>51</v>
      </c>
      <c r="N27" s="244">
        <v>45870</v>
      </c>
      <c r="O27" s="238">
        <f>8500+1282.54+200</f>
        <v>9982.5400000000009</v>
      </c>
      <c r="P27" s="242" t="s">
        <v>267</v>
      </c>
      <c r="Q27" s="213" t="s">
        <v>210</v>
      </c>
      <c r="R27" s="244">
        <v>45901</v>
      </c>
      <c r="S27" s="237">
        <v>0</v>
      </c>
      <c r="T27" s="239" t="s">
        <v>51</v>
      </c>
      <c r="U27" s="213" t="s">
        <v>51</v>
      </c>
      <c r="V27" s="244">
        <v>45931</v>
      </c>
      <c r="W27" s="237">
        <v>0</v>
      </c>
      <c r="X27" s="239" t="s">
        <v>51</v>
      </c>
      <c r="Y27" s="213" t="s">
        <v>51</v>
      </c>
      <c r="Z27" s="244">
        <v>45962</v>
      </c>
      <c r="AA27" s="237">
        <v>0</v>
      </c>
      <c r="AB27" s="239" t="s">
        <v>51</v>
      </c>
      <c r="AC27" s="213" t="s">
        <v>51</v>
      </c>
      <c r="AD27" s="244">
        <v>45992</v>
      </c>
      <c r="AE27" s="237">
        <v>0</v>
      </c>
      <c r="AF27" s="239" t="s">
        <v>51</v>
      </c>
      <c r="AG27" s="213" t="s">
        <v>51</v>
      </c>
      <c r="AH27" s="244">
        <v>46023</v>
      </c>
      <c r="AI27" s="237">
        <v>0</v>
      </c>
      <c r="AJ27" s="239" t="s">
        <v>51</v>
      </c>
      <c r="AK27" s="213" t="s">
        <v>51</v>
      </c>
      <c r="AL27" s="244">
        <v>46054</v>
      </c>
      <c r="AM27" s="237">
        <v>0</v>
      </c>
      <c r="AN27" s="239" t="s">
        <v>51</v>
      </c>
      <c r="AO27" s="213" t="s">
        <v>51</v>
      </c>
      <c r="AP27" s="244">
        <v>46082</v>
      </c>
      <c r="AQ27" s="237">
        <v>0</v>
      </c>
      <c r="AR27" s="239" t="s">
        <v>51</v>
      </c>
      <c r="AS27" s="213" t="s">
        <v>51</v>
      </c>
      <c r="AT27" s="244">
        <v>46113</v>
      </c>
      <c r="AU27" s="237">
        <v>0</v>
      </c>
      <c r="AV27" s="239" t="s">
        <v>51</v>
      </c>
      <c r="AW27" s="213" t="s">
        <v>51</v>
      </c>
      <c r="AY27" s="253" t="s">
        <v>41</v>
      </c>
      <c r="AZ27" s="210" t="b">
        <f t="shared" si="1"/>
        <v>1</v>
      </c>
    </row>
    <row r="28" spans="1:52" x14ac:dyDescent="0.25">
      <c r="A28" s="253" t="str">
        <f t="shared" si="0"/>
        <v>SINALIZAÇÃO HORIZONTAL NA RUA EM FRENTE À GARAGEM</v>
      </c>
      <c r="B28" s="235">
        <v>45778</v>
      </c>
      <c r="C28" s="237">
        <v>0</v>
      </c>
      <c r="D28" s="239" t="s">
        <v>51</v>
      </c>
      <c r="E28" s="242" t="s">
        <v>51</v>
      </c>
      <c r="F28" s="244">
        <v>45809</v>
      </c>
      <c r="G28" s="237">
        <v>0</v>
      </c>
      <c r="H28" s="239" t="s">
        <v>51</v>
      </c>
      <c r="I28" s="242" t="s">
        <v>51</v>
      </c>
      <c r="J28" s="244">
        <v>45839</v>
      </c>
      <c r="K28" s="237">
        <v>0</v>
      </c>
      <c r="L28" s="239" t="s">
        <v>51</v>
      </c>
      <c r="M28" s="213" t="s">
        <v>51</v>
      </c>
      <c r="N28" s="244">
        <v>45870</v>
      </c>
      <c r="O28" s="237">
        <v>0</v>
      </c>
      <c r="P28" s="239" t="s">
        <v>51</v>
      </c>
      <c r="Q28" s="213" t="s">
        <v>51</v>
      </c>
      <c r="R28" s="244">
        <v>45901</v>
      </c>
      <c r="S28" s="237">
        <v>0</v>
      </c>
      <c r="T28" s="239" t="s">
        <v>51</v>
      </c>
      <c r="U28" s="213" t="s">
        <v>51</v>
      </c>
      <c r="V28" s="244">
        <v>45931</v>
      </c>
      <c r="W28" s="237">
        <v>509.11</v>
      </c>
      <c r="X28" s="239">
        <v>45919</v>
      </c>
      <c r="Y28" s="213" t="s">
        <v>206</v>
      </c>
      <c r="Z28" s="244">
        <v>45962</v>
      </c>
      <c r="AA28" s="237">
        <v>0</v>
      </c>
      <c r="AB28" s="239" t="s">
        <v>51</v>
      </c>
      <c r="AC28" s="213" t="s">
        <v>51</v>
      </c>
      <c r="AD28" s="244">
        <v>45992</v>
      </c>
      <c r="AE28" s="237">
        <v>0</v>
      </c>
      <c r="AF28" s="239" t="s">
        <v>51</v>
      </c>
      <c r="AG28" s="213" t="s">
        <v>51</v>
      </c>
      <c r="AH28" s="244">
        <v>46023</v>
      </c>
      <c r="AI28" s="237">
        <v>0</v>
      </c>
      <c r="AJ28" s="239" t="s">
        <v>51</v>
      </c>
      <c r="AK28" s="213" t="s">
        <v>51</v>
      </c>
      <c r="AL28" s="244">
        <v>46054</v>
      </c>
      <c r="AM28" s="237">
        <v>0</v>
      </c>
      <c r="AN28" s="239" t="s">
        <v>51</v>
      </c>
      <c r="AO28" s="213" t="s">
        <v>51</v>
      </c>
      <c r="AP28" s="244">
        <v>46082</v>
      </c>
      <c r="AQ28" s="237">
        <v>0</v>
      </c>
      <c r="AR28" s="239" t="s">
        <v>51</v>
      </c>
      <c r="AS28" s="213" t="s">
        <v>51</v>
      </c>
      <c r="AT28" s="244">
        <v>46113</v>
      </c>
      <c r="AU28" s="237">
        <v>0</v>
      </c>
      <c r="AV28" s="239" t="s">
        <v>51</v>
      </c>
      <c r="AW28" s="213" t="s">
        <v>51</v>
      </c>
      <c r="AY28" s="253" t="s">
        <v>362</v>
      </c>
      <c r="AZ28" s="210" t="b">
        <f t="shared" si="1"/>
        <v>1</v>
      </c>
    </row>
    <row r="29" spans="1:52" x14ac:dyDescent="0.25">
      <c r="A29" s="253" t="str">
        <f t="shared" si="0"/>
        <v>CONSULTORIA E A.R.T. P/RENOV.AUTO DE VISTORIA/CORPO DE BOMBEIROS</v>
      </c>
      <c r="B29" s="235">
        <v>45778</v>
      </c>
      <c r="C29" s="237">
        <v>0</v>
      </c>
      <c r="D29" s="239" t="s">
        <v>51</v>
      </c>
      <c r="E29" s="242" t="s">
        <v>51</v>
      </c>
      <c r="F29" s="244">
        <v>45809</v>
      </c>
      <c r="G29" s="237">
        <v>0</v>
      </c>
      <c r="H29" s="239" t="s">
        <v>51</v>
      </c>
      <c r="I29" s="242" t="s">
        <v>51</v>
      </c>
      <c r="J29" s="244">
        <v>45839</v>
      </c>
      <c r="K29" s="237">
        <v>0</v>
      </c>
      <c r="L29" s="239" t="s">
        <v>51</v>
      </c>
      <c r="M29" s="213" t="s">
        <v>51</v>
      </c>
      <c r="N29" s="244">
        <v>45870</v>
      </c>
      <c r="O29" s="237">
        <v>0</v>
      </c>
      <c r="P29" s="239" t="s">
        <v>51</v>
      </c>
      <c r="Q29" s="213" t="s">
        <v>51</v>
      </c>
      <c r="R29" s="244">
        <v>45901</v>
      </c>
      <c r="S29" s="237">
        <v>0</v>
      </c>
      <c r="T29" s="239" t="s">
        <v>51</v>
      </c>
      <c r="U29" s="213" t="s">
        <v>51</v>
      </c>
      <c r="V29" s="244">
        <v>45931</v>
      </c>
      <c r="W29" s="237">
        <v>0</v>
      </c>
      <c r="X29" s="239" t="s">
        <v>51</v>
      </c>
      <c r="Y29" s="213" t="s">
        <v>51</v>
      </c>
      <c r="Z29" s="244">
        <v>45962</v>
      </c>
      <c r="AA29" s="237">
        <f>103.03+700</f>
        <v>803.03</v>
      </c>
      <c r="AB29" s="239" t="s">
        <v>426</v>
      </c>
      <c r="AC29" s="213" t="s">
        <v>51</v>
      </c>
      <c r="AD29" s="244">
        <v>45992</v>
      </c>
      <c r="AE29" s="237">
        <v>0</v>
      </c>
      <c r="AF29" s="239" t="s">
        <v>51</v>
      </c>
      <c r="AG29" s="213" t="s">
        <v>51</v>
      </c>
      <c r="AH29" s="244">
        <v>46023</v>
      </c>
      <c r="AI29" s="237">
        <v>0</v>
      </c>
      <c r="AJ29" s="239" t="s">
        <v>51</v>
      </c>
      <c r="AK29" s="213" t="s">
        <v>51</v>
      </c>
      <c r="AL29" s="244">
        <v>46054</v>
      </c>
      <c r="AM29" s="237">
        <v>0</v>
      </c>
      <c r="AN29" s="239" t="s">
        <v>51</v>
      </c>
      <c r="AO29" s="213" t="s">
        <v>51</v>
      </c>
      <c r="AP29" s="244">
        <v>46082</v>
      </c>
      <c r="AQ29" s="237">
        <v>0</v>
      </c>
      <c r="AR29" s="239" t="s">
        <v>51</v>
      </c>
      <c r="AS29" s="213" t="s">
        <v>51</v>
      </c>
      <c r="AT29" s="244">
        <v>46113</v>
      </c>
      <c r="AU29" s="237">
        <v>0</v>
      </c>
      <c r="AV29" s="239" t="s">
        <v>51</v>
      </c>
      <c r="AW29" s="213" t="s">
        <v>51</v>
      </c>
      <c r="AY29" s="253" t="s">
        <v>425</v>
      </c>
      <c r="AZ29" s="210" t="b">
        <f t="shared" si="1"/>
        <v>1</v>
      </c>
    </row>
    <row r="30" spans="1:52" x14ac:dyDescent="0.25">
      <c r="A30" s="253" t="str">
        <f t="shared" si="0"/>
        <v>DESENTUPIMENTO DO ESGOTO DO PRÉDIO</v>
      </c>
      <c r="B30" s="235">
        <v>45778</v>
      </c>
      <c r="C30" s="237">
        <v>0</v>
      </c>
      <c r="D30" s="239" t="s">
        <v>51</v>
      </c>
      <c r="E30" s="242" t="s">
        <v>51</v>
      </c>
      <c r="F30" s="244">
        <v>45809</v>
      </c>
      <c r="G30" s="237">
        <v>0</v>
      </c>
      <c r="H30" s="239" t="s">
        <v>51</v>
      </c>
      <c r="I30" s="242" t="s">
        <v>51</v>
      </c>
      <c r="J30" s="244">
        <v>45839</v>
      </c>
      <c r="K30" s="237">
        <v>0</v>
      </c>
      <c r="L30" s="239" t="s">
        <v>51</v>
      </c>
      <c r="M30" s="213" t="s">
        <v>51</v>
      </c>
      <c r="N30" s="244">
        <v>45870</v>
      </c>
      <c r="O30" s="237">
        <v>0</v>
      </c>
      <c r="P30" s="239" t="s">
        <v>51</v>
      </c>
      <c r="Q30" s="213" t="s">
        <v>51</v>
      </c>
      <c r="R30" s="244">
        <v>45901</v>
      </c>
      <c r="S30" s="237">
        <v>0</v>
      </c>
      <c r="T30" s="239" t="s">
        <v>51</v>
      </c>
      <c r="U30" s="213" t="s">
        <v>51</v>
      </c>
      <c r="V30" s="244">
        <v>45931</v>
      </c>
      <c r="W30" s="237">
        <v>0</v>
      </c>
      <c r="X30" s="239" t="s">
        <v>51</v>
      </c>
      <c r="Y30" s="213" t="s">
        <v>51</v>
      </c>
      <c r="Z30" s="244">
        <v>45962</v>
      </c>
      <c r="AA30" s="237">
        <v>0</v>
      </c>
      <c r="AB30" s="239" t="s">
        <v>51</v>
      </c>
      <c r="AC30" s="213" t="s">
        <v>51</v>
      </c>
      <c r="AD30" s="244">
        <v>45992</v>
      </c>
      <c r="AE30" s="237">
        <v>660</v>
      </c>
      <c r="AF30" s="239">
        <v>45995</v>
      </c>
      <c r="AG30" s="213" t="s">
        <v>51</v>
      </c>
      <c r="AH30" s="244">
        <v>46023</v>
      </c>
      <c r="AI30" s="237">
        <v>0</v>
      </c>
      <c r="AJ30" s="239" t="s">
        <v>51</v>
      </c>
      <c r="AK30" s="213" t="s">
        <v>51</v>
      </c>
      <c r="AL30" s="244">
        <v>46054</v>
      </c>
      <c r="AM30" s="237">
        <v>0</v>
      </c>
      <c r="AN30" s="239" t="s">
        <v>51</v>
      </c>
      <c r="AO30" s="213" t="s">
        <v>51</v>
      </c>
      <c r="AP30" s="244">
        <v>46082</v>
      </c>
      <c r="AQ30" s="237">
        <v>0</v>
      </c>
      <c r="AR30" s="239" t="s">
        <v>51</v>
      </c>
      <c r="AS30" s="213" t="s">
        <v>51</v>
      </c>
      <c r="AT30" s="244">
        <v>46113</v>
      </c>
      <c r="AU30" s="237">
        <v>0</v>
      </c>
      <c r="AV30" s="239" t="s">
        <v>51</v>
      </c>
      <c r="AW30" s="213" t="s">
        <v>51</v>
      </c>
      <c r="AY30" s="253" t="s">
        <v>483</v>
      </c>
      <c r="AZ30" s="210" t="b">
        <f t="shared" si="1"/>
        <v>1</v>
      </c>
    </row>
    <row r="31" spans="1:52" x14ac:dyDescent="0.25">
      <c r="A31" s="213" t="str">
        <f t="shared" ref="A31" si="2">AY31</f>
        <v>PORTA DE VIDRO, 1º ANDAR</v>
      </c>
      <c r="B31" s="235">
        <v>45778</v>
      </c>
      <c r="C31" s="237">
        <v>0</v>
      </c>
      <c r="D31" s="239" t="s">
        <v>51</v>
      </c>
      <c r="E31" s="242" t="s">
        <v>51</v>
      </c>
      <c r="F31" s="244">
        <v>45809</v>
      </c>
      <c r="G31" s="237">
        <v>0</v>
      </c>
      <c r="H31" s="239" t="s">
        <v>51</v>
      </c>
      <c r="I31" s="242" t="s">
        <v>51</v>
      </c>
      <c r="J31" s="244">
        <v>45839</v>
      </c>
      <c r="K31" s="237">
        <v>0</v>
      </c>
      <c r="L31" s="239" t="s">
        <v>51</v>
      </c>
      <c r="M31" s="213" t="s">
        <v>51</v>
      </c>
      <c r="N31" s="244">
        <v>45870</v>
      </c>
      <c r="O31" s="237">
        <v>0</v>
      </c>
      <c r="P31" s="239" t="s">
        <v>51</v>
      </c>
      <c r="Q31" s="213" t="s">
        <v>51</v>
      </c>
      <c r="R31" s="244">
        <v>45901</v>
      </c>
      <c r="S31" s="237">
        <v>0</v>
      </c>
      <c r="T31" s="239" t="s">
        <v>51</v>
      </c>
      <c r="U31" s="213" t="s">
        <v>51</v>
      </c>
      <c r="V31" s="244">
        <v>45931</v>
      </c>
      <c r="W31" s="237">
        <v>0</v>
      </c>
      <c r="X31" s="239" t="s">
        <v>51</v>
      </c>
      <c r="Y31" s="213" t="s">
        <v>51</v>
      </c>
      <c r="Z31" s="244">
        <v>45962</v>
      </c>
      <c r="AA31" s="237">
        <v>0</v>
      </c>
      <c r="AB31" s="239" t="s">
        <v>51</v>
      </c>
      <c r="AC31" s="213" t="s">
        <v>51</v>
      </c>
      <c r="AD31" s="244">
        <v>45992</v>
      </c>
      <c r="AE31" s="237">
        <v>0</v>
      </c>
      <c r="AF31" s="239" t="s">
        <v>51</v>
      </c>
      <c r="AG31" s="213" t="s">
        <v>51</v>
      </c>
      <c r="AH31" s="244">
        <v>46023</v>
      </c>
      <c r="AI31" s="237">
        <v>855</v>
      </c>
      <c r="AJ31" s="239">
        <v>46008</v>
      </c>
      <c r="AK31" s="213" t="s">
        <v>503</v>
      </c>
      <c r="AL31" s="244">
        <v>46054</v>
      </c>
      <c r="AM31" s="237">
        <v>0</v>
      </c>
      <c r="AN31" s="239" t="s">
        <v>51</v>
      </c>
      <c r="AO31" s="213" t="s">
        <v>51</v>
      </c>
      <c r="AP31" s="244">
        <v>46082</v>
      </c>
      <c r="AQ31" s="237">
        <v>0</v>
      </c>
      <c r="AR31" s="239" t="s">
        <v>51</v>
      </c>
      <c r="AS31" s="213" t="s">
        <v>51</v>
      </c>
      <c r="AT31" s="244">
        <v>46113</v>
      </c>
      <c r="AU31" s="237">
        <v>0</v>
      </c>
      <c r="AV31" s="239" t="s">
        <v>51</v>
      </c>
      <c r="AW31" s="213" t="s">
        <v>51</v>
      </c>
      <c r="AY31" s="253" t="s">
        <v>502</v>
      </c>
      <c r="AZ31" s="210" t="b">
        <f t="shared" ref="AZ31" si="3">A31=AY31</f>
        <v>1</v>
      </c>
    </row>
    <row r="32" spans="1:52" x14ac:dyDescent="0.25">
      <c r="A32" s="213" t="str">
        <f t="shared" si="0"/>
        <v>COPIAR/COLAR ESTA LINHA PARA NOVA DESPESA</v>
      </c>
      <c r="B32" s="235">
        <v>45778</v>
      </c>
      <c r="C32" s="237">
        <v>0</v>
      </c>
      <c r="D32" s="239" t="s">
        <v>51</v>
      </c>
      <c r="E32" s="242" t="s">
        <v>51</v>
      </c>
      <c r="F32" s="244">
        <v>45809</v>
      </c>
      <c r="G32" s="237">
        <v>0</v>
      </c>
      <c r="H32" s="239" t="s">
        <v>51</v>
      </c>
      <c r="I32" s="242" t="s">
        <v>51</v>
      </c>
      <c r="J32" s="244">
        <v>45839</v>
      </c>
      <c r="K32" s="237">
        <v>0</v>
      </c>
      <c r="L32" s="239" t="s">
        <v>51</v>
      </c>
      <c r="M32" s="213" t="s">
        <v>51</v>
      </c>
      <c r="N32" s="244">
        <v>45870</v>
      </c>
      <c r="O32" s="237">
        <v>0</v>
      </c>
      <c r="P32" s="239" t="s">
        <v>51</v>
      </c>
      <c r="Q32" s="213" t="s">
        <v>51</v>
      </c>
      <c r="R32" s="244">
        <v>45901</v>
      </c>
      <c r="S32" s="237">
        <v>0</v>
      </c>
      <c r="T32" s="239" t="s">
        <v>51</v>
      </c>
      <c r="U32" s="213" t="s">
        <v>51</v>
      </c>
      <c r="V32" s="244">
        <v>45931</v>
      </c>
      <c r="W32" s="237">
        <v>0</v>
      </c>
      <c r="X32" s="239" t="s">
        <v>51</v>
      </c>
      <c r="Y32" s="213" t="s">
        <v>51</v>
      </c>
      <c r="Z32" s="244">
        <v>45962</v>
      </c>
      <c r="AA32" s="237">
        <v>0</v>
      </c>
      <c r="AB32" s="239" t="s">
        <v>51</v>
      </c>
      <c r="AC32" s="213" t="s">
        <v>51</v>
      </c>
      <c r="AD32" s="244">
        <v>45992</v>
      </c>
      <c r="AE32" s="237">
        <v>0</v>
      </c>
      <c r="AF32" s="239" t="s">
        <v>51</v>
      </c>
      <c r="AG32" s="213" t="s">
        <v>51</v>
      </c>
      <c r="AH32" s="244">
        <v>46023</v>
      </c>
      <c r="AI32" s="237">
        <v>0</v>
      </c>
      <c r="AJ32" s="239" t="s">
        <v>51</v>
      </c>
      <c r="AK32" s="213" t="s">
        <v>51</v>
      </c>
      <c r="AL32" s="244">
        <v>46054</v>
      </c>
      <c r="AM32" s="237">
        <v>0</v>
      </c>
      <c r="AN32" s="239" t="s">
        <v>51</v>
      </c>
      <c r="AO32" s="213" t="s">
        <v>51</v>
      </c>
      <c r="AP32" s="244">
        <v>46082</v>
      </c>
      <c r="AQ32" s="237">
        <v>0</v>
      </c>
      <c r="AR32" s="239" t="s">
        <v>51</v>
      </c>
      <c r="AS32" s="213" t="s">
        <v>51</v>
      </c>
      <c r="AT32" s="244">
        <v>46113</v>
      </c>
      <c r="AU32" s="237">
        <v>0</v>
      </c>
      <c r="AV32" s="239" t="s">
        <v>51</v>
      </c>
      <c r="AW32" s="213" t="s">
        <v>51</v>
      </c>
      <c r="AY32" s="388" t="s">
        <v>482</v>
      </c>
      <c r="AZ32" s="210" t="b">
        <f t="shared" si="1"/>
        <v>1</v>
      </c>
    </row>
    <row r="33" spans="1:63" x14ac:dyDescent="0.25">
      <c r="A33" s="213" t="str">
        <f t="shared" si="0"/>
        <v>PAGAMENTO SERVIÇO DO SÍNDICO - TEM FÓRMULA DE "IGUAL", NÃO PRECISA PREENCHER</v>
      </c>
      <c r="B33" s="235">
        <v>45778</v>
      </c>
      <c r="C33" s="237">
        <f>'VRS. DEVIDOS E OUTROS'!C94+'VRS. DEVIDOS E OUTROS'!Q4+'VRS. DEVIDOS E OUTROS'!Q6</f>
        <v>544.41</v>
      </c>
      <c r="D33" s="241">
        <f>D11</f>
        <v>45778</v>
      </c>
      <c r="E33" s="242" t="s">
        <v>51</v>
      </c>
      <c r="F33" s="244">
        <v>45809</v>
      </c>
      <c r="G33" s="237">
        <f>'VRS. DEVIDOS E OUTROS'!C95+'VRS. DEVIDOS E OUTROS'!Q11+'VRS. DEVIDOS E OUTROS'!Q13</f>
        <v>589.49</v>
      </c>
      <c r="H33" s="241">
        <f>H11</f>
        <v>45810</v>
      </c>
      <c r="I33" s="242" t="s">
        <v>51</v>
      </c>
      <c r="J33" s="244">
        <v>45839</v>
      </c>
      <c r="K33" s="237">
        <f>'VRS. DEVIDOS E OUTROS'!C96+'VRS. DEVIDOS E OUTROS'!Q18+'VRS. DEVIDOS E OUTROS'!Q20</f>
        <v>487.8</v>
      </c>
      <c r="L33" s="241">
        <f>L11</f>
        <v>45839</v>
      </c>
      <c r="M33" s="213" t="s">
        <v>51</v>
      </c>
      <c r="N33" s="244">
        <v>45870</v>
      </c>
      <c r="O33" s="237">
        <f>'VRS. DEVIDOS E OUTROS'!C97+'VRS. DEVIDOS E OUTROS'!Q25+'VRS. DEVIDOS E OUTROS'!Q27</f>
        <v>545.62</v>
      </c>
      <c r="P33" s="241">
        <f>P11</f>
        <v>45870</v>
      </c>
      <c r="Q33" s="213" t="s">
        <v>51</v>
      </c>
      <c r="R33" s="244">
        <v>45901</v>
      </c>
      <c r="S33" s="237">
        <f>'MEDIÇÕES E TABELAS'!AS34</f>
        <v>570.55999999999995</v>
      </c>
      <c r="T33" s="241">
        <f>T11</f>
        <v>45901</v>
      </c>
      <c r="U33" s="213" t="s">
        <v>51</v>
      </c>
      <c r="V33" s="244">
        <v>45931</v>
      </c>
      <c r="W33" s="237">
        <f>'MEDIÇÕES E TABELAS'!AS37</f>
        <v>478.07</v>
      </c>
      <c r="X33" s="241">
        <f>X11</f>
        <v>45931</v>
      </c>
      <c r="Y33" s="213" t="s">
        <v>51</v>
      </c>
      <c r="Z33" s="244">
        <v>45962</v>
      </c>
      <c r="AA33" s="237">
        <f>'MEDIÇÕES E TABELAS'!AS38</f>
        <v>435.18</v>
      </c>
      <c r="AB33" s="241">
        <f>AB11</f>
        <v>45962</v>
      </c>
      <c r="AC33" s="213" t="s">
        <v>51</v>
      </c>
      <c r="AD33" s="244">
        <v>45992</v>
      </c>
      <c r="AE33" s="237">
        <f>'MEDIÇÕES E TABELAS'!AS39</f>
        <v>490.06</v>
      </c>
      <c r="AF33" s="241">
        <f>AF11</f>
        <v>45993</v>
      </c>
      <c r="AG33" s="213" t="s">
        <v>51</v>
      </c>
      <c r="AH33" s="244">
        <v>46023</v>
      </c>
      <c r="AI33" s="237">
        <f>'MEDIÇÕES E TABELAS'!AS40</f>
        <v>526.57999999999993</v>
      </c>
      <c r="AJ33" s="241">
        <f>AJ11</f>
        <v>46024</v>
      </c>
      <c r="AK33" s="213" t="s">
        <v>51</v>
      </c>
      <c r="AL33" s="244">
        <v>46054</v>
      </c>
      <c r="AM33" s="237">
        <f>'MEDIÇÕES E TABELAS'!AS41</f>
        <v>463.47999999999996</v>
      </c>
      <c r="AN33" s="241">
        <f>AN11</f>
        <v>46055</v>
      </c>
      <c r="AO33" s="213" t="s">
        <v>51</v>
      </c>
      <c r="AP33" s="244">
        <v>46082</v>
      </c>
      <c r="AQ33" s="237">
        <f>'MEDIÇÕES E TABELAS'!AS42</f>
        <v>454.67</v>
      </c>
      <c r="AR33" s="241">
        <f>AR11</f>
        <v>46083</v>
      </c>
      <c r="AS33" s="213" t="s">
        <v>51</v>
      </c>
      <c r="AT33" s="244">
        <v>46113</v>
      </c>
      <c r="AU33" s="247">
        <f>'MEDIÇÕES E TABELAS'!AS43</f>
        <v>564.68000000000006</v>
      </c>
      <c r="AV33" s="241">
        <f>AV11</f>
        <v>46113</v>
      </c>
      <c r="AW33" s="213" t="s">
        <v>51</v>
      </c>
      <c r="AY33" s="213" t="s">
        <v>500</v>
      </c>
      <c r="AZ33" s="210" t="b">
        <f t="shared" si="1"/>
        <v>1</v>
      </c>
    </row>
    <row r="34" spans="1:63" x14ac:dyDescent="0.25">
      <c r="A34" s="213" t="str">
        <f t="shared" si="0"/>
        <v>FUNDO DE RESERVA - TEM FÓRMULA DE "IGUAL", NÃO PRECISA PREENCHER</v>
      </c>
      <c r="B34" s="235">
        <v>45778</v>
      </c>
      <c r="C34" s="237">
        <v>150</v>
      </c>
      <c r="D34" s="241">
        <f>D11</f>
        <v>45778</v>
      </c>
      <c r="E34" s="213" t="s">
        <v>86</v>
      </c>
      <c r="F34" s="244">
        <v>45809</v>
      </c>
      <c r="G34" s="245">
        <f>C34</f>
        <v>150</v>
      </c>
      <c r="H34" s="241">
        <f>H11</f>
        <v>45810</v>
      </c>
      <c r="I34" s="213" t="s">
        <v>205</v>
      </c>
      <c r="J34" s="244">
        <v>45839</v>
      </c>
      <c r="K34" s="245">
        <f>G34</f>
        <v>150</v>
      </c>
      <c r="L34" s="241">
        <f>L11</f>
        <v>45839</v>
      </c>
      <c r="M34" s="213" t="s">
        <v>205</v>
      </c>
      <c r="N34" s="244">
        <v>45870</v>
      </c>
      <c r="O34" s="245">
        <f>K34</f>
        <v>150</v>
      </c>
      <c r="P34" s="241">
        <f>P11</f>
        <v>45870</v>
      </c>
      <c r="Q34" s="213" t="s">
        <v>205</v>
      </c>
      <c r="R34" s="244">
        <v>45901</v>
      </c>
      <c r="S34" s="245">
        <f>O34</f>
        <v>150</v>
      </c>
      <c r="T34" s="241">
        <f>T11</f>
        <v>45901</v>
      </c>
      <c r="U34" s="213" t="s">
        <v>205</v>
      </c>
      <c r="V34" s="244">
        <v>45931</v>
      </c>
      <c r="W34" s="245">
        <f>S34</f>
        <v>150</v>
      </c>
      <c r="X34" s="241">
        <f>X11</f>
        <v>45931</v>
      </c>
      <c r="Y34" s="213" t="s">
        <v>205</v>
      </c>
      <c r="Z34" s="244">
        <v>45962</v>
      </c>
      <c r="AA34" s="245">
        <f>W34</f>
        <v>150</v>
      </c>
      <c r="AB34" s="241">
        <f>AB11</f>
        <v>45962</v>
      </c>
      <c r="AC34" s="213" t="s">
        <v>205</v>
      </c>
      <c r="AD34" s="244">
        <v>45992</v>
      </c>
      <c r="AE34" s="245">
        <f>AA34</f>
        <v>150</v>
      </c>
      <c r="AF34" s="241">
        <f>AF11</f>
        <v>45993</v>
      </c>
      <c r="AG34" s="213" t="s">
        <v>86</v>
      </c>
      <c r="AH34" s="244">
        <v>46023</v>
      </c>
      <c r="AI34" s="245">
        <f>AE34</f>
        <v>150</v>
      </c>
      <c r="AJ34" s="241">
        <f>AJ11</f>
        <v>46024</v>
      </c>
      <c r="AK34" s="213" t="s">
        <v>86</v>
      </c>
      <c r="AL34" s="244">
        <v>46054</v>
      </c>
      <c r="AM34" s="245">
        <f>AI34</f>
        <v>150</v>
      </c>
      <c r="AN34" s="241">
        <f>AN11</f>
        <v>46055</v>
      </c>
      <c r="AO34" s="213" t="s">
        <v>86</v>
      </c>
      <c r="AP34" s="244">
        <v>46082</v>
      </c>
      <c r="AQ34" s="245">
        <f>AM34</f>
        <v>150</v>
      </c>
      <c r="AR34" s="241">
        <f>AR11</f>
        <v>46083</v>
      </c>
      <c r="AS34" s="213" t="s">
        <v>86</v>
      </c>
      <c r="AT34" s="244">
        <v>46113</v>
      </c>
      <c r="AU34" s="245">
        <f>AQ34</f>
        <v>150</v>
      </c>
      <c r="AV34" s="241">
        <f>AV11</f>
        <v>46113</v>
      </c>
      <c r="AW34" s="213" t="s">
        <v>86</v>
      </c>
      <c r="AY34" s="213" t="s">
        <v>498</v>
      </c>
      <c r="AZ34" s="210" t="b">
        <f t="shared" si="1"/>
        <v>1</v>
      </c>
    </row>
    <row r="35" spans="1:63" x14ac:dyDescent="0.25">
      <c r="A35" s="214"/>
      <c r="B35" s="254"/>
      <c r="C35" s="255"/>
      <c r="D35" s="256"/>
      <c r="F35" s="254"/>
      <c r="G35" s="255"/>
      <c r="H35" s="256"/>
      <c r="J35" s="254"/>
      <c r="K35" s="255"/>
      <c r="L35" s="256"/>
      <c r="N35" s="254"/>
      <c r="O35" s="255"/>
      <c r="P35" s="256"/>
      <c r="R35" s="254"/>
      <c r="S35" s="255"/>
      <c r="T35" s="256"/>
      <c r="V35" s="254"/>
      <c r="W35" s="255"/>
      <c r="X35" s="256"/>
      <c r="Z35" s="254"/>
      <c r="AA35" s="255"/>
      <c r="AB35" s="256"/>
      <c r="AD35" s="254"/>
      <c r="AE35" s="255"/>
      <c r="AF35" s="256"/>
      <c r="AH35" s="254"/>
      <c r="AI35" s="255"/>
      <c r="AJ35" s="256"/>
      <c r="AL35" s="254"/>
      <c r="AM35" s="255"/>
      <c r="AN35" s="256"/>
      <c r="AP35" s="254"/>
      <c r="AQ35" s="255"/>
      <c r="AR35" s="256"/>
      <c r="AT35" s="254"/>
      <c r="AU35" s="255"/>
      <c r="AV35" s="256"/>
      <c r="AY35" s="214"/>
    </row>
    <row r="36" spans="1:63" x14ac:dyDescent="0.25">
      <c r="A36" s="214"/>
      <c r="B36" s="254"/>
      <c r="C36" s="255"/>
      <c r="D36" s="256"/>
      <c r="F36" s="254"/>
      <c r="G36" s="255"/>
      <c r="H36" s="256"/>
      <c r="J36" s="254"/>
      <c r="K36" s="255"/>
      <c r="L36" s="256"/>
      <c r="N36" s="254"/>
      <c r="O36" s="255"/>
      <c r="P36" s="256"/>
      <c r="R36" s="254"/>
      <c r="S36" s="255"/>
      <c r="T36" s="256"/>
      <c r="V36" s="254"/>
      <c r="W36" s="255"/>
      <c r="X36" s="256"/>
      <c r="Z36" s="254"/>
      <c r="AA36" s="255"/>
      <c r="AB36" s="256"/>
      <c r="AD36" s="254"/>
      <c r="AE36" s="255"/>
      <c r="AF36" s="256"/>
      <c r="AH36" s="254"/>
      <c r="AI36" s="255"/>
      <c r="AJ36" s="256"/>
      <c r="AL36" s="254"/>
      <c r="AM36" s="255"/>
      <c r="AN36" s="256"/>
      <c r="AP36" s="254"/>
      <c r="AQ36" s="255"/>
      <c r="AR36" s="256"/>
      <c r="AT36" s="254"/>
      <c r="AU36" s="255"/>
      <c r="AV36" s="256"/>
      <c r="AY36" s="214"/>
    </row>
    <row r="37" spans="1:63" x14ac:dyDescent="0.25">
      <c r="A37" s="72" t="str">
        <f>AY37</f>
        <v>TOTAL A INFORMAR NA PLAN. P/CONDÔM. (SERVE APENAS PARA COMPARAR COM O TOTAL DOS LANÇAMENTOS DAQUELA PLANILHA)</v>
      </c>
      <c r="C37" s="257">
        <f>SUM(C3:C23)</f>
        <v>4063.7400000000002</v>
      </c>
      <c r="G37" s="257">
        <f>SUM(G3:G23)</f>
        <v>4107.4300000000012</v>
      </c>
      <c r="K37" s="257">
        <f>SUM(K3:K23)</f>
        <v>3994.1800000000003</v>
      </c>
      <c r="O37" s="257">
        <f>SUM(O3:O23)</f>
        <v>3510.9200000000005</v>
      </c>
      <c r="S37" s="257">
        <f>SUM(S3:S23)</f>
        <v>4306.49</v>
      </c>
      <c r="W37" s="257">
        <f>SUM(W3:W23)</f>
        <v>3985.15</v>
      </c>
      <c r="AA37" s="257">
        <f>SUM(AA3:AA23)</f>
        <v>3844.0400000000004</v>
      </c>
      <c r="AE37" s="257">
        <f>SUM(AE3:AE23)</f>
        <v>4024.9400000000005</v>
      </c>
      <c r="AI37" s="257">
        <f>SUM(AI3:AI23)</f>
        <v>3750.3200000000006</v>
      </c>
      <c r="AM37" s="257">
        <f>SUM(AM3:AM23)</f>
        <v>3871.41</v>
      </c>
      <c r="AQ37" s="257">
        <f>SUM(AQ3:AQ23)</f>
        <v>3803.35</v>
      </c>
      <c r="AU37" s="257">
        <f>SUM(AU3:AU23)</f>
        <v>4065.6499999999996</v>
      </c>
      <c r="AY37" s="72" t="s">
        <v>214</v>
      </c>
    </row>
    <row r="38" spans="1:63" x14ac:dyDescent="0.25">
      <c r="A38" s="263" t="str">
        <f>AY38</f>
        <v>O TOTAL DA LINHA ACIMA COINCIDE COM OS LANÇAMENTOS DA PLANILHA "PLAN P COND"</v>
      </c>
      <c r="B38" s="208" t="str">
        <f>AZ38</f>
        <v>PARA INSERIR COR NA FÓRMULA: PÁGINA INICIAL / FORMATAÇÃO CONDICIONAL / REGRAS DE REALCE DAS CÉLULAS / É IGUAL A... (VERDADEIRO OU FALSO, UM DE CADA VEZ) / FORMATAR PERSONALIZADO</v>
      </c>
      <c r="C38" s="258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60"/>
      <c r="O38" s="255"/>
      <c r="S38" s="255"/>
      <c r="AQ38" s="261" t="b">
        <f>AQ37='PLAN P COND'!G27</f>
        <v>0</v>
      </c>
      <c r="AU38" s="261" t="b">
        <f>AU37='PLAN P COND'!G27</f>
        <v>1</v>
      </c>
      <c r="AY38" s="263" t="s">
        <v>296</v>
      </c>
      <c r="AZ38" s="208" t="s">
        <v>360</v>
      </c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60"/>
    </row>
    <row r="39" spans="1:63" x14ac:dyDescent="0.25">
      <c r="A39" s="262" t="str">
        <f>AY39</f>
        <v>OBS.: COM FÓRMULAS PARA PREENCHIMENTO DOS DOIS VALORES DE ÁGUA</v>
      </c>
      <c r="C39" s="255"/>
      <c r="G39" s="255"/>
      <c r="K39" s="255"/>
      <c r="AY39" s="262" t="s">
        <v>487</v>
      </c>
    </row>
    <row r="41" spans="1:63" x14ac:dyDescent="0.25">
      <c r="G41" s="255"/>
      <c r="K41" s="255"/>
      <c r="O41" s="255"/>
      <c r="S41" s="255"/>
      <c r="W41" s="255"/>
      <c r="AA41" s="255"/>
      <c r="AE41" s="255"/>
      <c r="AI41" s="255"/>
      <c r="AM41" s="255"/>
      <c r="AQ41" s="255"/>
      <c r="AU41" s="255"/>
    </row>
    <row r="42" spans="1:63" x14ac:dyDescent="0.25">
      <c r="A42" s="953" t="s">
        <v>530</v>
      </c>
      <c r="B42" s="954"/>
      <c r="C42" s="954"/>
      <c r="D42" s="954"/>
      <c r="E42" s="954"/>
      <c r="F42" s="954"/>
      <c r="G42" s="954"/>
      <c r="H42" s="954"/>
      <c r="I42" s="954"/>
      <c r="J42" s="954"/>
      <c r="K42" s="954"/>
      <c r="L42" s="954"/>
      <c r="M42" s="954"/>
      <c r="N42" s="954"/>
      <c r="O42" s="954"/>
      <c r="P42" s="954"/>
      <c r="Q42" s="954"/>
    </row>
    <row r="44" spans="1:63" x14ac:dyDescent="0.25">
      <c r="A44" s="958" t="s">
        <v>535</v>
      </c>
      <c r="AU44" s="250" t="s">
        <v>361</v>
      </c>
      <c r="AV44" s="250"/>
      <c r="AY44" s="248" t="s">
        <v>524</v>
      </c>
      <c r="AZ44" s="209" t="s">
        <v>52</v>
      </c>
    </row>
    <row r="45" spans="1:63" x14ac:dyDescent="0.25">
      <c r="A45" s="254" t="s">
        <v>536</v>
      </c>
      <c r="B45" s="234" t="s">
        <v>42</v>
      </c>
      <c r="C45" s="236" t="s">
        <v>49</v>
      </c>
      <c r="D45" s="236" t="s">
        <v>0</v>
      </c>
      <c r="E45" s="213" t="s">
        <v>202</v>
      </c>
      <c r="F45" s="243" t="s">
        <v>42</v>
      </c>
      <c r="G45" s="236" t="s">
        <v>49</v>
      </c>
      <c r="H45" s="236" t="s">
        <v>0</v>
      </c>
      <c r="I45" s="213" t="s">
        <v>202</v>
      </c>
      <c r="J45" s="243" t="s">
        <v>42</v>
      </c>
      <c r="K45" s="236" t="s">
        <v>49</v>
      </c>
      <c r="L45" s="236" t="s">
        <v>0</v>
      </c>
      <c r="M45" s="213" t="s">
        <v>202</v>
      </c>
      <c r="N45" s="243" t="s">
        <v>42</v>
      </c>
      <c r="O45" s="236" t="s">
        <v>49</v>
      </c>
      <c r="P45" s="236" t="s">
        <v>0</v>
      </c>
      <c r="Q45" s="213" t="s">
        <v>202</v>
      </c>
      <c r="R45" s="243" t="s">
        <v>42</v>
      </c>
      <c r="S45" s="236" t="s">
        <v>49</v>
      </c>
      <c r="T45" s="236" t="s">
        <v>0</v>
      </c>
      <c r="U45" s="213" t="s">
        <v>202</v>
      </c>
      <c r="V45" s="243" t="s">
        <v>42</v>
      </c>
      <c r="W45" s="236" t="s">
        <v>49</v>
      </c>
      <c r="X45" s="236" t="s">
        <v>0</v>
      </c>
      <c r="Y45" s="213" t="s">
        <v>202</v>
      </c>
      <c r="Z45" s="243" t="s">
        <v>42</v>
      </c>
      <c r="AA45" s="236" t="s">
        <v>49</v>
      </c>
      <c r="AB45" s="236" t="s">
        <v>0</v>
      </c>
      <c r="AC45" s="213" t="s">
        <v>202</v>
      </c>
      <c r="AD45" s="243" t="s">
        <v>42</v>
      </c>
      <c r="AE45" s="236" t="s">
        <v>49</v>
      </c>
      <c r="AF45" s="236" t="s">
        <v>0</v>
      </c>
      <c r="AG45" s="213" t="s">
        <v>202</v>
      </c>
      <c r="AH45" s="243" t="s">
        <v>42</v>
      </c>
      <c r="AI45" s="236" t="s">
        <v>49</v>
      </c>
      <c r="AJ45" s="236" t="s">
        <v>0</v>
      </c>
      <c r="AK45" s="213" t="s">
        <v>505</v>
      </c>
      <c r="AL45" s="243" t="s">
        <v>42</v>
      </c>
      <c r="AM45" s="236" t="s">
        <v>49</v>
      </c>
      <c r="AN45" s="236" t="s">
        <v>0</v>
      </c>
      <c r="AO45" s="213" t="s">
        <v>505</v>
      </c>
      <c r="AP45" s="243" t="s">
        <v>42</v>
      </c>
      <c r="AQ45" s="236" t="s">
        <v>49</v>
      </c>
      <c r="AR45" s="236" t="s">
        <v>0</v>
      </c>
      <c r="AS45" s="213" t="s">
        <v>505</v>
      </c>
      <c r="AT45" s="243" t="s">
        <v>42</v>
      </c>
      <c r="AU45" s="236" t="s">
        <v>49</v>
      </c>
      <c r="AV45" s="236" t="s">
        <v>0</v>
      </c>
      <c r="AW45" s="213" t="s">
        <v>505</v>
      </c>
      <c r="AY45" s="235" t="s">
        <v>2</v>
      </c>
      <c r="AZ45" s="210"/>
    </row>
    <row r="46" spans="1:63" x14ac:dyDescent="0.25">
      <c r="A46" s="957" t="b">
        <f t="shared" ref="A46:A77" si="4">SUM(B3:AY3)=SUM(B46:AY46)</f>
        <v>1</v>
      </c>
      <c r="B46" s="235">
        <v>45778</v>
      </c>
      <c r="C46" s="237">
        <v>1342.94</v>
      </c>
      <c r="D46" s="239">
        <v>45789</v>
      </c>
      <c r="E46" s="213" t="s">
        <v>86</v>
      </c>
      <c r="F46" s="244">
        <v>45809</v>
      </c>
      <c r="G46" s="237">
        <v>1342.94</v>
      </c>
      <c r="H46" s="239">
        <v>45818</v>
      </c>
      <c r="I46" s="213" t="s">
        <v>86</v>
      </c>
      <c r="J46" s="244">
        <v>45839</v>
      </c>
      <c r="K46" s="237">
        <v>1342.94</v>
      </c>
      <c r="L46" s="239">
        <v>45848</v>
      </c>
      <c r="M46" s="213" t="s">
        <v>86</v>
      </c>
      <c r="N46" s="244">
        <v>45870</v>
      </c>
      <c r="O46" s="246">
        <v>1342.94</v>
      </c>
      <c r="P46" s="239">
        <v>45880</v>
      </c>
      <c r="Q46" s="213" t="s">
        <v>86</v>
      </c>
      <c r="R46" s="244">
        <v>45901</v>
      </c>
      <c r="S46" s="237">
        <v>1342.94</v>
      </c>
      <c r="T46" s="239">
        <v>45910</v>
      </c>
      <c r="U46" s="213" t="s">
        <v>86</v>
      </c>
      <c r="V46" s="244">
        <v>45931</v>
      </c>
      <c r="W46" s="237">
        <v>1342.94</v>
      </c>
      <c r="X46" s="239">
        <v>45940</v>
      </c>
      <c r="Y46" s="213" t="s">
        <v>86</v>
      </c>
      <c r="Z46" s="244">
        <v>45962</v>
      </c>
      <c r="AA46" s="237">
        <v>1342.94</v>
      </c>
      <c r="AB46" s="239">
        <v>45971</v>
      </c>
      <c r="AC46" s="213" t="s">
        <v>86</v>
      </c>
      <c r="AD46" s="244">
        <v>45992</v>
      </c>
      <c r="AE46" s="237">
        <v>1342.94</v>
      </c>
      <c r="AF46" s="239">
        <v>46001</v>
      </c>
      <c r="AG46" s="213" t="s">
        <v>86</v>
      </c>
      <c r="AH46" s="244">
        <v>46023</v>
      </c>
      <c r="AI46" s="237">
        <v>1342.94</v>
      </c>
      <c r="AJ46" s="239">
        <v>46034</v>
      </c>
      <c r="AK46" s="213" t="s">
        <v>86</v>
      </c>
      <c r="AL46" s="244">
        <v>46054</v>
      </c>
      <c r="AM46" s="237">
        <v>1443.6599999999999</v>
      </c>
      <c r="AN46" s="239">
        <v>46063</v>
      </c>
      <c r="AO46" s="213" t="s">
        <v>86</v>
      </c>
      <c r="AP46" s="244">
        <v>46082</v>
      </c>
      <c r="AQ46" s="237">
        <v>1443.66</v>
      </c>
      <c r="AR46" s="239">
        <v>46091</v>
      </c>
      <c r="AS46" s="213" t="s">
        <v>86</v>
      </c>
      <c r="AT46" s="244">
        <v>46113</v>
      </c>
      <c r="AU46" s="237">
        <v>1443.66</v>
      </c>
      <c r="AV46" s="239">
        <v>46122</v>
      </c>
      <c r="AW46" s="213" t="s">
        <v>86</v>
      </c>
      <c r="AY46" s="213" t="s">
        <v>4</v>
      </c>
      <c r="AZ46" s="210" t="b">
        <v>1</v>
      </c>
    </row>
    <row r="47" spans="1:63" x14ac:dyDescent="0.25">
      <c r="A47" s="957" t="b">
        <f t="shared" si="4"/>
        <v>1</v>
      </c>
      <c r="B47" s="235">
        <v>45778</v>
      </c>
      <c r="C47" s="237">
        <v>1138.6500000000001</v>
      </c>
      <c r="D47" s="239">
        <v>45792</v>
      </c>
      <c r="E47" s="213" t="s">
        <v>86</v>
      </c>
      <c r="F47" s="244">
        <v>45809</v>
      </c>
      <c r="G47" s="237">
        <v>1334.14</v>
      </c>
      <c r="H47" s="239">
        <v>45824</v>
      </c>
      <c r="I47" s="213" t="s">
        <v>86</v>
      </c>
      <c r="J47" s="244">
        <v>45839</v>
      </c>
      <c r="K47" s="237">
        <v>1231.1099999999999</v>
      </c>
      <c r="L47" s="239">
        <v>45853</v>
      </c>
      <c r="M47" s="213" t="s">
        <v>86</v>
      </c>
      <c r="N47" s="244">
        <v>45870</v>
      </c>
      <c r="O47" s="237">
        <v>1231.1099999999999</v>
      </c>
      <c r="P47" s="239">
        <v>45888</v>
      </c>
      <c r="Q47" s="213" t="s">
        <v>86</v>
      </c>
      <c r="R47" s="244">
        <v>45901</v>
      </c>
      <c r="S47" s="237">
        <v>1231.1099999999999</v>
      </c>
      <c r="T47" s="239">
        <v>45915</v>
      </c>
      <c r="U47" s="213" t="s">
        <v>86</v>
      </c>
      <c r="V47" s="244">
        <v>45931</v>
      </c>
      <c r="W47" s="237">
        <v>1231.1099999999999</v>
      </c>
      <c r="X47" s="239">
        <v>45945</v>
      </c>
      <c r="Y47" s="213" t="s">
        <v>86</v>
      </c>
      <c r="Z47" s="244">
        <v>45962</v>
      </c>
      <c r="AA47" s="237">
        <v>1231.1099999999999</v>
      </c>
      <c r="AB47" s="239">
        <v>45978</v>
      </c>
      <c r="AC47" s="213" t="s">
        <v>86</v>
      </c>
      <c r="AD47" s="244">
        <v>45992</v>
      </c>
      <c r="AE47" s="237">
        <v>1231.1099999999999</v>
      </c>
      <c r="AF47" s="239">
        <v>46006</v>
      </c>
      <c r="AG47" s="213" t="s">
        <v>86</v>
      </c>
      <c r="AH47" s="244">
        <v>46023</v>
      </c>
      <c r="AI47" s="237">
        <v>1231.1099999999999</v>
      </c>
      <c r="AJ47" s="239">
        <v>46037</v>
      </c>
      <c r="AK47" s="213" t="s">
        <v>86</v>
      </c>
      <c r="AL47" s="244">
        <v>46054</v>
      </c>
      <c r="AM47" s="237">
        <v>1231.1099999999999</v>
      </c>
      <c r="AN47" s="239">
        <v>46068</v>
      </c>
      <c r="AO47" s="213" t="s">
        <v>86</v>
      </c>
      <c r="AP47" s="244">
        <v>46082</v>
      </c>
      <c r="AQ47" s="237">
        <v>1231.1099999999999</v>
      </c>
      <c r="AR47" s="239">
        <v>46097</v>
      </c>
      <c r="AS47" s="213" t="s">
        <v>86</v>
      </c>
      <c r="AT47" s="244">
        <v>46113</v>
      </c>
      <c r="AU47" s="237">
        <v>1231.1099999999999</v>
      </c>
      <c r="AV47" s="239">
        <v>46127</v>
      </c>
      <c r="AW47" s="213" t="s">
        <v>86</v>
      </c>
      <c r="AY47" s="213" t="s">
        <v>32</v>
      </c>
      <c r="AZ47" s="210" t="b">
        <v>1</v>
      </c>
    </row>
    <row r="48" spans="1:63" x14ac:dyDescent="0.25">
      <c r="A48" s="957" t="b">
        <f t="shared" si="4"/>
        <v>1</v>
      </c>
      <c r="B48" s="235">
        <v>45778</v>
      </c>
      <c r="C48" s="238">
        <v>0</v>
      </c>
      <c r="D48" s="239" t="s">
        <v>51</v>
      </c>
      <c r="E48" s="213" t="s">
        <v>204</v>
      </c>
      <c r="F48" s="244">
        <v>45809</v>
      </c>
      <c r="G48" s="237">
        <v>429.47000000000116</v>
      </c>
      <c r="H48" s="240">
        <v>45824</v>
      </c>
      <c r="I48" s="213" t="s">
        <v>331</v>
      </c>
      <c r="J48" s="244">
        <v>45839</v>
      </c>
      <c r="K48" s="238">
        <v>0</v>
      </c>
      <c r="L48" s="240" t="s">
        <v>51</v>
      </c>
      <c r="M48" s="213" t="s">
        <v>208</v>
      </c>
      <c r="N48" s="244">
        <v>45870</v>
      </c>
      <c r="O48" s="238">
        <v>0</v>
      </c>
      <c r="P48" s="240" t="s">
        <v>51</v>
      </c>
      <c r="Q48" s="213" t="s">
        <v>265</v>
      </c>
      <c r="R48" s="244">
        <v>45901</v>
      </c>
      <c r="S48" s="238">
        <v>102.13</v>
      </c>
      <c r="T48" s="240">
        <v>45915</v>
      </c>
      <c r="U48" s="213" t="s">
        <v>331</v>
      </c>
      <c r="V48" s="244">
        <v>45931</v>
      </c>
      <c r="W48" s="237">
        <v>348.46</v>
      </c>
      <c r="X48" s="240">
        <v>45945</v>
      </c>
      <c r="Y48" s="213" t="s">
        <v>331</v>
      </c>
      <c r="Z48" s="244">
        <v>45962</v>
      </c>
      <c r="AA48" s="237">
        <v>351.47</v>
      </c>
      <c r="AB48" s="240">
        <v>45978</v>
      </c>
      <c r="AC48" s="1005">
        <v>45978</v>
      </c>
      <c r="AD48" s="244">
        <v>45992</v>
      </c>
      <c r="AE48" s="237">
        <v>346.4</v>
      </c>
      <c r="AF48" s="240">
        <v>46006</v>
      </c>
      <c r="AG48" s="213" t="s">
        <v>86</v>
      </c>
      <c r="AH48" s="244">
        <v>46023</v>
      </c>
      <c r="AI48" s="237">
        <v>0</v>
      </c>
      <c r="AJ48" s="240">
        <v>46037</v>
      </c>
      <c r="AK48" s="213" t="s">
        <v>51</v>
      </c>
      <c r="AL48" s="244">
        <v>46054</v>
      </c>
      <c r="AM48" s="237">
        <v>0</v>
      </c>
      <c r="AN48" s="240">
        <v>46071</v>
      </c>
      <c r="AO48" s="213" t="s">
        <v>51</v>
      </c>
      <c r="AP48" s="244">
        <v>46082</v>
      </c>
      <c r="AQ48" s="237">
        <v>0</v>
      </c>
      <c r="AR48" s="240">
        <v>46099</v>
      </c>
      <c r="AS48" s="213" t="s">
        <v>51</v>
      </c>
      <c r="AT48" s="244">
        <v>46113</v>
      </c>
      <c r="AU48" s="237">
        <v>236.41</v>
      </c>
      <c r="AV48" s="240">
        <v>46127</v>
      </c>
      <c r="AW48" s="213" t="s">
        <v>86</v>
      </c>
      <c r="AY48" s="251" t="s">
        <v>525</v>
      </c>
      <c r="AZ48" s="210" t="b">
        <v>1</v>
      </c>
    </row>
    <row r="49" spans="1:52" x14ac:dyDescent="0.25">
      <c r="A49" s="957" t="b">
        <f t="shared" si="4"/>
        <v>1</v>
      </c>
      <c r="B49" s="235">
        <v>45778</v>
      </c>
      <c r="C49" s="237">
        <v>311.36</v>
      </c>
      <c r="D49" s="239">
        <v>45796</v>
      </c>
      <c r="E49" s="213" t="s">
        <v>86</v>
      </c>
      <c r="F49" s="244">
        <v>45809</v>
      </c>
      <c r="G49" s="237">
        <v>333.58</v>
      </c>
      <c r="H49" s="239">
        <v>45825</v>
      </c>
      <c r="I49" s="213" t="s">
        <v>86</v>
      </c>
      <c r="J49" s="244">
        <v>45839</v>
      </c>
      <c r="K49" s="237">
        <v>378.75</v>
      </c>
      <c r="L49" s="239">
        <v>45855</v>
      </c>
      <c r="M49" s="213" t="s">
        <v>86</v>
      </c>
      <c r="N49" s="244">
        <v>45870</v>
      </c>
      <c r="O49" s="237">
        <v>440.76</v>
      </c>
      <c r="P49" s="239">
        <v>45887</v>
      </c>
      <c r="Q49" s="213" t="s">
        <v>86</v>
      </c>
      <c r="R49" s="244">
        <v>45901</v>
      </c>
      <c r="S49" s="237">
        <v>487.7</v>
      </c>
      <c r="T49" s="239">
        <v>45917</v>
      </c>
      <c r="U49" s="213" t="s">
        <v>86</v>
      </c>
      <c r="V49" s="244">
        <v>45931</v>
      </c>
      <c r="W49" s="237">
        <v>467.79</v>
      </c>
      <c r="X49" s="239">
        <v>45947</v>
      </c>
      <c r="Y49" s="213" t="s">
        <v>86</v>
      </c>
      <c r="Z49" s="244">
        <v>45962</v>
      </c>
      <c r="AA49" s="237">
        <v>475.91</v>
      </c>
      <c r="AB49" s="239">
        <v>45978</v>
      </c>
      <c r="AC49" s="213" t="s">
        <v>86</v>
      </c>
      <c r="AD49" s="244">
        <v>45992</v>
      </c>
      <c r="AE49" s="237">
        <v>399.98</v>
      </c>
      <c r="AF49" s="239">
        <v>46008</v>
      </c>
      <c r="AG49" s="213" t="s">
        <v>86</v>
      </c>
      <c r="AH49" s="244">
        <v>46023</v>
      </c>
      <c r="AI49" s="237">
        <v>429.59</v>
      </c>
      <c r="AJ49" s="239">
        <v>46041</v>
      </c>
      <c r="AK49" s="213" t="s">
        <v>86</v>
      </c>
      <c r="AL49" s="244">
        <v>46054</v>
      </c>
      <c r="AM49" s="237">
        <v>470.4</v>
      </c>
      <c r="AN49" s="239">
        <v>46070</v>
      </c>
      <c r="AO49" s="213" t="s">
        <v>86</v>
      </c>
      <c r="AP49" s="244">
        <v>46082</v>
      </c>
      <c r="AQ49" s="237">
        <v>404.07</v>
      </c>
      <c r="AR49" s="239">
        <v>46098</v>
      </c>
      <c r="AS49" s="213" t="s">
        <v>86</v>
      </c>
      <c r="AT49" s="244">
        <v>46113</v>
      </c>
      <c r="AU49" s="237">
        <v>429.96</v>
      </c>
      <c r="AV49" s="239">
        <v>46129</v>
      </c>
      <c r="AW49" s="213" t="s">
        <v>86</v>
      </c>
      <c r="AY49" s="213" t="s">
        <v>7</v>
      </c>
      <c r="AZ49" s="210" t="b">
        <v>1</v>
      </c>
    </row>
    <row r="50" spans="1:52" x14ac:dyDescent="0.25">
      <c r="A50" s="957" t="b">
        <f t="shared" si="4"/>
        <v>1</v>
      </c>
      <c r="B50" s="235">
        <v>45778</v>
      </c>
      <c r="C50" s="237">
        <v>221.5</v>
      </c>
      <c r="D50" s="239">
        <v>45797</v>
      </c>
      <c r="E50" s="213" t="s">
        <v>86</v>
      </c>
      <c r="F50" s="244">
        <v>45809</v>
      </c>
      <c r="G50" s="238">
        <v>226.01</v>
      </c>
      <c r="H50" s="239">
        <v>45828</v>
      </c>
      <c r="I50" s="213" t="s">
        <v>86</v>
      </c>
      <c r="J50" s="244">
        <v>45839</v>
      </c>
      <c r="K50" s="238">
        <v>226.01</v>
      </c>
      <c r="L50" s="239">
        <v>45856</v>
      </c>
      <c r="M50" s="213" t="s">
        <v>86</v>
      </c>
      <c r="N50" s="244">
        <v>45870</v>
      </c>
      <c r="O50" s="237">
        <v>226.01</v>
      </c>
      <c r="P50" s="239">
        <v>45889</v>
      </c>
      <c r="Q50" s="213" t="s">
        <v>86</v>
      </c>
      <c r="R50" s="244">
        <v>45901</v>
      </c>
      <c r="S50" s="237">
        <v>226.01</v>
      </c>
      <c r="T50" s="239">
        <v>45919</v>
      </c>
      <c r="U50" s="213" t="s">
        <v>86</v>
      </c>
      <c r="V50" s="244">
        <v>45931</v>
      </c>
      <c r="W50" s="237">
        <v>266.39999999999998</v>
      </c>
      <c r="X50" s="239">
        <v>45950</v>
      </c>
      <c r="Y50" s="213" t="s">
        <v>86</v>
      </c>
      <c r="Z50" s="244">
        <v>45962</v>
      </c>
      <c r="AA50" s="237">
        <v>226.01</v>
      </c>
      <c r="AB50" s="239">
        <v>45981</v>
      </c>
      <c r="AC50" s="213" t="s">
        <v>86</v>
      </c>
      <c r="AD50" s="244">
        <v>45992</v>
      </c>
      <c r="AE50" s="237">
        <v>226.01</v>
      </c>
      <c r="AF50" s="239">
        <v>46010</v>
      </c>
      <c r="AG50" s="213" t="s">
        <v>86</v>
      </c>
      <c r="AH50" s="244">
        <v>46023</v>
      </c>
      <c r="AI50" s="237">
        <v>271.01</v>
      </c>
      <c r="AJ50" s="239" t="s">
        <v>501</v>
      </c>
      <c r="AK50" s="213" t="s">
        <v>86</v>
      </c>
      <c r="AL50" s="244">
        <v>46054</v>
      </c>
      <c r="AM50" s="237">
        <v>238.46</v>
      </c>
      <c r="AN50" s="239">
        <v>46073</v>
      </c>
      <c r="AO50" s="997" t="s">
        <v>555</v>
      </c>
      <c r="AP50" s="244">
        <v>46082</v>
      </c>
      <c r="AQ50" s="237">
        <v>238.45</v>
      </c>
      <c r="AR50" s="239">
        <v>46101</v>
      </c>
      <c r="AS50" s="213" t="s">
        <v>86</v>
      </c>
      <c r="AT50" s="244">
        <v>46113</v>
      </c>
      <c r="AU50" s="247">
        <v>238.45</v>
      </c>
      <c r="AV50" s="239">
        <v>46132</v>
      </c>
      <c r="AW50" s="213" t="s">
        <v>86</v>
      </c>
      <c r="AY50" s="252" t="s">
        <v>359</v>
      </c>
      <c r="AZ50" s="210" t="b">
        <v>1</v>
      </c>
    </row>
    <row r="51" spans="1:52" x14ac:dyDescent="0.25">
      <c r="A51" s="957" t="b">
        <f t="shared" si="4"/>
        <v>1</v>
      </c>
      <c r="B51" s="235">
        <v>45778</v>
      </c>
      <c r="C51" s="237">
        <v>224.69</v>
      </c>
      <c r="D51" s="239">
        <v>45772</v>
      </c>
      <c r="E51" s="213" t="s">
        <v>203</v>
      </c>
      <c r="F51" s="244">
        <v>45809</v>
      </c>
      <c r="G51" s="237">
        <v>224.69</v>
      </c>
      <c r="H51" s="239">
        <v>45803</v>
      </c>
      <c r="I51" s="213" t="s">
        <v>207</v>
      </c>
      <c r="J51" s="244">
        <v>45839</v>
      </c>
      <c r="K51" s="237">
        <v>0</v>
      </c>
      <c r="L51" s="239" t="s">
        <v>51</v>
      </c>
      <c r="M51" s="242" t="s">
        <v>51</v>
      </c>
      <c r="N51" s="244">
        <v>45870</v>
      </c>
      <c r="O51" s="237">
        <v>0</v>
      </c>
      <c r="P51" s="239" t="s">
        <v>51</v>
      </c>
      <c r="Q51" s="242" t="s">
        <v>51</v>
      </c>
      <c r="R51" s="244">
        <v>45901</v>
      </c>
      <c r="S51" s="237">
        <v>0</v>
      </c>
      <c r="T51" s="239" t="s">
        <v>51</v>
      </c>
      <c r="U51" s="242" t="s">
        <v>51</v>
      </c>
      <c r="V51" s="244">
        <v>45931</v>
      </c>
      <c r="W51" s="237">
        <v>0</v>
      </c>
      <c r="X51" s="239" t="s">
        <v>51</v>
      </c>
      <c r="Y51" s="242" t="s">
        <v>51</v>
      </c>
      <c r="Z51" s="244">
        <v>45962</v>
      </c>
      <c r="AA51" s="237">
        <v>0</v>
      </c>
      <c r="AB51" s="239" t="s">
        <v>51</v>
      </c>
      <c r="AC51" s="242" t="s">
        <v>51</v>
      </c>
      <c r="AD51" s="244">
        <v>45992</v>
      </c>
      <c r="AE51" s="237">
        <v>0</v>
      </c>
      <c r="AF51" s="239" t="s">
        <v>51</v>
      </c>
      <c r="AG51" s="242" t="s">
        <v>51</v>
      </c>
      <c r="AH51" s="244">
        <v>46023</v>
      </c>
      <c r="AI51" s="237">
        <v>259.07</v>
      </c>
      <c r="AJ51" s="239">
        <v>46017</v>
      </c>
      <c r="AK51" s="242" t="s">
        <v>499</v>
      </c>
      <c r="AL51" s="244">
        <v>46054</v>
      </c>
      <c r="AM51" s="238">
        <v>259.77999999999997</v>
      </c>
      <c r="AN51" s="239">
        <v>46051</v>
      </c>
      <c r="AO51" s="242" t="s">
        <v>546</v>
      </c>
      <c r="AP51" s="244">
        <v>46082</v>
      </c>
      <c r="AQ51" s="237">
        <v>259.06</v>
      </c>
      <c r="AR51" s="239">
        <v>46078</v>
      </c>
      <c r="AS51" s="242" t="s">
        <v>557</v>
      </c>
      <c r="AT51" s="244">
        <v>46113</v>
      </c>
      <c r="AU51" s="237">
        <v>259.06</v>
      </c>
      <c r="AV51" s="239">
        <v>46106</v>
      </c>
      <c r="AW51" s="242" t="s">
        <v>573</v>
      </c>
      <c r="AY51" s="213" t="s">
        <v>504</v>
      </c>
      <c r="AZ51" s="210" t="b">
        <v>1</v>
      </c>
    </row>
    <row r="52" spans="1:52" x14ac:dyDescent="0.25">
      <c r="A52" s="957" t="b">
        <f t="shared" si="4"/>
        <v>1</v>
      </c>
      <c r="B52" s="235">
        <v>45778</v>
      </c>
      <c r="C52" s="237">
        <v>608</v>
      </c>
      <c r="D52" s="239">
        <v>45789</v>
      </c>
      <c r="E52" s="213" t="s">
        <v>86</v>
      </c>
      <c r="F52" s="244">
        <v>45809</v>
      </c>
      <c r="G52" s="237">
        <v>0</v>
      </c>
      <c r="H52" s="239" t="s">
        <v>51</v>
      </c>
      <c r="I52" s="242" t="s">
        <v>51</v>
      </c>
      <c r="J52" s="244">
        <v>45839</v>
      </c>
      <c r="K52" s="237">
        <v>0</v>
      </c>
      <c r="L52" s="239" t="s">
        <v>51</v>
      </c>
      <c r="M52" s="242" t="s">
        <v>51</v>
      </c>
      <c r="N52" s="244">
        <v>45870</v>
      </c>
      <c r="O52" s="237">
        <v>0</v>
      </c>
      <c r="P52" s="239" t="s">
        <v>51</v>
      </c>
      <c r="Q52" s="242" t="s">
        <v>51</v>
      </c>
      <c r="R52" s="244">
        <v>45901</v>
      </c>
      <c r="S52" s="237">
        <v>0</v>
      </c>
      <c r="T52" s="239" t="s">
        <v>51</v>
      </c>
      <c r="U52" s="242" t="s">
        <v>51</v>
      </c>
      <c r="V52" s="244">
        <v>45931</v>
      </c>
      <c r="W52" s="237">
        <v>0</v>
      </c>
      <c r="X52" s="239" t="s">
        <v>51</v>
      </c>
      <c r="Y52" s="242" t="s">
        <v>51</v>
      </c>
      <c r="Z52" s="244">
        <v>45962</v>
      </c>
      <c r="AA52" s="237">
        <v>0</v>
      </c>
      <c r="AB52" s="239" t="s">
        <v>51</v>
      </c>
      <c r="AC52" s="242" t="s">
        <v>51</v>
      </c>
      <c r="AD52" s="244">
        <v>45992</v>
      </c>
      <c r="AE52" s="237">
        <v>0</v>
      </c>
      <c r="AF52" s="239" t="s">
        <v>51</v>
      </c>
      <c r="AG52" s="242" t="s">
        <v>51</v>
      </c>
      <c r="AH52" s="244">
        <v>46023</v>
      </c>
      <c r="AI52" s="237">
        <v>0</v>
      </c>
      <c r="AJ52" s="239" t="s">
        <v>51</v>
      </c>
      <c r="AK52" s="242" t="s">
        <v>51</v>
      </c>
      <c r="AL52" s="244">
        <v>46054</v>
      </c>
      <c r="AM52" s="237">
        <v>0</v>
      </c>
      <c r="AN52" s="239" t="s">
        <v>51</v>
      </c>
      <c r="AO52" s="242" t="s">
        <v>51</v>
      </c>
      <c r="AP52" s="244">
        <v>46082</v>
      </c>
      <c r="AQ52" s="237">
        <v>0</v>
      </c>
      <c r="AR52" s="239" t="s">
        <v>51</v>
      </c>
      <c r="AS52" s="242" t="s">
        <v>51</v>
      </c>
      <c r="AT52" s="244">
        <v>46113</v>
      </c>
      <c r="AU52" s="237">
        <v>0</v>
      </c>
      <c r="AV52" s="239" t="s">
        <v>51</v>
      </c>
      <c r="AW52" s="242" t="s">
        <v>51</v>
      </c>
      <c r="AY52" s="213" t="s">
        <v>36</v>
      </c>
      <c r="AZ52" s="210" t="b">
        <v>1</v>
      </c>
    </row>
    <row r="53" spans="1:52" x14ac:dyDescent="0.25">
      <c r="A53" s="957" t="b">
        <f t="shared" si="4"/>
        <v>1</v>
      </c>
      <c r="B53" s="235">
        <v>45778</v>
      </c>
      <c r="C53" s="237">
        <v>151.6</v>
      </c>
      <c r="D53" s="239">
        <v>45805</v>
      </c>
      <c r="E53" s="213" t="s">
        <v>86</v>
      </c>
      <c r="F53" s="244">
        <v>45809</v>
      </c>
      <c r="G53" s="237">
        <v>151.6</v>
      </c>
      <c r="H53" s="239">
        <v>45836</v>
      </c>
      <c r="I53" s="213" t="s">
        <v>86</v>
      </c>
      <c r="J53" s="244">
        <v>45839</v>
      </c>
      <c r="K53" s="237">
        <v>151.6</v>
      </c>
      <c r="L53" s="239">
        <v>45866</v>
      </c>
      <c r="M53" s="213" t="s">
        <v>86</v>
      </c>
      <c r="N53" s="244">
        <v>45870</v>
      </c>
      <c r="O53" s="237">
        <v>151.6</v>
      </c>
      <c r="P53" s="239">
        <v>45897</v>
      </c>
      <c r="Q53" s="213" t="s">
        <v>86</v>
      </c>
      <c r="R53" s="244">
        <v>45901</v>
      </c>
      <c r="S53" s="237">
        <v>151.6</v>
      </c>
      <c r="T53" s="239">
        <v>45929</v>
      </c>
      <c r="U53" s="213" t="s">
        <v>86</v>
      </c>
      <c r="V53" s="244">
        <v>45931</v>
      </c>
      <c r="W53" s="237">
        <v>151.6</v>
      </c>
      <c r="X53" s="239">
        <v>45958</v>
      </c>
      <c r="Y53" s="213" t="s">
        <v>86</v>
      </c>
      <c r="Z53" s="244">
        <v>45962</v>
      </c>
      <c r="AA53" s="237">
        <v>151.6</v>
      </c>
      <c r="AB53" s="239">
        <v>45989</v>
      </c>
      <c r="AC53" s="213" t="s">
        <v>86</v>
      </c>
      <c r="AD53" s="244">
        <v>45992</v>
      </c>
      <c r="AE53" s="237">
        <v>151.6</v>
      </c>
      <c r="AF53" s="239">
        <v>46020</v>
      </c>
      <c r="AG53" s="213" t="s">
        <v>86</v>
      </c>
      <c r="AH53" s="244">
        <v>46023</v>
      </c>
      <c r="AI53" s="237">
        <v>151.6</v>
      </c>
      <c r="AJ53" s="239">
        <v>46050</v>
      </c>
      <c r="AK53" s="213" t="s">
        <v>86</v>
      </c>
      <c r="AL53" s="244">
        <v>46054</v>
      </c>
      <c r="AM53" s="237">
        <v>163</v>
      </c>
      <c r="AN53" s="239">
        <v>46080</v>
      </c>
      <c r="AO53" s="213" t="s">
        <v>86</v>
      </c>
      <c r="AP53" s="244">
        <v>46082</v>
      </c>
      <c r="AQ53" s="237">
        <v>162</v>
      </c>
      <c r="AR53" s="239">
        <v>46111</v>
      </c>
      <c r="AS53" s="213" t="s">
        <v>86</v>
      </c>
      <c r="AT53" s="244">
        <v>46113</v>
      </c>
      <c r="AU53" s="237">
        <v>162</v>
      </c>
      <c r="AV53" s="239">
        <v>46140</v>
      </c>
      <c r="AW53" s="213" t="s">
        <v>86</v>
      </c>
      <c r="AY53" s="213" t="s">
        <v>8</v>
      </c>
      <c r="AZ53" s="210" t="b">
        <v>1</v>
      </c>
    </row>
    <row r="54" spans="1:52" x14ac:dyDescent="0.25">
      <c r="A54" s="957" t="b">
        <f t="shared" si="4"/>
        <v>1</v>
      </c>
      <c r="B54" s="235">
        <v>45778</v>
      </c>
      <c r="C54" s="237">
        <v>65</v>
      </c>
      <c r="D54" s="239">
        <v>45778</v>
      </c>
      <c r="E54" s="213" t="s">
        <v>86</v>
      </c>
      <c r="F54" s="244">
        <v>45809</v>
      </c>
      <c r="G54" s="237">
        <v>65</v>
      </c>
      <c r="H54" s="239">
        <v>45810</v>
      </c>
      <c r="I54" s="213" t="s">
        <v>86</v>
      </c>
      <c r="J54" s="244">
        <v>45839</v>
      </c>
      <c r="K54" s="237">
        <v>65</v>
      </c>
      <c r="L54" s="239">
        <v>45839</v>
      </c>
      <c r="M54" s="213" t="s">
        <v>86</v>
      </c>
      <c r="N54" s="244">
        <v>45870</v>
      </c>
      <c r="O54" s="237">
        <v>65</v>
      </c>
      <c r="P54" s="239">
        <v>45870</v>
      </c>
      <c r="Q54" s="213" t="s">
        <v>86</v>
      </c>
      <c r="R54" s="244">
        <v>45901</v>
      </c>
      <c r="S54" s="237">
        <v>65</v>
      </c>
      <c r="T54" s="239">
        <v>45901</v>
      </c>
      <c r="U54" s="213" t="s">
        <v>86</v>
      </c>
      <c r="V54" s="244">
        <v>45931</v>
      </c>
      <c r="W54" s="237">
        <v>65</v>
      </c>
      <c r="X54" s="239">
        <v>45931</v>
      </c>
      <c r="Y54" s="213" t="s">
        <v>86</v>
      </c>
      <c r="Z54" s="244">
        <v>45962</v>
      </c>
      <c r="AA54" s="237">
        <v>65</v>
      </c>
      <c r="AB54" s="239">
        <v>45962</v>
      </c>
      <c r="AC54" s="213" t="s">
        <v>86</v>
      </c>
      <c r="AD54" s="244">
        <v>45992</v>
      </c>
      <c r="AE54" s="237">
        <v>65</v>
      </c>
      <c r="AF54" s="239">
        <v>45993</v>
      </c>
      <c r="AG54" s="213" t="s">
        <v>86</v>
      </c>
      <c r="AH54" s="244">
        <v>46023</v>
      </c>
      <c r="AI54" s="237">
        <v>65</v>
      </c>
      <c r="AJ54" s="239">
        <v>46024</v>
      </c>
      <c r="AK54" s="213" t="s">
        <v>86</v>
      </c>
      <c r="AL54" s="244">
        <v>46054</v>
      </c>
      <c r="AM54" s="237">
        <v>65</v>
      </c>
      <c r="AN54" s="239">
        <v>46055</v>
      </c>
      <c r="AO54" s="213" t="s">
        <v>86</v>
      </c>
      <c r="AP54" s="244">
        <v>46082</v>
      </c>
      <c r="AQ54" s="237">
        <v>65</v>
      </c>
      <c r="AR54" s="239">
        <v>46083</v>
      </c>
      <c r="AS54" s="213" t="s">
        <v>86</v>
      </c>
      <c r="AT54" s="244">
        <v>46113</v>
      </c>
      <c r="AU54" s="237">
        <v>65</v>
      </c>
      <c r="AV54" s="239">
        <v>46113</v>
      </c>
      <c r="AW54" s="213" t="s">
        <v>86</v>
      </c>
      <c r="AY54" s="213" t="s">
        <v>9</v>
      </c>
      <c r="AZ54" s="210" t="b">
        <v>1</v>
      </c>
    </row>
    <row r="55" spans="1:52" x14ac:dyDescent="0.25">
      <c r="A55" s="957" t="b">
        <f t="shared" si="4"/>
        <v>1</v>
      </c>
      <c r="B55" s="235">
        <v>45778</v>
      </c>
      <c r="C55" s="237">
        <v>0</v>
      </c>
      <c r="D55" s="239" t="s">
        <v>51</v>
      </c>
      <c r="E55" s="242" t="s">
        <v>51</v>
      </c>
      <c r="F55" s="244">
        <v>45809</v>
      </c>
      <c r="G55" s="237">
        <v>0</v>
      </c>
      <c r="H55" s="239" t="s">
        <v>51</v>
      </c>
      <c r="I55" s="242" t="s">
        <v>51</v>
      </c>
      <c r="J55" s="244">
        <v>45839</v>
      </c>
      <c r="K55" s="237">
        <v>0</v>
      </c>
      <c r="L55" s="239" t="s">
        <v>51</v>
      </c>
      <c r="M55" s="213" t="s">
        <v>51</v>
      </c>
      <c r="N55" s="244">
        <v>45870</v>
      </c>
      <c r="O55" s="238">
        <v>14.9</v>
      </c>
      <c r="P55" s="239">
        <v>45845</v>
      </c>
      <c r="Q55" s="213" t="s">
        <v>213</v>
      </c>
      <c r="R55" s="244">
        <v>45901</v>
      </c>
      <c r="S55" s="237">
        <v>0</v>
      </c>
      <c r="T55" s="239" t="s">
        <v>51</v>
      </c>
      <c r="U55" s="213" t="s">
        <v>51</v>
      </c>
      <c r="V55" s="244">
        <v>45931</v>
      </c>
      <c r="W55" s="237">
        <v>0</v>
      </c>
      <c r="X55" s="239" t="s">
        <v>51</v>
      </c>
      <c r="Y55" s="213" t="s">
        <v>51</v>
      </c>
      <c r="Z55" s="244">
        <v>45962</v>
      </c>
      <c r="AA55" s="237">
        <v>0</v>
      </c>
      <c r="AB55" s="239" t="s">
        <v>51</v>
      </c>
      <c r="AC55" s="213" t="s">
        <v>51</v>
      </c>
      <c r="AD55" s="244">
        <v>45992</v>
      </c>
      <c r="AE55" s="237">
        <v>0</v>
      </c>
      <c r="AF55" s="239" t="s">
        <v>51</v>
      </c>
      <c r="AG55" s="213" t="s">
        <v>51</v>
      </c>
      <c r="AH55" s="244">
        <v>46023</v>
      </c>
      <c r="AI55" s="237">
        <v>0</v>
      </c>
      <c r="AJ55" s="239" t="s">
        <v>51</v>
      </c>
      <c r="AK55" s="213" t="s">
        <v>51</v>
      </c>
      <c r="AL55" s="244">
        <v>46054</v>
      </c>
      <c r="AM55" s="237">
        <v>0</v>
      </c>
      <c r="AN55" s="239" t="s">
        <v>51</v>
      </c>
      <c r="AO55" s="213" t="s">
        <v>51</v>
      </c>
      <c r="AP55" s="244">
        <v>46082</v>
      </c>
      <c r="AQ55" s="237">
        <v>0</v>
      </c>
      <c r="AR55" s="239" t="s">
        <v>51</v>
      </c>
      <c r="AS55" s="213" t="s">
        <v>51</v>
      </c>
      <c r="AT55" s="244">
        <v>46113</v>
      </c>
      <c r="AU55" s="237">
        <v>0</v>
      </c>
      <c r="AV55" s="239" t="s">
        <v>51</v>
      </c>
      <c r="AW55" s="213" t="s">
        <v>51</v>
      </c>
      <c r="AY55" s="213" t="s">
        <v>212</v>
      </c>
      <c r="AZ55" s="210" t="b">
        <v>1</v>
      </c>
    </row>
    <row r="56" spans="1:52" x14ac:dyDescent="0.25">
      <c r="A56" s="957" t="b">
        <f t="shared" si="4"/>
        <v>1</v>
      </c>
      <c r="B56" s="235">
        <v>45778</v>
      </c>
      <c r="C56" s="237">
        <v>0</v>
      </c>
      <c r="D56" s="239" t="s">
        <v>51</v>
      </c>
      <c r="E56" s="242" t="s">
        <v>51</v>
      </c>
      <c r="F56" s="244">
        <v>45809</v>
      </c>
      <c r="G56" s="237">
        <v>0</v>
      </c>
      <c r="H56" s="239" t="s">
        <v>51</v>
      </c>
      <c r="I56" s="242" t="s">
        <v>51</v>
      </c>
      <c r="J56" s="244">
        <v>45839</v>
      </c>
      <c r="K56" s="237">
        <v>0</v>
      </c>
      <c r="L56" s="239" t="s">
        <v>51</v>
      </c>
      <c r="M56" s="213" t="s">
        <v>51</v>
      </c>
      <c r="N56" s="244">
        <v>45870</v>
      </c>
      <c r="O56" s="238">
        <v>14</v>
      </c>
      <c r="P56" s="239">
        <v>45845</v>
      </c>
      <c r="Q56" s="213" t="s">
        <v>216</v>
      </c>
      <c r="R56" s="244">
        <v>45901</v>
      </c>
      <c r="S56" s="237">
        <v>0</v>
      </c>
      <c r="T56" s="239" t="s">
        <v>51</v>
      </c>
      <c r="U56" s="213" t="s">
        <v>51</v>
      </c>
      <c r="V56" s="244">
        <v>45931</v>
      </c>
      <c r="W56" s="237">
        <v>0</v>
      </c>
      <c r="X56" s="239" t="s">
        <v>51</v>
      </c>
      <c r="Y56" s="213" t="s">
        <v>51</v>
      </c>
      <c r="Z56" s="244">
        <v>45962</v>
      </c>
      <c r="AA56" s="237">
        <v>0</v>
      </c>
      <c r="AB56" s="239" t="s">
        <v>51</v>
      </c>
      <c r="AC56" s="213" t="s">
        <v>51</v>
      </c>
      <c r="AD56" s="244">
        <v>45992</v>
      </c>
      <c r="AE56" s="237">
        <v>0</v>
      </c>
      <c r="AF56" s="239" t="s">
        <v>51</v>
      </c>
      <c r="AG56" s="213" t="s">
        <v>51</v>
      </c>
      <c r="AH56" s="244">
        <v>46023</v>
      </c>
      <c r="AI56" s="237">
        <v>0</v>
      </c>
      <c r="AJ56" s="239" t="s">
        <v>51</v>
      </c>
      <c r="AK56" s="213" t="s">
        <v>51</v>
      </c>
      <c r="AL56" s="244">
        <v>46054</v>
      </c>
      <c r="AM56" s="237">
        <v>0</v>
      </c>
      <c r="AN56" s="239" t="s">
        <v>51</v>
      </c>
      <c r="AO56" s="213" t="s">
        <v>51</v>
      </c>
      <c r="AP56" s="244">
        <v>46082</v>
      </c>
      <c r="AQ56" s="237">
        <v>0</v>
      </c>
      <c r="AR56" s="239" t="s">
        <v>51</v>
      </c>
      <c r="AS56" s="213" t="s">
        <v>51</v>
      </c>
      <c r="AT56" s="244">
        <v>46113</v>
      </c>
      <c r="AU56" s="237">
        <v>0</v>
      </c>
      <c r="AV56" s="239" t="s">
        <v>51</v>
      </c>
      <c r="AW56" s="213" t="s">
        <v>51</v>
      </c>
      <c r="AY56" s="213" t="s">
        <v>211</v>
      </c>
      <c r="AZ56" s="210" t="b">
        <v>1</v>
      </c>
    </row>
    <row r="57" spans="1:52" x14ac:dyDescent="0.25">
      <c r="A57" s="957" t="b">
        <f t="shared" si="4"/>
        <v>1</v>
      </c>
      <c r="B57" s="235">
        <v>45778</v>
      </c>
      <c r="C57" s="237">
        <v>0</v>
      </c>
      <c r="D57" s="239" t="s">
        <v>51</v>
      </c>
      <c r="E57" s="242" t="s">
        <v>51</v>
      </c>
      <c r="F57" s="244">
        <v>45809</v>
      </c>
      <c r="G57" s="237">
        <v>0</v>
      </c>
      <c r="H57" s="239" t="s">
        <v>51</v>
      </c>
      <c r="I57" s="242" t="s">
        <v>51</v>
      </c>
      <c r="J57" s="244">
        <v>45839</v>
      </c>
      <c r="K57" s="237">
        <v>0</v>
      </c>
      <c r="L57" s="239" t="s">
        <v>51</v>
      </c>
      <c r="M57" s="213" t="s">
        <v>51</v>
      </c>
      <c r="N57" s="244">
        <v>45870</v>
      </c>
      <c r="O57" s="238">
        <v>24.6</v>
      </c>
      <c r="P57" s="239">
        <v>45870</v>
      </c>
      <c r="Q57" s="213" t="s">
        <v>264</v>
      </c>
      <c r="R57" s="244">
        <v>45901</v>
      </c>
      <c r="S57" s="237">
        <v>0</v>
      </c>
      <c r="T57" s="239" t="s">
        <v>51</v>
      </c>
      <c r="U57" s="213" t="s">
        <v>51</v>
      </c>
      <c r="V57" s="244">
        <v>45931</v>
      </c>
      <c r="W57" s="237">
        <v>0</v>
      </c>
      <c r="X57" s="239" t="s">
        <v>51</v>
      </c>
      <c r="Y57" s="213" t="s">
        <v>51</v>
      </c>
      <c r="Z57" s="244">
        <v>45962</v>
      </c>
      <c r="AA57" s="237">
        <v>0</v>
      </c>
      <c r="AB57" s="239" t="s">
        <v>51</v>
      </c>
      <c r="AC57" s="213" t="s">
        <v>51</v>
      </c>
      <c r="AD57" s="244">
        <v>45992</v>
      </c>
      <c r="AE57" s="237">
        <v>0</v>
      </c>
      <c r="AF57" s="239" t="s">
        <v>51</v>
      </c>
      <c r="AG57" s="213" t="s">
        <v>51</v>
      </c>
      <c r="AH57" s="244">
        <v>46023</v>
      </c>
      <c r="AI57" s="237">
        <v>0</v>
      </c>
      <c r="AJ57" s="239" t="s">
        <v>51</v>
      </c>
      <c r="AK57" s="213" t="s">
        <v>51</v>
      </c>
      <c r="AL57" s="244">
        <v>46054</v>
      </c>
      <c r="AM57" s="237">
        <v>0</v>
      </c>
      <c r="AN57" s="239" t="s">
        <v>51</v>
      </c>
      <c r="AO57" s="213" t="s">
        <v>51</v>
      </c>
      <c r="AP57" s="244">
        <v>46082</v>
      </c>
      <c r="AQ57" s="237">
        <v>0</v>
      </c>
      <c r="AR57" s="239" t="s">
        <v>51</v>
      </c>
      <c r="AS57" s="213" t="s">
        <v>51</v>
      </c>
      <c r="AT57" s="244">
        <v>46113</v>
      </c>
      <c r="AU57" s="237">
        <v>0</v>
      </c>
      <c r="AV57" s="239" t="s">
        <v>51</v>
      </c>
      <c r="AW57" s="213" t="s">
        <v>51</v>
      </c>
      <c r="AY57" s="213" t="s">
        <v>263</v>
      </c>
      <c r="AZ57" s="210" t="b">
        <v>1</v>
      </c>
    </row>
    <row r="58" spans="1:52" x14ac:dyDescent="0.25">
      <c r="A58" s="957" t="b">
        <f t="shared" si="4"/>
        <v>1</v>
      </c>
      <c r="B58" s="235">
        <v>45778</v>
      </c>
      <c r="C58" s="237">
        <v>0</v>
      </c>
      <c r="D58" s="239" t="s">
        <v>51</v>
      </c>
      <c r="E58" s="242" t="s">
        <v>51</v>
      </c>
      <c r="F58" s="244">
        <v>45809</v>
      </c>
      <c r="G58" s="237">
        <v>0</v>
      </c>
      <c r="H58" s="239" t="s">
        <v>51</v>
      </c>
      <c r="I58" s="242" t="s">
        <v>51</v>
      </c>
      <c r="J58" s="244">
        <v>45839</v>
      </c>
      <c r="K58" s="237">
        <v>0</v>
      </c>
      <c r="L58" s="239" t="s">
        <v>51</v>
      </c>
      <c r="M58" s="213" t="s">
        <v>51</v>
      </c>
      <c r="N58" s="244">
        <v>45870</v>
      </c>
      <c r="O58" s="237">
        <v>0</v>
      </c>
      <c r="P58" s="239" t="s">
        <v>51</v>
      </c>
      <c r="Q58" s="213" t="s">
        <v>51</v>
      </c>
      <c r="R58" s="244">
        <v>45901</v>
      </c>
      <c r="S58" s="237">
        <v>700</v>
      </c>
      <c r="T58" s="239">
        <v>45887</v>
      </c>
      <c r="U58" s="213" t="s">
        <v>295</v>
      </c>
      <c r="V58" s="244">
        <v>45931</v>
      </c>
      <c r="W58" s="237">
        <v>0</v>
      </c>
      <c r="X58" s="239" t="s">
        <v>51</v>
      </c>
      <c r="Y58" s="213" t="s">
        <v>51</v>
      </c>
      <c r="Z58" s="244">
        <v>45962</v>
      </c>
      <c r="AA58" s="237">
        <v>0</v>
      </c>
      <c r="AB58" s="239" t="s">
        <v>51</v>
      </c>
      <c r="AC58" s="213" t="s">
        <v>51</v>
      </c>
      <c r="AD58" s="244">
        <v>45992</v>
      </c>
      <c r="AE58" s="237">
        <v>0</v>
      </c>
      <c r="AF58" s="239" t="s">
        <v>51</v>
      </c>
      <c r="AG58" s="213" t="s">
        <v>51</v>
      </c>
      <c r="AH58" s="244">
        <v>46023</v>
      </c>
      <c r="AI58" s="237">
        <v>0</v>
      </c>
      <c r="AJ58" s="239" t="s">
        <v>51</v>
      </c>
      <c r="AK58" s="213" t="s">
        <v>51</v>
      </c>
      <c r="AL58" s="244">
        <v>46054</v>
      </c>
      <c r="AM58" s="237">
        <v>0</v>
      </c>
      <c r="AN58" s="239" t="s">
        <v>51</v>
      </c>
      <c r="AO58" s="213" t="s">
        <v>51</v>
      </c>
      <c r="AP58" s="244">
        <v>46082</v>
      </c>
      <c r="AQ58" s="237">
        <v>0</v>
      </c>
      <c r="AR58" s="239" t="s">
        <v>51</v>
      </c>
      <c r="AS58" s="213" t="s">
        <v>51</v>
      </c>
      <c r="AT58" s="244">
        <v>46113</v>
      </c>
      <c r="AU58" s="237">
        <v>0</v>
      </c>
      <c r="AV58" s="239" t="s">
        <v>51</v>
      </c>
      <c r="AW58" s="213" t="s">
        <v>51</v>
      </c>
      <c r="AY58" s="213" t="s">
        <v>294</v>
      </c>
      <c r="AZ58" s="210" t="b">
        <v>1</v>
      </c>
    </row>
    <row r="59" spans="1:52" x14ac:dyDescent="0.25">
      <c r="A59" s="957" t="b">
        <f t="shared" si="4"/>
        <v>1</v>
      </c>
      <c r="B59" s="235">
        <v>45778</v>
      </c>
      <c r="C59" s="237">
        <v>0</v>
      </c>
      <c r="D59" s="239" t="s">
        <v>51</v>
      </c>
      <c r="E59" s="242" t="s">
        <v>51</v>
      </c>
      <c r="F59" s="244">
        <v>45809</v>
      </c>
      <c r="G59" s="237">
        <v>0</v>
      </c>
      <c r="H59" s="239" t="s">
        <v>51</v>
      </c>
      <c r="I59" s="242" t="s">
        <v>51</v>
      </c>
      <c r="J59" s="244">
        <v>45839</v>
      </c>
      <c r="K59" s="237">
        <v>0</v>
      </c>
      <c r="L59" s="239" t="s">
        <v>51</v>
      </c>
      <c r="M59" s="213" t="s">
        <v>51</v>
      </c>
      <c r="N59" s="244">
        <v>45870</v>
      </c>
      <c r="O59" s="237">
        <v>0</v>
      </c>
      <c r="P59" s="239" t="s">
        <v>51</v>
      </c>
      <c r="Q59" s="213" t="s">
        <v>51</v>
      </c>
      <c r="R59" s="244">
        <v>45901</v>
      </c>
      <c r="S59" s="237">
        <v>0</v>
      </c>
      <c r="T59" s="239" t="s">
        <v>51</v>
      </c>
      <c r="U59" s="213" t="s">
        <v>51</v>
      </c>
      <c r="V59" s="244">
        <v>45931</v>
      </c>
      <c r="W59" s="237">
        <v>74.95</v>
      </c>
      <c r="X59" s="239">
        <v>45908</v>
      </c>
      <c r="Y59" s="213" t="s">
        <v>364</v>
      </c>
      <c r="Z59" s="244">
        <v>45962</v>
      </c>
      <c r="AA59" s="237">
        <v>0</v>
      </c>
      <c r="AB59" s="239" t="s">
        <v>51</v>
      </c>
      <c r="AC59" s="213" t="s">
        <v>51</v>
      </c>
      <c r="AD59" s="244">
        <v>45992</v>
      </c>
      <c r="AE59" s="237">
        <v>0</v>
      </c>
      <c r="AF59" s="239" t="s">
        <v>51</v>
      </c>
      <c r="AG59" s="213" t="s">
        <v>51</v>
      </c>
      <c r="AH59" s="244">
        <v>46023</v>
      </c>
      <c r="AI59" s="237">
        <v>0</v>
      </c>
      <c r="AJ59" s="239" t="s">
        <v>51</v>
      </c>
      <c r="AK59" s="213" t="s">
        <v>51</v>
      </c>
      <c r="AL59" s="244">
        <v>46054</v>
      </c>
      <c r="AM59" s="237">
        <v>0</v>
      </c>
      <c r="AN59" s="239" t="s">
        <v>51</v>
      </c>
      <c r="AO59" s="213" t="s">
        <v>51</v>
      </c>
      <c r="AP59" s="244">
        <v>46082</v>
      </c>
      <c r="AQ59" s="237">
        <v>0</v>
      </c>
      <c r="AR59" s="239" t="s">
        <v>51</v>
      </c>
      <c r="AS59" s="213" t="s">
        <v>51</v>
      </c>
      <c r="AT59" s="244">
        <v>46113</v>
      </c>
      <c r="AU59" s="237">
        <v>0</v>
      </c>
      <c r="AV59" s="239" t="s">
        <v>51</v>
      </c>
      <c r="AW59" s="213" t="s">
        <v>51</v>
      </c>
      <c r="AY59" s="213" t="s">
        <v>363</v>
      </c>
      <c r="AZ59" s="210" t="b">
        <v>1</v>
      </c>
    </row>
    <row r="60" spans="1:52" x14ac:dyDescent="0.25">
      <c r="A60" s="957" t="b">
        <f t="shared" si="4"/>
        <v>1</v>
      </c>
      <c r="B60" s="235">
        <v>45778</v>
      </c>
      <c r="C60" s="237">
        <v>0</v>
      </c>
      <c r="D60" s="239" t="s">
        <v>51</v>
      </c>
      <c r="E60" s="242" t="s">
        <v>51</v>
      </c>
      <c r="F60" s="244">
        <v>45809</v>
      </c>
      <c r="G60" s="237">
        <v>0</v>
      </c>
      <c r="H60" s="239" t="s">
        <v>51</v>
      </c>
      <c r="I60" s="242" t="s">
        <v>51</v>
      </c>
      <c r="J60" s="244">
        <v>45839</v>
      </c>
      <c r="K60" s="237">
        <v>120.9</v>
      </c>
      <c r="L60" s="239">
        <v>45834</v>
      </c>
      <c r="M60" s="213" t="s">
        <v>86</v>
      </c>
      <c r="N60" s="244">
        <v>45870</v>
      </c>
      <c r="O60" s="237">
        <v>0</v>
      </c>
      <c r="P60" s="239" t="s">
        <v>51</v>
      </c>
      <c r="Q60" s="242" t="s">
        <v>51</v>
      </c>
      <c r="R60" s="244">
        <v>45901</v>
      </c>
      <c r="S60" s="237">
        <v>0</v>
      </c>
      <c r="T60" s="239" t="s">
        <v>51</v>
      </c>
      <c r="U60" s="242" t="s">
        <v>51</v>
      </c>
      <c r="V60" s="244">
        <v>45931</v>
      </c>
      <c r="W60" s="237">
        <v>0</v>
      </c>
      <c r="X60" s="239" t="s">
        <v>51</v>
      </c>
      <c r="Y60" s="242" t="s">
        <v>51</v>
      </c>
      <c r="Z60" s="244">
        <v>45962</v>
      </c>
      <c r="AA60" s="237">
        <v>0</v>
      </c>
      <c r="AB60" s="239" t="s">
        <v>51</v>
      </c>
      <c r="AC60" s="242" t="s">
        <v>51</v>
      </c>
      <c r="AD60" s="244">
        <v>45992</v>
      </c>
      <c r="AE60" s="237">
        <v>0</v>
      </c>
      <c r="AF60" s="239" t="s">
        <v>51</v>
      </c>
      <c r="AG60" s="242" t="s">
        <v>51</v>
      </c>
      <c r="AH60" s="244">
        <v>46023</v>
      </c>
      <c r="AI60" s="237">
        <v>0</v>
      </c>
      <c r="AJ60" s="239" t="s">
        <v>51</v>
      </c>
      <c r="AK60" s="242" t="s">
        <v>51</v>
      </c>
      <c r="AL60" s="244">
        <v>46054</v>
      </c>
      <c r="AM60" s="237">
        <v>0</v>
      </c>
      <c r="AN60" s="239" t="s">
        <v>51</v>
      </c>
      <c r="AO60" s="242" t="s">
        <v>51</v>
      </c>
      <c r="AP60" s="244">
        <v>46082</v>
      </c>
      <c r="AQ60" s="237">
        <v>0</v>
      </c>
      <c r="AR60" s="239" t="s">
        <v>51</v>
      </c>
      <c r="AS60" s="242" t="s">
        <v>51</v>
      </c>
      <c r="AT60" s="244">
        <v>46113</v>
      </c>
      <c r="AU60" s="237">
        <v>0</v>
      </c>
      <c r="AV60" s="239" t="s">
        <v>51</v>
      </c>
      <c r="AW60" s="242" t="s">
        <v>51</v>
      </c>
      <c r="AY60" s="213" t="s">
        <v>38</v>
      </c>
      <c r="AZ60" s="210" t="b">
        <v>1</v>
      </c>
    </row>
    <row r="61" spans="1:52" x14ac:dyDescent="0.25">
      <c r="A61" s="957" t="b">
        <f t="shared" si="4"/>
        <v>1</v>
      </c>
      <c r="B61" s="235">
        <v>45778</v>
      </c>
      <c r="C61" s="237">
        <v>0</v>
      </c>
      <c r="D61" s="239" t="s">
        <v>51</v>
      </c>
      <c r="E61" s="242" t="s">
        <v>51</v>
      </c>
      <c r="F61" s="244">
        <v>45809</v>
      </c>
      <c r="G61" s="237">
        <v>0</v>
      </c>
      <c r="H61" s="239" t="s">
        <v>51</v>
      </c>
      <c r="I61" s="242" t="s">
        <v>51</v>
      </c>
      <c r="J61" s="244">
        <v>45839</v>
      </c>
      <c r="K61" s="237">
        <v>477.87</v>
      </c>
      <c r="L61" s="239">
        <v>45833</v>
      </c>
      <c r="M61" s="213" t="s">
        <v>86</v>
      </c>
      <c r="N61" s="244">
        <v>45870</v>
      </c>
      <c r="O61" s="237">
        <v>0</v>
      </c>
      <c r="P61" s="239" t="s">
        <v>51</v>
      </c>
      <c r="Q61" s="242" t="s">
        <v>51</v>
      </c>
      <c r="R61" s="244">
        <v>45901</v>
      </c>
      <c r="S61" s="237">
        <v>0</v>
      </c>
      <c r="T61" s="239" t="s">
        <v>51</v>
      </c>
      <c r="U61" s="242" t="s">
        <v>51</v>
      </c>
      <c r="V61" s="244">
        <v>45931</v>
      </c>
      <c r="W61" s="237">
        <v>0</v>
      </c>
      <c r="X61" s="239" t="s">
        <v>51</v>
      </c>
      <c r="Y61" s="242" t="s">
        <v>51</v>
      </c>
      <c r="Z61" s="244">
        <v>45962</v>
      </c>
      <c r="AA61" s="237">
        <v>0</v>
      </c>
      <c r="AB61" s="239" t="s">
        <v>51</v>
      </c>
      <c r="AC61" s="242" t="s">
        <v>51</v>
      </c>
      <c r="AD61" s="244">
        <v>45992</v>
      </c>
      <c r="AE61" s="237">
        <v>0</v>
      </c>
      <c r="AF61" s="239" t="s">
        <v>51</v>
      </c>
      <c r="AG61" s="242" t="s">
        <v>51</v>
      </c>
      <c r="AH61" s="244">
        <v>46023</v>
      </c>
      <c r="AI61" s="237">
        <v>0</v>
      </c>
      <c r="AJ61" s="239" t="s">
        <v>51</v>
      </c>
      <c r="AK61" s="242" t="s">
        <v>51</v>
      </c>
      <c r="AL61" s="244">
        <v>46054</v>
      </c>
      <c r="AM61" s="237">
        <v>0</v>
      </c>
      <c r="AN61" s="239" t="s">
        <v>51</v>
      </c>
      <c r="AO61" s="242" t="s">
        <v>51</v>
      </c>
      <c r="AP61" s="244">
        <v>46082</v>
      </c>
      <c r="AQ61" s="237">
        <v>0</v>
      </c>
      <c r="AR61" s="239" t="s">
        <v>51</v>
      </c>
      <c r="AS61" s="242" t="s">
        <v>51</v>
      </c>
      <c r="AT61" s="244">
        <v>46113</v>
      </c>
      <c r="AU61" s="237">
        <v>0</v>
      </c>
      <c r="AV61" s="239" t="s">
        <v>51</v>
      </c>
      <c r="AW61" s="242" t="s">
        <v>51</v>
      </c>
      <c r="AY61" s="213" t="s">
        <v>40</v>
      </c>
      <c r="AZ61" s="210" t="b">
        <v>1</v>
      </c>
    </row>
    <row r="62" spans="1:52" x14ac:dyDescent="0.25">
      <c r="A62" s="957" t="b">
        <f t="shared" si="4"/>
        <v>1</v>
      </c>
      <c r="B62" s="235">
        <v>45778</v>
      </c>
      <c r="C62" s="237">
        <v>0</v>
      </c>
      <c r="D62" s="239" t="s">
        <v>51</v>
      </c>
      <c r="E62" s="242" t="s">
        <v>51</v>
      </c>
      <c r="F62" s="244">
        <v>45809</v>
      </c>
      <c r="G62" s="237">
        <v>0</v>
      </c>
      <c r="H62" s="239" t="s">
        <v>51</v>
      </c>
      <c r="I62" s="242" t="s">
        <v>51</v>
      </c>
      <c r="J62" s="244">
        <v>45839</v>
      </c>
      <c r="K62" s="237">
        <v>0</v>
      </c>
      <c r="L62" s="239" t="s">
        <v>51</v>
      </c>
      <c r="M62" s="213" t="s">
        <v>51</v>
      </c>
      <c r="N62" s="244">
        <v>45870</v>
      </c>
      <c r="O62" s="237">
        <v>0</v>
      </c>
      <c r="P62" s="239" t="s">
        <v>51</v>
      </c>
      <c r="Q62" s="213" t="s">
        <v>51</v>
      </c>
      <c r="R62" s="244">
        <v>45901</v>
      </c>
      <c r="S62" s="237">
        <v>0</v>
      </c>
      <c r="T62" s="239" t="s">
        <v>51</v>
      </c>
      <c r="U62" s="213" t="s">
        <v>51</v>
      </c>
      <c r="V62" s="244">
        <v>45931</v>
      </c>
      <c r="W62" s="237">
        <v>36.9</v>
      </c>
      <c r="X62" s="239">
        <v>45923</v>
      </c>
      <c r="Y62" s="213" t="s">
        <v>86</v>
      </c>
      <c r="Z62" s="244">
        <v>45962</v>
      </c>
      <c r="AA62" s="237">
        <v>0</v>
      </c>
      <c r="AB62" s="239" t="s">
        <v>51</v>
      </c>
      <c r="AC62" s="242" t="s">
        <v>51</v>
      </c>
      <c r="AD62" s="244">
        <v>45992</v>
      </c>
      <c r="AE62" s="237">
        <v>0</v>
      </c>
      <c r="AF62" s="239" t="s">
        <v>51</v>
      </c>
      <c r="AG62" s="242" t="s">
        <v>51</v>
      </c>
      <c r="AH62" s="244">
        <v>46023</v>
      </c>
      <c r="AI62" s="237">
        <v>0</v>
      </c>
      <c r="AJ62" s="239" t="s">
        <v>51</v>
      </c>
      <c r="AK62" s="242" t="s">
        <v>51</v>
      </c>
      <c r="AL62" s="244">
        <v>46054</v>
      </c>
      <c r="AM62" s="237">
        <v>0</v>
      </c>
      <c r="AN62" s="239" t="s">
        <v>51</v>
      </c>
      <c r="AO62" s="242" t="s">
        <v>51</v>
      </c>
      <c r="AP62" s="244">
        <v>46082</v>
      </c>
      <c r="AQ62" s="237">
        <v>0</v>
      </c>
      <c r="AR62" s="239" t="s">
        <v>51</v>
      </c>
      <c r="AS62" s="242" t="s">
        <v>51</v>
      </c>
      <c r="AT62" s="244">
        <v>46113</v>
      </c>
      <c r="AU62" s="237">
        <v>0</v>
      </c>
      <c r="AV62" s="239" t="s">
        <v>51</v>
      </c>
      <c r="AW62" s="242" t="s">
        <v>51</v>
      </c>
      <c r="AY62" s="213" t="s">
        <v>370</v>
      </c>
      <c r="AZ62" s="210" t="b">
        <v>1</v>
      </c>
    </row>
    <row r="63" spans="1:52" x14ac:dyDescent="0.25">
      <c r="A63" s="957" t="b">
        <f t="shared" si="4"/>
        <v>1</v>
      </c>
      <c r="B63" s="235">
        <v>45778</v>
      </c>
      <c r="C63" s="237">
        <v>0</v>
      </c>
      <c r="D63" s="239" t="s">
        <v>51</v>
      </c>
      <c r="E63" s="242" t="s">
        <v>51</v>
      </c>
      <c r="F63" s="244">
        <v>45809</v>
      </c>
      <c r="G63" s="237">
        <v>0</v>
      </c>
      <c r="H63" s="239" t="s">
        <v>51</v>
      </c>
      <c r="I63" s="242" t="s">
        <v>51</v>
      </c>
      <c r="J63" s="244">
        <v>45839</v>
      </c>
      <c r="K63" s="237">
        <v>0</v>
      </c>
      <c r="L63" s="239" t="s">
        <v>51</v>
      </c>
      <c r="M63" s="213" t="s">
        <v>51</v>
      </c>
      <c r="N63" s="244">
        <v>45870</v>
      </c>
      <c r="O63" s="237">
        <v>0</v>
      </c>
      <c r="P63" s="239" t="s">
        <v>51</v>
      </c>
      <c r="Q63" s="213" t="s">
        <v>51</v>
      </c>
      <c r="R63" s="244">
        <v>45901</v>
      </c>
      <c r="S63" s="237">
        <v>0</v>
      </c>
      <c r="T63" s="239" t="s">
        <v>51</v>
      </c>
      <c r="U63" s="213" t="s">
        <v>51</v>
      </c>
      <c r="V63" s="244">
        <v>45931</v>
      </c>
      <c r="W63" s="237">
        <v>0</v>
      </c>
      <c r="X63" s="239" t="s">
        <v>51</v>
      </c>
      <c r="Y63" s="213" t="s">
        <v>51</v>
      </c>
      <c r="Z63" s="244">
        <v>45962</v>
      </c>
      <c r="AA63" s="237">
        <v>0</v>
      </c>
      <c r="AB63" s="239" t="s">
        <v>51</v>
      </c>
      <c r="AC63" s="213" t="s">
        <v>51</v>
      </c>
      <c r="AD63" s="244">
        <v>45992</v>
      </c>
      <c r="AE63" s="237">
        <v>120</v>
      </c>
      <c r="AF63" s="239">
        <v>45968</v>
      </c>
      <c r="AG63" s="213" t="s">
        <v>86</v>
      </c>
      <c r="AH63" s="244">
        <v>46023</v>
      </c>
      <c r="AI63" s="237">
        <v>0</v>
      </c>
      <c r="AJ63" s="239" t="s">
        <v>51</v>
      </c>
      <c r="AK63" s="213" t="s">
        <v>51</v>
      </c>
      <c r="AL63" s="244">
        <v>46054</v>
      </c>
      <c r="AM63" s="237">
        <v>0</v>
      </c>
      <c r="AN63" s="239" t="s">
        <v>51</v>
      </c>
      <c r="AO63" s="213" t="s">
        <v>51</v>
      </c>
      <c r="AP63" s="244">
        <v>46082</v>
      </c>
      <c r="AQ63" s="237">
        <v>0</v>
      </c>
      <c r="AR63" s="239" t="s">
        <v>51</v>
      </c>
      <c r="AS63" s="213" t="s">
        <v>51</v>
      </c>
      <c r="AT63" s="244">
        <v>46113</v>
      </c>
      <c r="AU63" s="237">
        <v>0</v>
      </c>
      <c r="AV63" s="239" t="s">
        <v>51</v>
      </c>
      <c r="AW63" s="213" t="s">
        <v>51</v>
      </c>
      <c r="AY63" s="213" t="s">
        <v>485</v>
      </c>
      <c r="AZ63" s="210" t="b">
        <v>1</v>
      </c>
    </row>
    <row r="64" spans="1:52" x14ac:dyDescent="0.25">
      <c r="A64" s="957" t="b">
        <f t="shared" si="4"/>
        <v>1</v>
      </c>
      <c r="B64" s="235">
        <v>45778</v>
      </c>
      <c r="C64" s="237">
        <v>0</v>
      </c>
      <c r="D64" s="239" t="s">
        <v>51</v>
      </c>
      <c r="E64" s="242" t="s">
        <v>51</v>
      </c>
      <c r="F64" s="244">
        <v>45809</v>
      </c>
      <c r="G64" s="237">
        <v>0</v>
      </c>
      <c r="H64" s="239" t="s">
        <v>51</v>
      </c>
      <c r="I64" s="242" t="s">
        <v>51</v>
      </c>
      <c r="J64" s="244">
        <v>45839</v>
      </c>
      <c r="K64" s="237">
        <v>0</v>
      </c>
      <c r="L64" s="239" t="s">
        <v>51</v>
      </c>
      <c r="M64" s="213" t="s">
        <v>51</v>
      </c>
      <c r="N64" s="244">
        <v>45870</v>
      </c>
      <c r="O64" s="237">
        <v>0</v>
      </c>
      <c r="P64" s="239" t="s">
        <v>51</v>
      </c>
      <c r="Q64" s="213" t="s">
        <v>51</v>
      </c>
      <c r="R64" s="244">
        <v>45901</v>
      </c>
      <c r="S64" s="237">
        <v>0</v>
      </c>
      <c r="T64" s="239" t="s">
        <v>51</v>
      </c>
      <c r="U64" s="213" t="s">
        <v>51</v>
      </c>
      <c r="V64" s="244">
        <v>45931</v>
      </c>
      <c r="W64" s="237">
        <v>0</v>
      </c>
      <c r="X64" s="239" t="s">
        <v>51</v>
      </c>
      <c r="Y64" s="213" t="s">
        <v>51</v>
      </c>
      <c r="Z64" s="244">
        <v>45962</v>
      </c>
      <c r="AA64" s="237">
        <v>0</v>
      </c>
      <c r="AB64" s="239" t="s">
        <v>51</v>
      </c>
      <c r="AC64" s="213" t="s">
        <v>51</v>
      </c>
      <c r="AD64" s="244">
        <v>45992</v>
      </c>
      <c r="AE64" s="237">
        <v>17.899999999999999</v>
      </c>
      <c r="AF64" s="239">
        <v>45993</v>
      </c>
      <c r="AG64" s="213" t="s">
        <v>479</v>
      </c>
      <c r="AH64" s="244">
        <v>46023</v>
      </c>
      <c r="AI64" s="237">
        <v>0</v>
      </c>
      <c r="AJ64" s="239" t="s">
        <v>51</v>
      </c>
      <c r="AK64" s="213" t="s">
        <v>51</v>
      </c>
      <c r="AL64" s="244">
        <v>46054</v>
      </c>
      <c r="AM64" s="237">
        <v>0</v>
      </c>
      <c r="AN64" s="239" t="s">
        <v>51</v>
      </c>
      <c r="AO64" s="213" t="s">
        <v>51</v>
      </c>
      <c r="AP64" s="244">
        <v>46082</v>
      </c>
      <c r="AQ64" s="237">
        <v>0</v>
      </c>
      <c r="AR64" s="239" t="s">
        <v>51</v>
      </c>
      <c r="AS64" s="213" t="s">
        <v>51</v>
      </c>
      <c r="AT64" s="244">
        <v>46113</v>
      </c>
      <c r="AU64" s="237">
        <v>0</v>
      </c>
      <c r="AV64" s="239" t="s">
        <v>51</v>
      </c>
      <c r="AW64" s="213" t="s">
        <v>51</v>
      </c>
      <c r="AY64" s="213" t="s">
        <v>478</v>
      </c>
      <c r="AZ64" s="210" t="b">
        <v>1</v>
      </c>
    </row>
    <row r="65" spans="1:52" x14ac:dyDescent="0.25">
      <c r="A65" s="957" t="b">
        <f t="shared" si="4"/>
        <v>1</v>
      </c>
      <c r="B65" s="235">
        <v>45778</v>
      </c>
      <c r="C65" s="237">
        <v>0</v>
      </c>
      <c r="D65" s="239" t="s">
        <v>51</v>
      </c>
      <c r="E65" s="242" t="s">
        <v>51</v>
      </c>
      <c r="F65" s="244">
        <v>45809</v>
      </c>
      <c r="G65" s="237">
        <v>0</v>
      </c>
      <c r="H65" s="239" t="s">
        <v>51</v>
      </c>
      <c r="I65" s="242" t="s">
        <v>51</v>
      </c>
      <c r="J65" s="244">
        <v>45839</v>
      </c>
      <c r="K65" s="237">
        <v>0</v>
      </c>
      <c r="L65" s="239" t="s">
        <v>51</v>
      </c>
      <c r="M65" s="213" t="s">
        <v>51</v>
      </c>
      <c r="N65" s="244">
        <v>45870</v>
      </c>
      <c r="O65" s="237">
        <v>0</v>
      </c>
      <c r="P65" s="239" t="s">
        <v>51</v>
      </c>
      <c r="Q65" s="213" t="s">
        <v>51</v>
      </c>
      <c r="R65" s="244">
        <v>45901</v>
      </c>
      <c r="S65" s="237">
        <v>0</v>
      </c>
      <c r="T65" s="239" t="s">
        <v>51</v>
      </c>
      <c r="U65" s="213" t="s">
        <v>51</v>
      </c>
      <c r="V65" s="244">
        <v>45931</v>
      </c>
      <c r="W65" s="237">
        <v>0</v>
      </c>
      <c r="X65" s="239" t="s">
        <v>51</v>
      </c>
      <c r="Y65" s="213" t="s">
        <v>51</v>
      </c>
      <c r="Z65" s="244">
        <v>45962</v>
      </c>
      <c r="AA65" s="237">
        <v>0</v>
      </c>
      <c r="AB65" s="239" t="s">
        <v>51</v>
      </c>
      <c r="AC65" s="213" t="s">
        <v>51</v>
      </c>
      <c r="AD65" s="244">
        <v>45992</v>
      </c>
      <c r="AE65" s="237">
        <v>124</v>
      </c>
      <c r="AF65" s="239">
        <v>45993</v>
      </c>
      <c r="AG65" s="213" t="s">
        <v>481</v>
      </c>
      <c r="AH65" s="244">
        <v>46023</v>
      </c>
      <c r="AI65" s="237">
        <v>0</v>
      </c>
      <c r="AJ65" s="239" t="s">
        <v>51</v>
      </c>
      <c r="AK65" s="213" t="s">
        <v>51</v>
      </c>
      <c r="AL65" s="244">
        <v>46054</v>
      </c>
      <c r="AM65" s="237">
        <v>0</v>
      </c>
      <c r="AN65" s="239" t="s">
        <v>51</v>
      </c>
      <c r="AO65" s="213" t="s">
        <v>51</v>
      </c>
      <c r="AP65" s="244">
        <v>46082</v>
      </c>
      <c r="AQ65" s="237">
        <v>0</v>
      </c>
      <c r="AR65" s="239" t="s">
        <v>51</v>
      </c>
      <c r="AS65" s="213" t="s">
        <v>51</v>
      </c>
      <c r="AT65" s="244">
        <v>46113</v>
      </c>
      <c r="AU65" s="237">
        <v>0</v>
      </c>
      <c r="AV65" s="239" t="s">
        <v>51</v>
      </c>
      <c r="AW65" s="213" t="s">
        <v>51</v>
      </c>
      <c r="AY65" s="213" t="s">
        <v>480</v>
      </c>
      <c r="AZ65" s="210" t="b">
        <v>1</v>
      </c>
    </row>
    <row r="66" spans="1:52" ht="38.25" x14ac:dyDescent="0.25">
      <c r="A66" s="957" t="b">
        <f t="shared" si="4"/>
        <v>1</v>
      </c>
      <c r="B66" s="235">
        <v>45778</v>
      </c>
      <c r="C66" s="237">
        <v>0</v>
      </c>
      <c r="D66" s="239" t="s">
        <v>51</v>
      </c>
      <c r="E66" s="242" t="s">
        <v>51</v>
      </c>
      <c r="F66" s="244">
        <v>45809</v>
      </c>
      <c r="G66" s="237">
        <v>0</v>
      </c>
      <c r="H66" s="239" t="s">
        <v>51</v>
      </c>
      <c r="I66" s="242" t="s">
        <v>51</v>
      </c>
      <c r="J66" s="244">
        <v>45839</v>
      </c>
      <c r="K66" s="237">
        <v>0</v>
      </c>
      <c r="L66" s="239" t="s">
        <v>51</v>
      </c>
      <c r="M66" s="213" t="s">
        <v>51</v>
      </c>
      <c r="N66" s="244">
        <v>45870</v>
      </c>
      <c r="O66" s="237">
        <v>0</v>
      </c>
      <c r="P66" s="239" t="s">
        <v>51</v>
      </c>
      <c r="Q66" s="213" t="s">
        <v>51</v>
      </c>
      <c r="R66" s="244">
        <v>45901</v>
      </c>
      <c r="S66" s="237">
        <v>0</v>
      </c>
      <c r="T66" s="239" t="s">
        <v>51</v>
      </c>
      <c r="U66" s="213" t="s">
        <v>51</v>
      </c>
      <c r="V66" s="244">
        <v>45931</v>
      </c>
      <c r="W66" s="237">
        <v>0</v>
      </c>
      <c r="X66" s="239" t="s">
        <v>51</v>
      </c>
      <c r="Y66" s="213" t="s">
        <v>51</v>
      </c>
      <c r="Z66" s="244">
        <v>45962</v>
      </c>
      <c r="AA66" s="237">
        <v>0</v>
      </c>
      <c r="AB66" s="239" t="s">
        <v>51</v>
      </c>
      <c r="AC66" s="213" t="s">
        <v>51</v>
      </c>
      <c r="AD66" s="244">
        <v>45992</v>
      </c>
      <c r="AE66" s="237">
        <v>0</v>
      </c>
      <c r="AF66" s="239" t="s">
        <v>51</v>
      </c>
      <c r="AG66" s="213" t="s">
        <v>51</v>
      </c>
      <c r="AH66" s="244">
        <v>46023</v>
      </c>
      <c r="AI66" s="237">
        <v>0</v>
      </c>
      <c r="AJ66" s="239" t="s">
        <v>51</v>
      </c>
      <c r="AK66" s="213" t="s">
        <v>51</v>
      </c>
      <c r="AL66" s="244">
        <v>46054</v>
      </c>
      <c r="AM66" s="237">
        <v>0</v>
      </c>
      <c r="AN66" s="239" t="s">
        <v>51</v>
      </c>
      <c r="AO66" s="213" t="s">
        <v>51</v>
      </c>
      <c r="AP66" s="244">
        <v>46082</v>
      </c>
      <c r="AQ66" s="237">
        <v>0</v>
      </c>
      <c r="AR66" s="239" t="s">
        <v>51</v>
      </c>
      <c r="AS66" s="213" t="s">
        <v>51</v>
      </c>
      <c r="AT66" s="244">
        <v>46113</v>
      </c>
      <c r="AU66" s="237">
        <v>0</v>
      </c>
      <c r="AV66" s="239" t="s">
        <v>51</v>
      </c>
      <c r="AW66" s="213" t="s">
        <v>51</v>
      </c>
      <c r="AY66" s="233" t="s">
        <v>526</v>
      </c>
      <c r="AZ66" s="210" t="b">
        <v>1</v>
      </c>
    </row>
    <row r="67" spans="1:52" x14ac:dyDescent="0.25">
      <c r="A67" s="957" t="b">
        <f t="shared" si="4"/>
        <v>1</v>
      </c>
      <c r="B67" s="235">
        <v>45778</v>
      </c>
      <c r="C67" s="237">
        <v>3043.1800000000003</v>
      </c>
      <c r="D67" s="240">
        <v>45824</v>
      </c>
      <c r="E67" s="213" t="s">
        <v>51</v>
      </c>
      <c r="F67" s="244">
        <v>45809</v>
      </c>
      <c r="G67" s="237">
        <v>4380.4100000000008</v>
      </c>
      <c r="H67" s="240">
        <v>45853</v>
      </c>
      <c r="I67" s="213" t="s">
        <v>51</v>
      </c>
      <c r="J67" s="244">
        <v>45839</v>
      </c>
      <c r="K67" s="237">
        <v>3870.3299999999995</v>
      </c>
      <c r="L67" s="240">
        <v>45887</v>
      </c>
      <c r="M67" s="242" t="s">
        <v>51</v>
      </c>
      <c r="N67" s="244">
        <v>45870</v>
      </c>
      <c r="O67" s="237">
        <v>650.78</v>
      </c>
      <c r="P67" s="240">
        <v>45915</v>
      </c>
      <c r="Q67" s="242" t="s">
        <v>51</v>
      </c>
      <c r="R67" s="244">
        <v>45901</v>
      </c>
      <c r="S67" s="238">
        <v>5204.8200000000006</v>
      </c>
      <c r="T67" s="240">
        <v>45945</v>
      </c>
      <c r="U67" s="213" t="s">
        <v>51</v>
      </c>
      <c r="V67" s="244">
        <v>45931</v>
      </c>
      <c r="W67" s="238">
        <v>3715.8899999999994</v>
      </c>
      <c r="X67" s="240">
        <v>45978</v>
      </c>
      <c r="Y67" s="213" t="s">
        <v>51</v>
      </c>
      <c r="Z67" s="244">
        <v>45962</v>
      </c>
      <c r="AA67" s="238">
        <v>3062.91</v>
      </c>
      <c r="AB67" s="240">
        <v>46006</v>
      </c>
      <c r="AC67" s="213" t="s">
        <v>51</v>
      </c>
      <c r="AD67" s="244">
        <v>45992</v>
      </c>
      <c r="AE67" s="238">
        <v>3466.7200000000003</v>
      </c>
      <c r="AF67" s="240">
        <v>46037</v>
      </c>
      <c r="AG67" s="213" t="s">
        <v>51</v>
      </c>
      <c r="AH67" s="244">
        <v>46023</v>
      </c>
      <c r="AI67" s="238">
        <v>2101.4300000000003</v>
      </c>
      <c r="AJ67" s="240">
        <v>46071</v>
      </c>
      <c r="AK67" s="213" t="s">
        <v>51</v>
      </c>
      <c r="AL67" s="244">
        <v>46054</v>
      </c>
      <c r="AM67" s="238">
        <v>997.74</v>
      </c>
      <c r="AN67" s="240">
        <v>46099</v>
      </c>
      <c r="AO67" s="213" t="s">
        <v>51</v>
      </c>
      <c r="AP67" s="244">
        <v>46082</v>
      </c>
      <c r="AQ67" s="238">
        <v>1010.35</v>
      </c>
      <c r="AR67" s="240">
        <v>46127</v>
      </c>
      <c r="AS67" s="213" t="s">
        <v>51</v>
      </c>
      <c r="AT67" s="244">
        <v>46113</v>
      </c>
      <c r="AU67" s="238">
        <v>2943.7</v>
      </c>
      <c r="AV67" s="240">
        <v>46157</v>
      </c>
      <c r="AW67" s="213" t="s">
        <v>51</v>
      </c>
      <c r="AY67" s="253" t="s">
        <v>358</v>
      </c>
      <c r="AZ67" s="210" t="b">
        <v>1</v>
      </c>
    </row>
    <row r="68" spans="1:52" x14ac:dyDescent="0.25">
      <c r="A68" s="957" t="b">
        <f t="shared" si="4"/>
        <v>1</v>
      </c>
      <c r="B68" s="235">
        <v>45778</v>
      </c>
      <c r="C68" s="237">
        <v>0</v>
      </c>
      <c r="D68" s="239" t="s">
        <v>51</v>
      </c>
      <c r="E68" s="213" t="s">
        <v>51</v>
      </c>
      <c r="F68" s="244">
        <v>45809</v>
      </c>
      <c r="G68" s="237">
        <v>4277.1899999999996</v>
      </c>
      <c r="H68" s="239">
        <v>45835</v>
      </c>
      <c r="I68" s="213" t="s">
        <v>51</v>
      </c>
      <c r="J68" s="244">
        <v>45839</v>
      </c>
      <c r="K68" s="237">
        <v>0</v>
      </c>
      <c r="L68" s="239" t="s">
        <v>51</v>
      </c>
      <c r="M68" s="213" t="s">
        <v>51</v>
      </c>
      <c r="N68" s="244">
        <v>45870</v>
      </c>
      <c r="O68" s="237">
        <v>0</v>
      </c>
      <c r="P68" s="239" t="s">
        <v>51</v>
      </c>
      <c r="Q68" s="213" t="s">
        <v>51</v>
      </c>
      <c r="R68" s="244">
        <v>45901</v>
      </c>
      <c r="S68" s="237">
        <v>0</v>
      </c>
      <c r="T68" s="239" t="s">
        <v>51</v>
      </c>
      <c r="U68" s="213" t="s">
        <v>51</v>
      </c>
      <c r="V68" s="244">
        <v>45931</v>
      </c>
      <c r="W68" s="237">
        <v>0</v>
      </c>
      <c r="X68" s="239" t="s">
        <v>51</v>
      </c>
      <c r="Y68" s="213" t="s">
        <v>51</v>
      </c>
      <c r="Z68" s="244">
        <v>45962</v>
      </c>
      <c r="AA68" s="237">
        <v>0</v>
      </c>
      <c r="AB68" s="239" t="s">
        <v>51</v>
      </c>
      <c r="AC68" s="213" t="s">
        <v>51</v>
      </c>
      <c r="AD68" s="244">
        <v>45992</v>
      </c>
      <c r="AE68" s="237">
        <v>0</v>
      </c>
      <c r="AF68" s="239" t="s">
        <v>51</v>
      </c>
      <c r="AG68" s="213" t="s">
        <v>51</v>
      </c>
      <c r="AH68" s="244">
        <v>46023</v>
      </c>
      <c r="AI68" s="237">
        <v>0</v>
      </c>
      <c r="AJ68" s="239" t="s">
        <v>51</v>
      </c>
      <c r="AK68" s="213" t="s">
        <v>51</v>
      </c>
      <c r="AL68" s="244">
        <v>46054</v>
      </c>
      <c r="AM68" s="237">
        <v>4846.5</v>
      </c>
      <c r="AN68" s="239">
        <v>46031</v>
      </c>
      <c r="AO68" s="213" t="s">
        <v>51</v>
      </c>
      <c r="AP68" s="244">
        <v>46082</v>
      </c>
      <c r="AQ68" s="237">
        <v>0</v>
      </c>
      <c r="AR68" s="239" t="s">
        <v>51</v>
      </c>
      <c r="AS68" s="213" t="s">
        <v>51</v>
      </c>
      <c r="AT68" s="244">
        <v>46113</v>
      </c>
      <c r="AU68" s="237">
        <v>0</v>
      </c>
      <c r="AV68" s="239" t="s">
        <v>51</v>
      </c>
      <c r="AW68" s="213" t="s">
        <v>51</v>
      </c>
      <c r="AY68" s="253" t="s">
        <v>527</v>
      </c>
      <c r="AZ68" s="210" t="b">
        <v>1</v>
      </c>
    </row>
    <row r="69" spans="1:52" x14ac:dyDescent="0.25">
      <c r="A69" s="957" t="b">
        <f t="shared" si="4"/>
        <v>1</v>
      </c>
      <c r="B69" s="235">
        <v>45778</v>
      </c>
      <c r="C69" s="237">
        <v>0</v>
      </c>
      <c r="D69" s="239" t="s">
        <v>51</v>
      </c>
      <c r="E69" s="242" t="s">
        <v>51</v>
      </c>
      <c r="F69" s="244">
        <v>45809</v>
      </c>
      <c r="G69" s="237">
        <v>638.94000000000005</v>
      </c>
      <c r="H69" s="239">
        <v>45810</v>
      </c>
      <c r="I69" s="213" t="s">
        <v>206</v>
      </c>
      <c r="J69" s="244">
        <v>45839</v>
      </c>
      <c r="K69" s="237">
        <v>0</v>
      </c>
      <c r="L69" s="239" t="s">
        <v>51</v>
      </c>
      <c r="M69" s="213" t="s">
        <v>51</v>
      </c>
      <c r="N69" s="244">
        <v>45870</v>
      </c>
      <c r="O69" s="237">
        <v>0</v>
      </c>
      <c r="P69" s="239" t="s">
        <v>51</v>
      </c>
      <c r="Q69" s="213" t="s">
        <v>51</v>
      </c>
      <c r="R69" s="244">
        <v>45901</v>
      </c>
      <c r="S69" s="237">
        <v>0</v>
      </c>
      <c r="T69" s="239" t="s">
        <v>51</v>
      </c>
      <c r="U69" s="213" t="s">
        <v>51</v>
      </c>
      <c r="V69" s="244">
        <v>45931</v>
      </c>
      <c r="W69" s="237">
        <v>0</v>
      </c>
      <c r="X69" s="239" t="s">
        <v>51</v>
      </c>
      <c r="Y69" s="213" t="s">
        <v>51</v>
      </c>
      <c r="Z69" s="244">
        <v>45962</v>
      </c>
      <c r="AA69" s="237">
        <v>0</v>
      </c>
      <c r="AB69" s="239" t="s">
        <v>51</v>
      </c>
      <c r="AC69" s="213" t="s">
        <v>51</v>
      </c>
      <c r="AD69" s="244">
        <v>45992</v>
      </c>
      <c r="AE69" s="237">
        <v>0</v>
      </c>
      <c r="AF69" s="239" t="s">
        <v>51</v>
      </c>
      <c r="AG69" s="213" t="s">
        <v>51</v>
      </c>
      <c r="AH69" s="244">
        <v>46023</v>
      </c>
      <c r="AI69" s="237">
        <v>0</v>
      </c>
      <c r="AJ69" s="239" t="s">
        <v>51</v>
      </c>
      <c r="AK69" s="213" t="s">
        <v>51</v>
      </c>
      <c r="AL69" s="244">
        <v>46054</v>
      </c>
      <c r="AM69" s="237">
        <v>0</v>
      </c>
      <c r="AN69" s="239" t="s">
        <v>51</v>
      </c>
      <c r="AO69" s="213" t="s">
        <v>51</v>
      </c>
      <c r="AP69" s="244">
        <v>46082</v>
      </c>
      <c r="AQ69" s="237">
        <v>0</v>
      </c>
      <c r="AR69" s="239" t="s">
        <v>51</v>
      </c>
      <c r="AS69" s="213" t="s">
        <v>51</v>
      </c>
      <c r="AT69" s="244">
        <v>46113</v>
      </c>
      <c r="AU69" s="237">
        <v>0</v>
      </c>
      <c r="AV69" s="239" t="s">
        <v>51</v>
      </c>
      <c r="AW69" s="213" t="s">
        <v>51</v>
      </c>
      <c r="AY69" s="253" t="s">
        <v>39</v>
      </c>
      <c r="AZ69" s="210" t="b">
        <v>1</v>
      </c>
    </row>
    <row r="70" spans="1:52" x14ac:dyDescent="0.25">
      <c r="A70" s="957" t="b">
        <f t="shared" si="4"/>
        <v>1</v>
      </c>
      <c r="B70" s="235">
        <v>45778</v>
      </c>
      <c r="C70" s="237">
        <v>0</v>
      </c>
      <c r="D70" s="239" t="s">
        <v>51</v>
      </c>
      <c r="E70" s="242" t="s">
        <v>51</v>
      </c>
      <c r="F70" s="244">
        <v>45809</v>
      </c>
      <c r="G70" s="238">
        <v>5800</v>
      </c>
      <c r="H70" s="239">
        <v>45820</v>
      </c>
      <c r="I70" s="213" t="s">
        <v>209</v>
      </c>
      <c r="J70" s="244">
        <v>45839</v>
      </c>
      <c r="K70" s="237">
        <v>0</v>
      </c>
      <c r="L70" s="239" t="s">
        <v>51</v>
      </c>
      <c r="M70" s="213" t="s">
        <v>51</v>
      </c>
      <c r="N70" s="244">
        <v>45870</v>
      </c>
      <c r="O70" s="238">
        <v>9982.5400000000009</v>
      </c>
      <c r="P70" s="242" t="s">
        <v>267</v>
      </c>
      <c r="Q70" s="213" t="s">
        <v>210</v>
      </c>
      <c r="R70" s="244">
        <v>45901</v>
      </c>
      <c r="S70" s="237">
        <v>0</v>
      </c>
      <c r="T70" s="239" t="s">
        <v>51</v>
      </c>
      <c r="U70" s="213" t="s">
        <v>51</v>
      </c>
      <c r="V70" s="244">
        <v>45931</v>
      </c>
      <c r="W70" s="237">
        <v>0</v>
      </c>
      <c r="X70" s="239" t="s">
        <v>51</v>
      </c>
      <c r="Y70" s="213" t="s">
        <v>51</v>
      </c>
      <c r="Z70" s="244">
        <v>45962</v>
      </c>
      <c r="AA70" s="237">
        <v>0</v>
      </c>
      <c r="AB70" s="239" t="s">
        <v>51</v>
      </c>
      <c r="AC70" s="213" t="s">
        <v>51</v>
      </c>
      <c r="AD70" s="244">
        <v>45992</v>
      </c>
      <c r="AE70" s="237">
        <v>0</v>
      </c>
      <c r="AF70" s="239" t="s">
        <v>51</v>
      </c>
      <c r="AG70" s="213" t="s">
        <v>51</v>
      </c>
      <c r="AH70" s="244">
        <v>46023</v>
      </c>
      <c r="AI70" s="237">
        <v>0</v>
      </c>
      <c r="AJ70" s="239" t="s">
        <v>51</v>
      </c>
      <c r="AK70" s="213" t="s">
        <v>51</v>
      </c>
      <c r="AL70" s="244">
        <v>46054</v>
      </c>
      <c r="AM70" s="237">
        <v>0</v>
      </c>
      <c r="AN70" s="239" t="s">
        <v>51</v>
      </c>
      <c r="AO70" s="213" t="s">
        <v>51</v>
      </c>
      <c r="AP70" s="244">
        <v>46082</v>
      </c>
      <c r="AQ70" s="237">
        <v>0</v>
      </c>
      <c r="AR70" s="239" t="s">
        <v>51</v>
      </c>
      <c r="AS70" s="213" t="s">
        <v>51</v>
      </c>
      <c r="AT70" s="244">
        <v>46113</v>
      </c>
      <c r="AU70" s="237">
        <v>0</v>
      </c>
      <c r="AV70" s="239" t="s">
        <v>51</v>
      </c>
      <c r="AW70" s="213" t="s">
        <v>51</v>
      </c>
      <c r="AY70" s="253" t="s">
        <v>41</v>
      </c>
      <c r="AZ70" s="210" t="b">
        <v>1</v>
      </c>
    </row>
    <row r="71" spans="1:52" x14ac:dyDescent="0.25">
      <c r="A71" s="957" t="b">
        <f t="shared" si="4"/>
        <v>1</v>
      </c>
      <c r="B71" s="235">
        <v>45778</v>
      </c>
      <c r="C71" s="237">
        <v>0</v>
      </c>
      <c r="D71" s="239" t="s">
        <v>51</v>
      </c>
      <c r="E71" s="242" t="s">
        <v>51</v>
      </c>
      <c r="F71" s="244">
        <v>45809</v>
      </c>
      <c r="G71" s="237">
        <v>0</v>
      </c>
      <c r="H71" s="239" t="s">
        <v>51</v>
      </c>
      <c r="I71" s="242" t="s">
        <v>51</v>
      </c>
      <c r="J71" s="244">
        <v>45839</v>
      </c>
      <c r="K71" s="237">
        <v>0</v>
      </c>
      <c r="L71" s="239" t="s">
        <v>51</v>
      </c>
      <c r="M71" s="213" t="s">
        <v>51</v>
      </c>
      <c r="N71" s="244">
        <v>45870</v>
      </c>
      <c r="O71" s="237">
        <v>0</v>
      </c>
      <c r="P71" s="239" t="s">
        <v>51</v>
      </c>
      <c r="Q71" s="213" t="s">
        <v>51</v>
      </c>
      <c r="R71" s="244">
        <v>45901</v>
      </c>
      <c r="S71" s="237">
        <v>0</v>
      </c>
      <c r="T71" s="239" t="s">
        <v>51</v>
      </c>
      <c r="U71" s="213" t="s">
        <v>51</v>
      </c>
      <c r="V71" s="244">
        <v>45931</v>
      </c>
      <c r="W71" s="237">
        <v>509.11</v>
      </c>
      <c r="X71" s="239">
        <v>45919</v>
      </c>
      <c r="Y71" s="213" t="s">
        <v>206</v>
      </c>
      <c r="Z71" s="244">
        <v>45962</v>
      </c>
      <c r="AA71" s="237">
        <v>0</v>
      </c>
      <c r="AB71" s="239" t="s">
        <v>51</v>
      </c>
      <c r="AC71" s="213" t="s">
        <v>51</v>
      </c>
      <c r="AD71" s="244">
        <v>45992</v>
      </c>
      <c r="AE71" s="237">
        <v>0</v>
      </c>
      <c r="AF71" s="239" t="s">
        <v>51</v>
      </c>
      <c r="AG71" s="213" t="s">
        <v>51</v>
      </c>
      <c r="AH71" s="244">
        <v>46023</v>
      </c>
      <c r="AI71" s="237">
        <v>0</v>
      </c>
      <c r="AJ71" s="239" t="s">
        <v>51</v>
      </c>
      <c r="AK71" s="213" t="s">
        <v>51</v>
      </c>
      <c r="AL71" s="244">
        <v>46054</v>
      </c>
      <c r="AM71" s="237">
        <v>0</v>
      </c>
      <c r="AN71" s="239" t="s">
        <v>51</v>
      </c>
      <c r="AO71" s="213" t="s">
        <v>51</v>
      </c>
      <c r="AP71" s="244">
        <v>46082</v>
      </c>
      <c r="AQ71" s="237">
        <v>0</v>
      </c>
      <c r="AR71" s="239" t="s">
        <v>51</v>
      </c>
      <c r="AS71" s="213" t="s">
        <v>51</v>
      </c>
      <c r="AT71" s="244">
        <v>46113</v>
      </c>
      <c r="AU71" s="237">
        <v>0</v>
      </c>
      <c r="AV71" s="239" t="s">
        <v>51</v>
      </c>
      <c r="AW71" s="213" t="s">
        <v>51</v>
      </c>
      <c r="AY71" s="253" t="s">
        <v>362</v>
      </c>
      <c r="AZ71" s="210" t="b">
        <v>1</v>
      </c>
    </row>
    <row r="72" spans="1:52" x14ac:dyDescent="0.25">
      <c r="A72" s="957" t="b">
        <f t="shared" si="4"/>
        <v>1</v>
      </c>
      <c r="B72" s="235">
        <v>45778</v>
      </c>
      <c r="C72" s="237">
        <v>0</v>
      </c>
      <c r="D72" s="239" t="s">
        <v>51</v>
      </c>
      <c r="E72" s="242" t="s">
        <v>51</v>
      </c>
      <c r="F72" s="244">
        <v>45809</v>
      </c>
      <c r="G72" s="237">
        <v>0</v>
      </c>
      <c r="H72" s="239" t="s">
        <v>51</v>
      </c>
      <c r="I72" s="242" t="s">
        <v>51</v>
      </c>
      <c r="J72" s="244">
        <v>45839</v>
      </c>
      <c r="K72" s="237">
        <v>0</v>
      </c>
      <c r="L72" s="239" t="s">
        <v>51</v>
      </c>
      <c r="M72" s="213" t="s">
        <v>51</v>
      </c>
      <c r="N72" s="244">
        <v>45870</v>
      </c>
      <c r="O72" s="237">
        <v>0</v>
      </c>
      <c r="P72" s="239" t="s">
        <v>51</v>
      </c>
      <c r="Q72" s="213" t="s">
        <v>51</v>
      </c>
      <c r="R72" s="244">
        <v>45901</v>
      </c>
      <c r="S72" s="237">
        <v>0</v>
      </c>
      <c r="T72" s="239" t="s">
        <v>51</v>
      </c>
      <c r="U72" s="213" t="s">
        <v>51</v>
      </c>
      <c r="V72" s="244">
        <v>45931</v>
      </c>
      <c r="W72" s="237">
        <v>0</v>
      </c>
      <c r="X72" s="239" t="s">
        <v>51</v>
      </c>
      <c r="Y72" s="213" t="s">
        <v>51</v>
      </c>
      <c r="Z72" s="244">
        <v>45962</v>
      </c>
      <c r="AA72" s="237">
        <v>803.03</v>
      </c>
      <c r="AB72" s="239" t="s">
        <v>426</v>
      </c>
      <c r="AC72" s="213" t="s">
        <v>51</v>
      </c>
      <c r="AD72" s="244">
        <v>45992</v>
      </c>
      <c r="AE72" s="237">
        <v>0</v>
      </c>
      <c r="AF72" s="239" t="s">
        <v>51</v>
      </c>
      <c r="AG72" s="213" t="s">
        <v>51</v>
      </c>
      <c r="AH72" s="244">
        <v>46023</v>
      </c>
      <c r="AI72" s="237">
        <v>0</v>
      </c>
      <c r="AJ72" s="239" t="s">
        <v>51</v>
      </c>
      <c r="AK72" s="213" t="s">
        <v>51</v>
      </c>
      <c r="AL72" s="244">
        <v>46054</v>
      </c>
      <c r="AM72" s="237">
        <v>0</v>
      </c>
      <c r="AN72" s="239" t="s">
        <v>51</v>
      </c>
      <c r="AO72" s="213" t="s">
        <v>51</v>
      </c>
      <c r="AP72" s="244">
        <v>46082</v>
      </c>
      <c r="AQ72" s="237">
        <v>0</v>
      </c>
      <c r="AR72" s="239" t="s">
        <v>51</v>
      </c>
      <c r="AS72" s="213" t="s">
        <v>51</v>
      </c>
      <c r="AT72" s="244">
        <v>46113</v>
      </c>
      <c r="AU72" s="237">
        <v>0</v>
      </c>
      <c r="AV72" s="239" t="s">
        <v>51</v>
      </c>
      <c r="AW72" s="213" t="s">
        <v>51</v>
      </c>
      <c r="AY72" s="253" t="s">
        <v>425</v>
      </c>
      <c r="AZ72" s="210" t="b">
        <v>1</v>
      </c>
    </row>
    <row r="73" spans="1:52" x14ac:dyDescent="0.25">
      <c r="A73" s="957" t="b">
        <f t="shared" si="4"/>
        <v>1</v>
      </c>
      <c r="B73" s="235">
        <v>45778</v>
      </c>
      <c r="C73" s="237">
        <v>0</v>
      </c>
      <c r="D73" s="239" t="s">
        <v>51</v>
      </c>
      <c r="E73" s="242" t="s">
        <v>51</v>
      </c>
      <c r="F73" s="244">
        <v>45809</v>
      </c>
      <c r="G73" s="237">
        <v>0</v>
      </c>
      <c r="H73" s="239" t="s">
        <v>51</v>
      </c>
      <c r="I73" s="242" t="s">
        <v>51</v>
      </c>
      <c r="J73" s="244">
        <v>45839</v>
      </c>
      <c r="K73" s="237">
        <v>0</v>
      </c>
      <c r="L73" s="239" t="s">
        <v>51</v>
      </c>
      <c r="M73" s="213" t="s">
        <v>51</v>
      </c>
      <c r="N73" s="244">
        <v>45870</v>
      </c>
      <c r="O73" s="237">
        <v>0</v>
      </c>
      <c r="P73" s="239" t="s">
        <v>51</v>
      </c>
      <c r="Q73" s="213" t="s">
        <v>51</v>
      </c>
      <c r="R73" s="244">
        <v>45901</v>
      </c>
      <c r="S73" s="237">
        <v>0</v>
      </c>
      <c r="T73" s="239" t="s">
        <v>51</v>
      </c>
      <c r="U73" s="213" t="s">
        <v>51</v>
      </c>
      <c r="V73" s="244">
        <v>45931</v>
      </c>
      <c r="W73" s="237">
        <v>0</v>
      </c>
      <c r="X73" s="239" t="s">
        <v>51</v>
      </c>
      <c r="Y73" s="213" t="s">
        <v>51</v>
      </c>
      <c r="Z73" s="244">
        <v>45962</v>
      </c>
      <c r="AA73" s="237">
        <v>0</v>
      </c>
      <c r="AB73" s="239" t="s">
        <v>51</v>
      </c>
      <c r="AC73" s="213" t="s">
        <v>51</v>
      </c>
      <c r="AD73" s="244">
        <v>45992</v>
      </c>
      <c r="AE73" s="237">
        <v>660</v>
      </c>
      <c r="AF73" s="239">
        <v>45995</v>
      </c>
      <c r="AG73" s="213" t="s">
        <v>51</v>
      </c>
      <c r="AH73" s="244">
        <v>46023</v>
      </c>
      <c r="AI73" s="237">
        <v>0</v>
      </c>
      <c r="AJ73" s="239" t="s">
        <v>51</v>
      </c>
      <c r="AK73" s="213" t="s">
        <v>51</v>
      </c>
      <c r="AL73" s="244">
        <v>46054</v>
      </c>
      <c r="AM73" s="237">
        <v>0</v>
      </c>
      <c r="AN73" s="239" t="s">
        <v>51</v>
      </c>
      <c r="AO73" s="213" t="s">
        <v>51</v>
      </c>
      <c r="AP73" s="244">
        <v>46082</v>
      </c>
      <c r="AQ73" s="237">
        <v>0</v>
      </c>
      <c r="AR73" s="239" t="s">
        <v>51</v>
      </c>
      <c r="AS73" s="213" t="s">
        <v>51</v>
      </c>
      <c r="AT73" s="244">
        <v>46113</v>
      </c>
      <c r="AU73" s="237">
        <v>0</v>
      </c>
      <c r="AV73" s="239" t="s">
        <v>51</v>
      </c>
      <c r="AW73" s="213" t="s">
        <v>51</v>
      </c>
      <c r="AY73" s="253" t="s">
        <v>483</v>
      </c>
      <c r="AZ73" s="210" t="b">
        <v>1</v>
      </c>
    </row>
    <row r="74" spans="1:52" x14ac:dyDescent="0.25">
      <c r="A74" s="957" t="b">
        <f t="shared" si="4"/>
        <v>1</v>
      </c>
      <c r="B74" s="235">
        <v>45778</v>
      </c>
      <c r="C74" s="237">
        <v>0</v>
      </c>
      <c r="D74" s="239" t="s">
        <v>51</v>
      </c>
      <c r="E74" s="242" t="s">
        <v>51</v>
      </c>
      <c r="F74" s="244">
        <v>45809</v>
      </c>
      <c r="G74" s="237">
        <v>0</v>
      </c>
      <c r="H74" s="239" t="s">
        <v>51</v>
      </c>
      <c r="I74" s="242" t="s">
        <v>51</v>
      </c>
      <c r="J74" s="244">
        <v>45839</v>
      </c>
      <c r="K74" s="237">
        <v>0</v>
      </c>
      <c r="L74" s="239" t="s">
        <v>51</v>
      </c>
      <c r="M74" s="213" t="s">
        <v>51</v>
      </c>
      <c r="N74" s="244">
        <v>45870</v>
      </c>
      <c r="O74" s="237">
        <v>0</v>
      </c>
      <c r="P74" s="239" t="s">
        <v>51</v>
      </c>
      <c r="Q74" s="213" t="s">
        <v>51</v>
      </c>
      <c r="R74" s="244">
        <v>45901</v>
      </c>
      <c r="S74" s="237">
        <v>0</v>
      </c>
      <c r="T74" s="239" t="s">
        <v>51</v>
      </c>
      <c r="U74" s="213" t="s">
        <v>51</v>
      </c>
      <c r="V74" s="244">
        <v>45931</v>
      </c>
      <c r="W74" s="237">
        <v>0</v>
      </c>
      <c r="X74" s="239" t="s">
        <v>51</v>
      </c>
      <c r="Y74" s="213" t="s">
        <v>51</v>
      </c>
      <c r="Z74" s="244">
        <v>45962</v>
      </c>
      <c r="AA74" s="237">
        <v>0</v>
      </c>
      <c r="AB74" s="239" t="s">
        <v>51</v>
      </c>
      <c r="AC74" s="213" t="s">
        <v>51</v>
      </c>
      <c r="AD74" s="244">
        <v>45992</v>
      </c>
      <c r="AE74" s="237">
        <v>0</v>
      </c>
      <c r="AF74" s="239" t="s">
        <v>51</v>
      </c>
      <c r="AG74" s="213" t="s">
        <v>51</v>
      </c>
      <c r="AH74" s="244">
        <v>46023</v>
      </c>
      <c r="AI74" s="237">
        <v>855</v>
      </c>
      <c r="AJ74" s="239">
        <v>46008</v>
      </c>
      <c r="AK74" s="213" t="s">
        <v>503</v>
      </c>
      <c r="AL74" s="244">
        <v>46054</v>
      </c>
      <c r="AM74" s="237">
        <v>0</v>
      </c>
      <c r="AN74" s="239" t="s">
        <v>51</v>
      </c>
      <c r="AO74" s="213" t="s">
        <v>51</v>
      </c>
      <c r="AP74" s="244">
        <v>46082</v>
      </c>
      <c r="AQ74" s="237">
        <v>0</v>
      </c>
      <c r="AR74" s="239" t="s">
        <v>51</v>
      </c>
      <c r="AS74" s="213" t="s">
        <v>51</v>
      </c>
      <c r="AT74" s="244">
        <v>46113</v>
      </c>
      <c r="AU74" s="237">
        <v>0</v>
      </c>
      <c r="AV74" s="239" t="s">
        <v>51</v>
      </c>
      <c r="AW74" s="213" t="s">
        <v>51</v>
      </c>
      <c r="AY74" s="253" t="s">
        <v>502</v>
      </c>
      <c r="AZ74" s="210" t="b">
        <v>1</v>
      </c>
    </row>
    <row r="75" spans="1:52" x14ac:dyDescent="0.25">
      <c r="A75" s="957" t="b">
        <f t="shared" si="4"/>
        <v>1</v>
      </c>
      <c r="B75" s="235">
        <v>45778</v>
      </c>
      <c r="C75" s="237">
        <v>0</v>
      </c>
      <c r="D75" s="239" t="s">
        <v>51</v>
      </c>
      <c r="E75" s="242" t="s">
        <v>51</v>
      </c>
      <c r="F75" s="244">
        <v>45809</v>
      </c>
      <c r="G75" s="237">
        <v>0</v>
      </c>
      <c r="H75" s="239" t="s">
        <v>51</v>
      </c>
      <c r="I75" s="242" t="s">
        <v>51</v>
      </c>
      <c r="J75" s="244">
        <v>45839</v>
      </c>
      <c r="K75" s="237">
        <v>0</v>
      </c>
      <c r="L75" s="239" t="s">
        <v>51</v>
      </c>
      <c r="M75" s="213" t="s">
        <v>51</v>
      </c>
      <c r="N75" s="244">
        <v>45870</v>
      </c>
      <c r="O75" s="237">
        <v>0</v>
      </c>
      <c r="P75" s="239" t="s">
        <v>51</v>
      </c>
      <c r="Q75" s="213" t="s">
        <v>51</v>
      </c>
      <c r="R75" s="244">
        <v>45901</v>
      </c>
      <c r="S75" s="237">
        <v>0</v>
      </c>
      <c r="T75" s="239" t="s">
        <v>51</v>
      </c>
      <c r="U75" s="213" t="s">
        <v>51</v>
      </c>
      <c r="V75" s="244">
        <v>45931</v>
      </c>
      <c r="W75" s="237">
        <v>0</v>
      </c>
      <c r="X75" s="239" t="s">
        <v>51</v>
      </c>
      <c r="Y75" s="213" t="s">
        <v>51</v>
      </c>
      <c r="Z75" s="244">
        <v>45962</v>
      </c>
      <c r="AA75" s="237">
        <v>0</v>
      </c>
      <c r="AB75" s="239" t="s">
        <v>51</v>
      </c>
      <c r="AC75" s="213" t="s">
        <v>51</v>
      </c>
      <c r="AD75" s="244">
        <v>45992</v>
      </c>
      <c r="AE75" s="237">
        <v>0</v>
      </c>
      <c r="AF75" s="239" t="s">
        <v>51</v>
      </c>
      <c r="AG75" s="213" t="s">
        <v>51</v>
      </c>
      <c r="AH75" s="244">
        <v>46023</v>
      </c>
      <c r="AI75" s="237">
        <v>0</v>
      </c>
      <c r="AJ75" s="239" t="s">
        <v>51</v>
      </c>
      <c r="AK75" s="213" t="s">
        <v>51</v>
      </c>
      <c r="AL75" s="244">
        <v>46054</v>
      </c>
      <c r="AM75" s="237">
        <v>0</v>
      </c>
      <c r="AN75" s="239" t="s">
        <v>51</v>
      </c>
      <c r="AO75" s="213" t="s">
        <v>51</v>
      </c>
      <c r="AP75" s="244">
        <v>46082</v>
      </c>
      <c r="AQ75" s="237">
        <v>0</v>
      </c>
      <c r="AR75" s="239" t="s">
        <v>51</v>
      </c>
      <c r="AS75" s="213" t="s">
        <v>51</v>
      </c>
      <c r="AT75" s="244">
        <v>46113</v>
      </c>
      <c r="AU75" s="237">
        <v>0</v>
      </c>
      <c r="AV75" s="239" t="s">
        <v>51</v>
      </c>
      <c r="AW75" s="213" t="s">
        <v>51</v>
      </c>
      <c r="AY75" s="388" t="s">
        <v>482</v>
      </c>
      <c r="AZ75" s="210" t="b">
        <v>1</v>
      </c>
    </row>
    <row r="76" spans="1:52" x14ac:dyDescent="0.25">
      <c r="A76" s="957" t="b">
        <f t="shared" si="4"/>
        <v>1</v>
      </c>
      <c r="B76" s="235">
        <v>45778</v>
      </c>
      <c r="C76" s="237">
        <v>544.41</v>
      </c>
      <c r="D76" s="241">
        <v>45778</v>
      </c>
      <c r="E76" s="242" t="s">
        <v>51</v>
      </c>
      <c r="F76" s="244">
        <v>45809</v>
      </c>
      <c r="G76" s="237">
        <v>589.49</v>
      </c>
      <c r="H76" s="241">
        <v>45810</v>
      </c>
      <c r="I76" s="242" t="s">
        <v>51</v>
      </c>
      <c r="J76" s="244">
        <v>45839</v>
      </c>
      <c r="K76" s="237">
        <v>487.8</v>
      </c>
      <c r="L76" s="241">
        <v>45839</v>
      </c>
      <c r="M76" s="213" t="s">
        <v>51</v>
      </c>
      <c r="N76" s="244">
        <v>45870</v>
      </c>
      <c r="O76" s="237">
        <v>545.62</v>
      </c>
      <c r="P76" s="241">
        <v>45870</v>
      </c>
      <c r="Q76" s="213" t="s">
        <v>51</v>
      </c>
      <c r="R76" s="244">
        <v>45901</v>
      </c>
      <c r="S76" s="237">
        <v>570.55999999999995</v>
      </c>
      <c r="T76" s="241">
        <v>45901</v>
      </c>
      <c r="U76" s="213" t="s">
        <v>51</v>
      </c>
      <c r="V76" s="244">
        <v>45931</v>
      </c>
      <c r="W76" s="237">
        <v>478.07</v>
      </c>
      <c r="X76" s="241">
        <v>45931</v>
      </c>
      <c r="Y76" s="213" t="s">
        <v>51</v>
      </c>
      <c r="Z76" s="244">
        <v>45962</v>
      </c>
      <c r="AA76" s="237">
        <v>435.18</v>
      </c>
      <c r="AB76" s="241">
        <v>45962</v>
      </c>
      <c r="AC76" s="213" t="s">
        <v>51</v>
      </c>
      <c r="AD76" s="244">
        <v>45992</v>
      </c>
      <c r="AE76" s="237">
        <v>490.06</v>
      </c>
      <c r="AF76" s="241">
        <v>45993</v>
      </c>
      <c r="AG76" s="213" t="s">
        <v>51</v>
      </c>
      <c r="AH76" s="244">
        <v>46023</v>
      </c>
      <c r="AI76" s="237">
        <v>526.57999999999993</v>
      </c>
      <c r="AJ76" s="241">
        <v>46024</v>
      </c>
      <c r="AK76" s="213" t="s">
        <v>51</v>
      </c>
      <c r="AL76" s="244">
        <v>46054</v>
      </c>
      <c r="AM76" s="237">
        <v>463.47999999999996</v>
      </c>
      <c r="AN76" s="241">
        <v>46055</v>
      </c>
      <c r="AO76" s="213" t="s">
        <v>51</v>
      </c>
      <c r="AP76" s="244">
        <v>46082</v>
      </c>
      <c r="AQ76" s="237">
        <v>454.67</v>
      </c>
      <c r="AR76" s="241">
        <v>46083</v>
      </c>
      <c r="AS76" s="213" t="s">
        <v>51</v>
      </c>
      <c r="AT76" s="244">
        <v>46113</v>
      </c>
      <c r="AU76" s="237">
        <v>564.68000000000006</v>
      </c>
      <c r="AV76" s="241">
        <v>46113</v>
      </c>
      <c r="AW76" s="213" t="s">
        <v>51</v>
      </c>
      <c r="AY76" s="213" t="s">
        <v>528</v>
      </c>
      <c r="AZ76" s="210" t="b">
        <v>1</v>
      </c>
    </row>
    <row r="77" spans="1:52" x14ac:dyDescent="0.25">
      <c r="A77" s="957" t="b">
        <f t="shared" si="4"/>
        <v>1</v>
      </c>
      <c r="B77" s="235">
        <v>45778</v>
      </c>
      <c r="C77" s="237">
        <v>150</v>
      </c>
      <c r="D77" s="241">
        <v>45778</v>
      </c>
      <c r="E77" s="213" t="s">
        <v>86</v>
      </c>
      <c r="F77" s="244">
        <v>45809</v>
      </c>
      <c r="G77" s="245">
        <v>150</v>
      </c>
      <c r="H77" s="241">
        <v>45810</v>
      </c>
      <c r="I77" s="213" t="s">
        <v>205</v>
      </c>
      <c r="J77" s="244">
        <v>45839</v>
      </c>
      <c r="K77" s="245">
        <v>150</v>
      </c>
      <c r="L77" s="241">
        <v>45839</v>
      </c>
      <c r="M77" s="213" t="s">
        <v>205</v>
      </c>
      <c r="N77" s="244">
        <v>45870</v>
      </c>
      <c r="O77" s="245">
        <v>150</v>
      </c>
      <c r="P77" s="241">
        <v>45870</v>
      </c>
      <c r="Q77" s="213" t="s">
        <v>205</v>
      </c>
      <c r="R77" s="244">
        <v>45901</v>
      </c>
      <c r="S77" s="245">
        <v>150</v>
      </c>
      <c r="T77" s="241">
        <v>45901</v>
      </c>
      <c r="U77" s="213" t="s">
        <v>205</v>
      </c>
      <c r="V77" s="244">
        <v>45931</v>
      </c>
      <c r="W77" s="245">
        <v>150</v>
      </c>
      <c r="X77" s="241">
        <v>45931</v>
      </c>
      <c r="Y77" s="213" t="s">
        <v>205</v>
      </c>
      <c r="Z77" s="244">
        <v>45962</v>
      </c>
      <c r="AA77" s="245">
        <v>150</v>
      </c>
      <c r="AB77" s="241">
        <v>45962</v>
      </c>
      <c r="AC77" s="213" t="s">
        <v>205</v>
      </c>
      <c r="AD77" s="244">
        <v>45992</v>
      </c>
      <c r="AE77" s="245">
        <v>150</v>
      </c>
      <c r="AF77" s="241">
        <v>45993</v>
      </c>
      <c r="AG77" s="213" t="s">
        <v>86</v>
      </c>
      <c r="AH77" s="244">
        <v>46023</v>
      </c>
      <c r="AI77" s="245">
        <v>150</v>
      </c>
      <c r="AJ77" s="241">
        <v>46024</v>
      </c>
      <c r="AK77" s="213" t="s">
        <v>86</v>
      </c>
      <c r="AL77" s="244">
        <v>46054</v>
      </c>
      <c r="AM77" s="245">
        <v>150</v>
      </c>
      <c r="AN77" s="241">
        <v>46055</v>
      </c>
      <c r="AO77" s="213" t="s">
        <v>86</v>
      </c>
      <c r="AP77" s="244">
        <v>46082</v>
      </c>
      <c r="AQ77" s="245">
        <v>150</v>
      </c>
      <c r="AR77" s="241">
        <v>46083</v>
      </c>
      <c r="AS77" s="213" t="s">
        <v>86</v>
      </c>
      <c r="AT77" s="244">
        <v>46113</v>
      </c>
      <c r="AU77" s="245">
        <v>150</v>
      </c>
      <c r="AV77" s="241">
        <v>46113</v>
      </c>
      <c r="AW77" s="213" t="s">
        <v>86</v>
      </c>
      <c r="AY77" s="213" t="s">
        <v>529</v>
      </c>
      <c r="AZ77" s="210" t="b">
        <v>1</v>
      </c>
    </row>
    <row r="78" spans="1:52" x14ac:dyDescent="0.25">
      <c r="A78" s="214"/>
      <c r="B78" s="254"/>
      <c r="C78" s="255"/>
      <c r="D78" s="256"/>
      <c r="F78" s="254"/>
      <c r="G78" s="255"/>
      <c r="H78" s="256"/>
      <c r="J78" s="254"/>
      <c r="K78" s="255"/>
      <c r="L78" s="256"/>
      <c r="N78" s="254"/>
      <c r="O78" s="255"/>
      <c r="P78" s="256"/>
      <c r="R78" s="254"/>
      <c r="S78" s="255"/>
      <c r="T78" s="256"/>
      <c r="V78" s="254"/>
      <c r="W78" s="255"/>
      <c r="X78" s="256"/>
      <c r="Z78" s="254"/>
      <c r="AA78" s="255"/>
      <c r="AB78" s="256"/>
      <c r="AD78" s="254"/>
      <c r="AE78" s="255"/>
      <c r="AF78" s="256"/>
      <c r="AH78" s="254"/>
      <c r="AI78" s="255"/>
      <c r="AJ78" s="256"/>
      <c r="AL78" s="254"/>
      <c r="AM78" s="255"/>
      <c r="AN78" s="256"/>
      <c r="AP78" s="254"/>
      <c r="AQ78" s="255"/>
      <c r="AR78" s="256"/>
      <c r="AT78" s="254"/>
      <c r="AU78" s="255"/>
      <c r="AV78" s="256"/>
      <c r="AY78" s="214"/>
    </row>
    <row r="79" spans="1:52" x14ac:dyDescent="0.25">
      <c r="A79" s="214"/>
      <c r="B79" s="254"/>
      <c r="C79" s="255"/>
      <c r="D79" s="256"/>
      <c r="F79" s="254"/>
      <c r="G79" s="255"/>
      <c r="H79" s="256"/>
      <c r="J79" s="254"/>
      <c r="K79" s="255"/>
      <c r="L79" s="256"/>
      <c r="N79" s="254"/>
      <c r="O79" s="255"/>
      <c r="P79" s="256"/>
      <c r="R79" s="254"/>
      <c r="S79" s="255"/>
      <c r="T79" s="256"/>
      <c r="V79" s="254"/>
      <c r="W79" s="255"/>
      <c r="X79" s="256"/>
      <c r="Z79" s="254"/>
      <c r="AA79" s="255"/>
      <c r="AB79" s="256"/>
      <c r="AD79" s="254"/>
      <c r="AE79" s="255"/>
      <c r="AF79" s="256"/>
      <c r="AH79" s="254"/>
      <c r="AI79" s="255"/>
      <c r="AJ79" s="256"/>
      <c r="AL79" s="254"/>
      <c r="AM79" s="255"/>
      <c r="AN79" s="256"/>
      <c r="AP79" s="254"/>
      <c r="AQ79" s="255"/>
      <c r="AR79" s="256"/>
      <c r="AT79" s="254"/>
      <c r="AU79" s="255"/>
      <c r="AV79" s="256"/>
      <c r="AY79" s="214"/>
    </row>
    <row r="80" spans="1:52" x14ac:dyDescent="0.25">
      <c r="A80" s="957" t="b">
        <f>SUM(B37:AY37)=SUM(B80:AY80)</f>
        <v>1</v>
      </c>
      <c r="C80" s="257">
        <v>4063.7400000000002</v>
      </c>
      <c r="G80" s="257">
        <v>4107.4300000000012</v>
      </c>
      <c r="K80" s="257">
        <v>3994.1800000000003</v>
      </c>
      <c r="O80" s="257">
        <v>3510.9200000000005</v>
      </c>
      <c r="S80" s="257">
        <v>4306.49</v>
      </c>
      <c r="W80" s="257">
        <v>3985.15</v>
      </c>
      <c r="AA80" s="257">
        <v>3844.0400000000004</v>
      </c>
      <c r="AE80" s="257">
        <v>4024.9400000000005</v>
      </c>
      <c r="AI80" s="257">
        <v>3750.3200000000006</v>
      </c>
      <c r="AM80" s="257">
        <v>3871.41</v>
      </c>
      <c r="AQ80" s="257">
        <v>3803.35</v>
      </c>
      <c r="AU80" s="257">
        <v>4065.6499999999996</v>
      </c>
      <c r="AY80" s="72" t="s">
        <v>214</v>
      </c>
    </row>
    <row r="81" spans="1:52" x14ac:dyDescent="0.25">
      <c r="A81" s="263" t="s">
        <v>296</v>
      </c>
      <c r="B81" s="208" t="s">
        <v>360</v>
      </c>
      <c r="C81" s="258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60"/>
      <c r="O81" s="255"/>
      <c r="S81" s="255"/>
      <c r="AQ81" s="261" t="b">
        <v>0</v>
      </c>
      <c r="AU81" s="261" t="b">
        <v>1</v>
      </c>
      <c r="AY81" s="263" t="s">
        <v>296</v>
      </c>
      <c r="AZ81" s="208" t="s">
        <v>360</v>
      </c>
    </row>
    <row r="82" spans="1:52" x14ac:dyDescent="0.25">
      <c r="A82" s="262" t="s">
        <v>487</v>
      </c>
      <c r="C82" s="255"/>
      <c r="G82" s="255"/>
      <c r="K82" s="255"/>
      <c r="AY82" s="262" t="s">
        <v>487</v>
      </c>
    </row>
    <row r="84" spans="1:52" x14ac:dyDescent="0.25">
      <c r="G84" s="255"/>
      <c r="K84" s="255"/>
      <c r="O84" s="255"/>
      <c r="S84" s="255"/>
      <c r="W84" s="255"/>
      <c r="AA84" s="255"/>
      <c r="AE84" s="255"/>
      <c r="AI84" s="255"/>
      <c r="AM84" s="255"/>
      <c r="AQ84" s="255"/>
      <c r="AU84" s="255"/>
    </row>
    <row r="85" spans="1:52" x14ac:dyDescent="0.25">
      <c r="G85" s="255"/>
      <c r="K85" s="255"/>
      <c r="O85" s="255"/>
    </row>
  </sheetData>
  <autoFilter ref="A2:AZ34" xr:uid="{DE126181-C68D-4ECF-B15E-802A00DF4D85}"/>
  <conditionalFormatting sqref="AQ38">
    <cfRule type="cellIs" dxfId="35" priority="22" operator="equal">
      <formula>FALSE</formula>
    </cfRule>
    <cfRule type="cellIs" dxfId="34" priority="23" operator="equal">
      <formula>TRUE</formula>
    </cfRule>
    <cfRule type="cellIs" dxfId="33" priority="24" operator="equal">
      <formula>TRUE</formula>
    </cfRule>
  </conditionalFormatting>
  <conditionalFormatting sqref="AQ81">
    <cfRule type="cellIs" dxfId="32" priority="7" operator="equal">
      <formula>FALSE</formula>
    </cfRule>
    <cfRule type="cellIs" dxfId="31" priority="8" operator="equal">
      <formula>TRUE</formula>
    </cfRule>
    <cfRule type="cellIs" dxfId="30" priority="9" operator="equal">
      <formula>TRUE</formula>
    </cfRule>
  </conditionalFormatting>
  <conditionalFormatting sqref="AU38">
    <cfRule type="cellIs" dxfId="29" priority="4" operator="equal">
      <formula>FALSE</formula>
    </cfRule>
    <cfRule type="cellIs" dxfId="28" priority="5" operator="equal">
      <formula>TRUE</formula>
    </cfRule>
    <cfRule type="cellIs" dxfId="27" priority="6" operator="equal">
      <formula>TRUE</formula>
    </cfRule>
  </conditionalFormatting>
  <conditionalFormatting sqref="AU81">
    <cfRule type="cellIs" dxfId="26" priority="1" operator="equal">
      <formula>FALSE</formula>
    </cfRule>
    <cfRule type="cellIs" dxfId="25" priority="2" operator="equal">
      <formula>TRUE</formula>
    </cfRule>
    <cfRule type="cellIs" dxfId="24" priority="3" operator="equal">
      <formula>TRUE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D4AA-B3AD-4190-81BB-42CD279BE6A0}">
  <dimension ref="A1:AV180"/>
  <sheetViews>
    <sheetView topLeftCell="A154" workbookViewId="0">
      <selection activeCell="U172" sqref="U172"/>
    </sheetView>
  </sheetViews>
  <sheetFormatPr defaultRowHeight="15" x14ac:dyDescent="0.25"/>
  <cols>
    <col min="1" max="1" width="14.5703125" customWidth="1"/>
    <col min="2" max="2" width="22.5703125" customWidth="1"/>
    <col min="3" max="3" width="17.7109375" style="63" customWidth="1"/>
    <col min="4" max="4" width="12.85546875" customWidth="1"/>
    <col min="5" max="5" width="12.5703125" customWidth="1"/>
    <col min="6" max="6" width="11" bestFit="1" customWidth="1"/>
    <col min="7" max="7" width="10.42578125" bestFit="1" customWidth="1"/>
    <col min="8" max="8" width="16.42578125" customWidth="1"/>
    <col min="9" max="9" width="10.85546875" customWidth="1"/>
    <col min="10" max="10" width="9.42578125" customWidth="1"/>
    <col min="11" max="11" width="10.42578125" bestFit="1" customWidth="1"/>
    <col min="14" max="14" width="10.28515625" customWidth="1"/>
    <col min="18" max="18" width="10.85546875" customWidth="1"/>
    <col min="21" max="21" width="13.140625" customWidth="1"/>
    <col min="22" max="24" width="9.140625" style="161"/>
    <col min="25" max="25" width="14.5703125" customWidth="1"/>
    <col min="26" max="26" width="22.5703125" customWidth="1"/>
    <col min="27" max="27" width="17.7109375" style="63" customWidth="1"/>
    <col min="28" max="28" width="12.85546875" customWidth="1"/>
    <col min="29" max="29" width="12.5703125" customWidth="1"/>
    <col min="30" max="30" width="11" bestFit="1" customWidth="1"/>
    <col min="31" max="31" width="10.42578125" bestFit="1" customWidth="1"/>
    <col min="32" max="32" width="16.42578125" customWidth="1"/>
    <col min="33" max="33" width="10.85546875" customWidth="1"/>
    <col min="34" max="34" width="9.42578125" customWidth="1"/>
    <col min="35" max="35" width="10.42578125" bestFit="1" customWidth="1"/>
    <col min="38" max="38" width="10.28515625" customWidth="1"/>
    <col min="42" max="42" width="10.85546875" customWidth="1"/>
    <col min="45" max="45" width="13.140625" customWidth="1"/>
  </cols>
  <sheetData>
    <row r="1" spans="1:45" x14ac:dyDescent="0.25">
      <c r="A1" s="126" t="s">
        <v>53</v>
      </c>
      <c r="B1" s="71"/>
      <c r="C1" s="70"/>
      <c r="D1" s="71"/>
      <c r="E1" s="70" t="s">
        <v>292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W1" s="959" t="s">
        <v>534</v>
      </c>
      <c r="Y1" s="126" t="s">
        <v>53</v>
      </c>
      <c r="Z1" s="71"/>
      <c r="AA1" s="70"/>
      <c r="AB1" s="71"/>
      <c r="AC1" s="70" t="s">
        <v>292</v>
      </c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</row>
    <row r="2" spans="1:45" ht="15.75" x14ac:dyDescent="0.25">
      <c r="A2" s="64" t="s">
        <v>42</v>
      </c>
      <c r="B2" s="64" t="s">
        <v>48</v>
      </c>
      <c r="C2" s="24" t="s">
        <v>24</v>
      </c>
      <c r="D2" s="80">
        <v>201</v>
      </c>
      <c r="E2" s="29">
        <v>202</v>
      </c>
      <c r="F2" s="29">
        <v>301</v>
      </c>
      <c r="G2" s="80">
        <v>302</v>
      </c>
      <c r="H2" s="29">
        <v>401</v>
      </c>
      <c r="I2" s="29">
        <v>402</v>
      </c>
      <c r="J2" s="80">
        <v>501</v>
      </c>
      <c r="K2" s="29">
        <v>502</v>
      </c>
      <c r="L2" s="80">
        <v>601</v>
      </c>
      <c r="M2" s="29">
        <v>602</v>
      </c>
      <c r="N2" s="29">
        <v>701</v>
      </c>
      <c r="O2" s="29">
        <v>702</v>
      </c>
      <c r="P2" s="80">
        <v>801</v>
      </c>
      <c r="Q2" s="80">
        <v>802</v>
      </c>
      <c r="R2" s="118" t="s">
        <v>233</v>
      </c>
      <c r="S2" s="118" t="s">
        <v>232</v>
      </c>
      <c r="T2" s="118" t="s">
        <v>234</v>
      </c>
      <c r="U2" s="166" t="s">
        <v>308</v>
      </c>
      <c r="W2" s="161" t="b">
        <f t="shared" ref="W2:W33" si="0">SUM(A2:U2)=SUM(Y2:AS2)</f>
        <v>1</v>
      </c>
      <c r="Y2" s="64" t="s">
        <v>42</v>
      </c>
      <c r="Z2" s="64" t="s">
        <v>48</v>
      </c>
      <c r="AA2" s="24" t="s">
        <v>24</v>
      </c>
      <c r="AB2" s="80">
        <v>201</v>
      </c>
      <c r="AC2" s="29">
        <v>202</v>
      </c>
      <c r="AD2" s="29">
        <v>301</v>
      </c>
      <c r="AE2" s="80">
        <v>302</v>
      </c>
      <c r="AF2" s="29">
        <v>401</v>
      </c>
      <c r="AG2" s="29">
        <v>402</v>
      </c>
      <c r="AH2" s="80">
        <v>501</v>
      </c>
      <c r="AI2" s="29">
        <v>502</v>
      </c>
      <c r="AJ2" s="80">
        <v>601</v>
      </c>
      <c r="AK2" s="29">
        <v>602</v>
      </c>
      <c r="AL2" s="29">
        <v>701</v>
      </c>
      <c r="AM2" s="29">
        <v>702</v>
      </c>
      <c r="AN2" s="80">
        <v>801</v>
      </c>
      <c r="AO2" s="80">
        <v>802</v>
      </c>
      <c r="AP2" s="118" t="s">
        <v>233</v>
      </c>
      <c r="AQ2" s="118" t="s">
        <v>232</v>
      </c>
      <c r="AR2" s="118" t="s">
        <v>234</v>
      </c>
      <c r="AS2" s="166" t="s">
        <v>308</v>
      </c>
    </row>
    <row r="3" spans="1:45" ht="15.75" x14ac:dyDescent="0.25">
      <c r="A3" s="64">
        <v>45778</v>
      </c>
      <c r="B3" s="65" t="s">
        <v>43</v>
      </c>
      <c r="C3" s="149">
        <v>0</v>
      </c>
      <c r="D3" s="25">
        <v>23.72</v>
      </c>
      <c r="E3" s="25">
        <v>42.058</v>
      </c>
      <c r="F3" s="25">
        <v>20.332999999999998</v>
      </c>
      <c r="G3" s="25">
        <v>27.45</v>
      </c>
      <c r="H3" s="25">
        <v>20.201000000000001</v>
      </c>
      <c r="I3" s="25">
        <v>32.951000000000001</v>
      </c>
      <c r="J3" s="25">
        <v>15.228</v>
      </c>
      <c r="K3" s="25">
        <v>12.144</v>
      </c>
      <c r="L3" s="25">
        <v>7.4189999999999996</v>
      </c>
      <c r="M3" s="25">
        <v>22.797999999999998</v>
      </c>
      <c r="N3" s="25">
        <v>15.958</v>
      </c>
      <c r="O3" s="25">
        <v>6.8940000000000001</v>
      </c>
      <c r="P3" s="25">
        <v>5.9980000000000002</v>
      </c>
      <c r="Q3" s="25">
        <v>15.122</v>
      </c>
      <c r="R3" s="129" t="s">
        <v>227</v>
      </c>
      <c r="S3" s="64">
        <f t="shared" ref="S3:S30" si="1">A3</f>
        <v>45778</v>
      </c>
      <c r="T3" s="127">
        <v>45778</v>
      </c>
      <c r="U3" s="127">
        <v>45786</v>
      </c>
      <c r="W3" s="161" t="b">
        <f t="shared" si="0"/>
        <v>1</v>
      </c>
      <c r="Y3" s="64">
        <v>45778</v>
      </c>
      <c r="Z3" s="65" t="s">
        <v>43</v>
      </c>
      <c r="AA3" s="149">
        <v>0</v>
      </c>
      <c r="AB3" s="25">
        <v>23.72</v>
      </c>
      <c r="AC3" s="25">
        <v>42.058</v>
      </c>
      <c r="AD3" s="25">
        <v>20.332999999999998</v>
      </c>
      <c r="AE3" s="25">
        <v>27.45</v>
      </c>
      <c r="AF3" s="25">
        <v>20.201000000000001</v>
      </c>
      <c r="AG3" s="25">
        <v>32.951000000000001</v>
      </c>
      <c r="AH3" s="25">
        <v>15.228</v>
      </c>
      <c r="AI3" s="25">
        <v>12.144</v>
      </c>
      <c r="AJ3" s="25">
        <v>7.4189999999999996</v>
      </c>
      <c r="AK3" s="25">
        <v>22.797999999999998</v>
      </c>
      <c r="AL3" s="25">
        <v>15.958</v>
      </c>
      <c r="AM3" s="25">
        <v>6.8940000000000001</v>
      </c>
      <c r="AN3" s="25">
        <v>5.9980000000000002</v>
      </c>
      <c r="AO3" s="25">
        <v>15.122</v>
      </c>
      <c r="AP3" s="129" t="s">
        <v>227</v>
      </c>
      <c r="AQ3" s="64">
        <v>45778</v>
      </c>
      <c r="AR3" s="127">
        <v>45778</v>
      </c>
      <c r="AS3" s="127">
        <v>45786</v>
      </c>
    </row>
    <row r="4" spans="1:45" ht="15.75" x14ac:dyDescent="0.25">
      <c r="A4" s="64">
        <v>45778</v>
      </c>
      <c r="B4" s="65" t="s">
        <v>44</v>
      </c>
      <c r="C4" s="26">
        <v>0</v>
      </c>
      <c r="D4" s="26">
        <v>256.5</v>
      </c>
      <c r="E4" s="26">
        <v>388.53</v>
      </c>
      <c r="F4" s="26">
        <v>232.11</v>
      </c>
      <c r="G4" s="26">
        <v>283.36</v>
      </c>
      <c r="H4" s="26">
        <v>231.16</v>
      </c>
      <c r="I4" s="26">
        <v>322.95999999999998</v>
      </c>
      <c r="J4" s="26">
        <v>195.36</v>
      </c>
      <c r="K4" s="26">
        <v>173.15</v>
      </c>
      <c r="L4" s="26">
        <v>139.13</v>
      </c>
      <c r="M4" s="26">
        <v>249.86</v>
      </c>
      <c r="N4" s="26">
        <v>200.61</v>
      </c>
      <c r="O4" s="26">
        <v>135.35</v>
      </c>
      <c r="P4" s="26">
        <v>128.9</v>
      </c>
      <c r="Q4" s="26">
        <v>194.59</v>
      </c>
      <c r="R4" s="129" t="s">
        <v>227</v>
      </c>
      <c r="S4" s="64">
        <f t="shared" si="1"/>
        <v>45778</v>
      </c>
      <c r="T4" s="127">
        <v>45778</v>
      </c>
      <c r="U4" s="127">
        <v>45786</v>
      </c>
      <c r="W4" s="161" t="b">
        <f t="shared" si="0"/>
        <v>1</v>
      </c>
      <c r="Y4" s="64">
        <v>45778</v>
      </c>
      <c r="Z4" s="65" t="s">
        <v>44</v>
      </c>
      <c r="AA4" s="26">
        <v>0</v>
      </c>
      <c r="AB4" s="26">
        <v>256.5</v>
      </c>
      <c r="AC4" s="26">
        <v>388.53</v>
      </c>
      <c r="AD4" s="26">
        <v>232.11</v>
      </c>
      <c r="AE4" s="26">
        <v>283.36</v>
      </c>
      <c r="AF4" s="26">
        <v>231.16</v>
      </c>
      <c r="AG4" s="26">
        <v>322.95999999999998</v>
      </c>
      <c r="AH4" s="26">
        <v>195.36</v>
      </c>
      <c r="AI4" s="26">
        <v>173.15</v>
      </c>
      <c r="AJ4" s="26">
        <v>139.13</v>
      </c>
      <c r="AK4" s="26">
        <v>249.86</v>
      </c>
      <c r="AL4" s="26">
        <v>200.61</v>
      </c>
      <c r="AM4" s="26">
        <v>135.35</v>
      </c>
      <c r="AN4" s="26">
        <v>128.9</v>
      </c>
      <c r="AO4" s="26">
        <v>194.59</v>
      </c>
      <c r="AP4" s="129" t="s">
        <v>227</v>
      </c>
      <c r="AQ4" s="64">
        <v>45778</v>
      </c>
      <c r="AR4" s="127">
        <v>45778</v>
      </c>
      <c r="AS4" s="127">
        <v>45786</v>
      </c>
    </row>
    <row r="5" spans="1:45" ht="15.75" x14ac:dyDescent="0.25">
      <c r="A5" s="64">
        <v>45778</v>
      </c>
      <c r="B5" s="65" t="s">
        <v>45</v>
      </c>
      <c r="C5" s="27">
        <v>0</v>
      </c>
      <c r="D5" s="30">
        <v>6.4000000000000001E-2</v>
      </c>
      <c r="E5" s="27">
        <v>4.0579999999999998</v>
      </c>
      <c r="F5" s="27">
        <v>4.0720000000000001</v>
      </c>
      <c r="G5" s="27">
        <v>2.8690000000000002</v>
      </c>
      <c r="H5" s="27">
        <v>1.5660000000000001</v>
      </c>
      <c r="I5" s="27">
        <v>4.6449999999999996</v>
      </c>
      <c r="J5" s="27">
        <v>1.127</v>
      </c>
      <c r="K5" s="27">
        <v>1.2030000000000001</v>
      </c>
      <c r="L5" s="27">
        <v>0.222</v>
      </c>
      <c r="M5" s="27">
        <v>1.9490000000000001</v>
      </c>
      <c r="N5" s="27">
        <v>0.85899999999999999</v>
      </c>
      <c r="O5" s="27">
        <v>3.3380000000000001</v>
      </c>
      <c r="P5" s="27">
        <v>3.0000000000000001E-3</v>
      </c>
      <c r="Q5" s="27">
        <v>1.7150000000000001</v>
      </c>
      <c r="R5" s="129" t="s">
        <v>227</v>
      </c>
      <c r="S5" s="64">
        <f t="shared" si="1"/>
        <v>45778</v>
      </c>
      <c r="T5" s="127">
        <v>45778</v>
      </c>
      <c r="U5" s="127">
        <v>45786</v>
      </c>
      <c r="W5" s="161" t="b">
        <f t="shared" si="0"/>
        <v>1</v>
      </c>
      <c r="Y5" s="64">
        <v>45778</v>
      </c>
      <c r="Z5" s="65" t="s">
        <v>45</v>
      </c>
      <c r="AA5" s="27">
        <v>0</v>
      </c>
      <c r="AB5" s="30">
        <v>6.4000000000000001E-2</v>
      </c>
      <c r="AC5" s="27">
        <v>4.0579999999999998</v>
      </c>
      <c r="AD5" s="27">
        <v>4.0720000000000001</v>
      </c>
      <c r="AE5" s="27">
        <v>2.8690000000000002</v>
      </c>
      <c r="AF5" s="27">
        <v>1.5660000000000001</v>
      </c>
      <c r="AG5" s="27">
        <v>4.6449999999999996</v>
      </c>
      <c r="AH5" s="27">
        <v>1.127</v>
      </c>
      <c r="AI5" s="27">
        <v>1.2030000000000001</v>
      </c>
      <c r="AJ5" s="27">
        <v>0.222</v>
      </c>
      <c r="AK5" s="27">
        <v>1.9490000000000001</v>
      </c>
      <c r="AL5" s="27">
        <v>0.85899999999999999</v>
      </c>
      <c r="AM5" s="27">
        <v>3.3380000000000001</v>
      </c>
      <c r="AN5" s="27">
        <v>3.0000000000000001E-3</v>
      </c>
      <c r="AO5" s="27">
        <v>1.7150000000000001</v>
      </c>
      <c r="AP5" s="129" t="s">
        <v>227</v>
      </c>
      <c r="AQ5" s="64">
        <v>45778</v>
      </c>
      <c r="AR5" s="127">
        <v>45778</v>
      </c>
      <c r="AS5" s="127">
        <v>45786</v>
      </c>
    </row>
    <row r="6" spans="1:45" ht="15.75" x14ac:dyDescent="0.25">
      <c r="A6" s="64">
        <v>45778</v>
      </c>
      <c r="B6" s="65" t="s">
        <v>46</v>
      </c>
      <c r="C6" s="26">
        <v>0</v>
      </c>
      <c r="D6" s="26">
        <v>2.2200000000000002</v>
      </c>
      <c r="E6" s="26">
        <v>140.91</v>
      </c>
      <c r="F6" s="26">
        <v>141.4</v>
      </c>
      <c r="G6" s="26">
        <v>99.63</v>
      </c>
      <c r="H6" s="26">
        <v>54.38</v>
      </c>
      <c r="I6" s="26">
        <v>161.30000000000001</v>
      </c>
      <c r="J6" s="26">
        <v>39.14</v>
      </c>
      <c r="K6" s="26">
        <v>41.77</v>
      </c>
      <c r="L6" s="26">
        <v>7.71</v>
      </c>
      <c r="M6" s="26">
        <v>67.680000000000007</v>
      </c>
      <c r="N6" s="26">
        <v>29.83</v>
      </c>
      <c r="O6" s="26">
        <v>115.91</v>
      </c>
      <c r="P6" s="26">
        <v>0.1</v>
      </c>
      <c r="Q6" s="26">
        <v>59.55</v>
      </c>
      <c r="R6" s="129" t="s">
        <v>227</v>
      </c>
      <c r="S6" s="64">
        <f t="shared" si="1"/>
        <v>45778</v>
      </c>
      <c r="T6" s="127">
        <v>45778</v>
      </c>
      <c r="U6" s="127">
        <v>45786</v>
      </c>
      <c r="W6" s="161" t="b">
        <f t="shared" si="0"/>
        <v>1</v>
      </c>
      <c r="Y6" s="64">
        <v>45778</v>
      </c>
      <c r="Z6" s="65" t="s">
        <v>46</v>
      </c>
      <c r="AA6" s="26">
        <v>0</v>
      </c>
      <c r="AB6" s="26">
        <v>2.2200000000000002</v>
      </c>
      <c r="AC6" s="26">
        <v>140.91</v>
      </c>
      <c r="AD6" s="26">
        <v>141.4</v>
      </c>
      <c r="AE6" s="26">
        <v>99.63</v>
      </c>
      <c r="AF6" s="26">
        <v>54.38</v>
      </c>
      <c r="AG6" s="26">
        <v>161.30000000000001</v>
      </c>
      <c r="AH6" s="26">
        <v>39.14</v>
      </c>
      <c r="AI6" s="26">
        <v>41.77</v>
      </c>
      <c r="AJ6" s="26">
        <v>7.71</v>
      </c>
      <c r="AK6" s="26">
        <v>67.680000000000007</v>
      </c>
      <c r="AL6" s="26">
        <v>29.83</v>
      </c>
      <c r="AM6" s="26">
        <v>115.91</v>
      </c>
      <c r="AN6" s="26">
        <v>0.1</v>
      </c>
      <c r="AO6" s="26">
        <v>59.55</v>
      </c>
      <c r="AP6" s="129" t="s">
        <v>227</v>
      </c>
      <c r="AQ6" s="64">
        <v>45778</v>
      </c>
      <c r="AR6" s="127">
        <v>45778</v>
      </c>
      <c r="AS6" s="127">
        <v>45786</v>
      </c>
    </row>
    <row r="7" spans="1:45" ht="15.75" x14ac:dyDescent="0.25">
      <c r="A7" s="64">
        <v>45778</v>
      </c>
      <c r="B7" s="65" t="s">
        <v>47</v>
      </c>
      <c r="C7" s="26">
        <v>0</v>
      </c>
      <c r="D7" s="26">
        <v>462.59999999999997</v>
      </c>
      <c r="E7" s="26">
        <v>462.59999999999997</v>
      </c>
      <c r="F7" s="26">
        <v>462.59999999999997</v>
      </c>
      <c r="G7" s="26">
        <v>462.59999999999997</v>
      </c>
      <c r="H7" s="26">
        <v>462.59999999999997</v>
      </c>
      <c r="I7" s="26">
        <v>462.59999999999997</v>
      </c>
      <c r="J7" s="26">
        <v>462.59999999999997</v>
      </c>
      <c r="K7" s="26">
        <v>462.59999999999997</v>
      </c>
      <c r="L7" s="26">
        <v>462.59999999999997</v>
      </c>
      <c r="M7" s="26">
        <v>462.59999999999997</v>
      </c>
      <c r="N7" s="26">
        <v>462.59999999999997</v>
      </c>
      <c r="O7" s="26">
        <v>462.59999999999997</v>
      </c>
      <c r="P7" s="26">
        <v>462.59999999999997</v>
      </c>
      <c r="Q7" s="26">
        <v>462.59999999999997</v>
      </c>
      <c r="R7" s="129" t="s">
        <v>227</v>
      </c>
      <c r="S7" s="64">
        <f t="shared" si="1"/>
        <v>45778</v>
      </c>
      <c r="T7" s="127">
        <v>45778</v>
      </c>
      <c r="U7" s="127">
        <v>45786</v>
      </c>
      <c r="W7" s="161" t="b">
        <f t="shared" si="0"/>
        <v>1</v>
      </c>
      <c r="Y7" s="64">
        <v>45778</v>
      </c>
      <c r="Z7" s="65" t="s">
        <v>47</v>
      </c>
      <c r="AA7" s="26">
        <v>0</v>
      </c>
      <c r="AB7" s="26">
        <v>462.59999999999997</v>
      </c>
      <c r="AC7" s="26">
        <v>462.59999999999997</v>
      </c>
      <c r="AD7" s="26">
        <v>462.59999999999997</v>
      </c>
      <c r="AE7" s="26">
        <v>462.59999999999997</v>
      </c>
      <c r="AF7" s="26">
        <v>462.59999999999997</v>
      </c>
      <c r="AG7" s="26">
        <v>462.59999999999997</v>
      </c>
      <c r="AH7" s="26">
        <v>462.59999999999997</v>
      </c>
      <c r="AI7" s="26">
        <v>462.59999999999997</v>
      </c>
      <c r="AJ7" s="26">
        <v>462.59999999999997</v>
      </c>
      <c r="AK7" s="26">
        <v>462.59999999999997</v>
      </c>
      <c r="AL7" s="26">
        <v>462.59999999999997</v>
      </c>
      <c r="AM7" s="26">
        <v>462.59999999999997</v>
      </c>
      <c r="AN7" s="26">
        <v>462.59999999999997</v>
      </c>
      <c r="AO7" s="26">
        <v>462.59999999999997</v>
      </c>
      <c r="AP7" s="129" t="s">
        <v>227</v>
      </c>
      <c r="AQ7" s="64">
        <v>45778</v>
      </c>
      <c r="AR7" s="127">
        <v>45778</v>
      </c>
      <c r="AS7" s="127">
        <v>45786</v>
      </c>
    </row>
    <row r="8" spans="1:45" ht="15.75" x14ac:dyDescent="0.25">
      <c r="A8" s="64">
        <v>45778</v>
      </c>
      <c r="B8" s="65" t="s">
        <v>62</v>
      </c>
      <c r="C8" s="26">
        <v>0</v>
      </c>
      <c r="D8" s="26">
        <v>722</v>
      </c>
      <c r="E8" s="26">
        <v>993</v>
      </c>
      <c r="F8" s="26">
        <v>837</v>
      </c>
      <c r="G8" s="26">
        <v>846</v>
      </c>
      <c r="H8" s="26">
        <v>749</v>
      </c>
      <c r="I8" s="26">
        <v>947</v>
      </c>
      <c r="J8" s="26">
        <v>698</v>
      </c>
      <c r="K8" s="26">
        <v>678</v>
      </c>
      <c r="L8" s="26">
        <v>610</v>
      </c>
      <c r="M8" s="26">
        <v>781</v>
      </c>
      <c r="N8" s="26">
        <v>694</v>
      </c>
      <c r="O8" s="26">
        <v>714</v>
      </c>
      <c r="P8" s="26">
        <v>592</v>
      </c>
      <c r="Q8" s="58">
        <v>717</v>
      </c>
      <c r="R8" s="116">
        <f>SUM(C8:P8)+LANÇTºS!C34</f>
        <v>10011</v>
      </c>
      <c r="S8" s="64">
        <f t="shared" si="1"/>
        <v>45778</v>
      </c>
      <c r="T8" s="127">
        <v>45778</v>
      </c>
      <c r="U8" s="127">
        <v>45786</v>
      </c>
      <c r="W8" s="161" t="b">
        <f t="shared" si="0"/>
        <v>1</v>
      </c>
      <c r="Y8" s="64">
        <v>45778</v>
      </c>
      <c r="Z8" s="65" t="s">
        <v>62</v>
      </c>
      <c r="AA8" s="26">
        <v>0</v>
      </c>
      <c r="AB8" s="26">
        <v>722</v>
      </c>
      <c r="AC8" s="26">
        <v>993</v>
      </c>
      <c r="AD8" s="26">
        <v>837</v>
      </c>
      <c r="AE8" s="26">
        <v>846</v>
      </c>
      <c r="AF8" s="26">
        <v>749</v>
      </c>
      <c r="AG8" s="26">
        <v>947</v>
      </c>
      <c r="AH8" s="26">
        <v>698</v>
      </c>
      <c r="AI8" s="26">
        <v>678</v>
      </c>
      <c r="AJ8" s="26">
        <v>610</v>
      </c>
      <c r="AK8" s="26">
        <v>781</v>
      </c>
      <c r="AL8" s="26">
        <v>694</v>
      </c>
      <c r="AM8" s="26">
        <v>714</v>
      </c>
      <c r="AN8" s="26">
        <v>592</v>
      </c>
      <c r="AO8" s="58">
        <v>717</v>
      </c>
      <c r="AP8" s="116">
        <v>10011</v>
      </c>
      <c r="AQ8" s="64">
        <v>45778</v>
      </c>
      <c r="AR8" s="127">
        <v>45778</v>
      </c>
      <c r="AS8" s="127">
        <v>45786</v>
      </c>
    </row>
    <row r="9" spans="1:45" ht="15.75" x14ac:dyDescent="0.25">
      <c r="A9" s="83">
        <v>45778</v>
      </c>
      <c r="B9" s="84" t="s">
        <v>63</v>
      </c>
      <c r="C9" s="81">
        <v>0</v>
      </c>
      <c r="D9" s="81">
        <f t="shared" ref="D9:Q9" si="2">SUM(D4+D6+D7)</f>
        <v>721.31999999999994</v>
      </c>
      <c r="E9" s="81">
        <f t="shared" si="2"/>
        <v>992.04</v>
      </c>
      <c r="F9" s="81">
        <f t="shared" si="2"/>
        <v>836.1099999999999</v>
      </c>
      <c r="G9" s="81">
        <f t="shared" si="2"/>
        <v>845.58999999999992</v>
      </c>
      <c r="H9" s="81">
        <f t="shared" si="2"/>
        <v>748.14</v>
      </c>
      <c r="I9" s="81">
        <f t="shared" si="2"/>
        <v>946.8599999999999</v>
      </c>
      <c r="J9" s="81">
        <f t="shared" si="2"/>
        <v>697.09999999999991</v>
      </c>
      <c r="K9" s="81">
        <f t="shared" si="2"/>
        <v>677.52</v>
      </c>
      <c r="L9" s="81">
        <f t="shared" si="2"/>
        <v>609.43999999999994</v>
      </c>
      <c r="M9" s="81">
        <f t="shared" si="2"/>
        <v>780.14</v>
      </c>
      <c r="N9" s="81">
        <f t="shared" si="2"/>
        <v>693.04</v>
      </c>
      <c r="O9" s="81">
        <f t="shared" si="2"/>
        <v>713.8599999999999</v>
      </c>
      <c r="P9" s="81">
        <f t="shared" si="2"/>
        <v>591.59999999999991</v>
      </c>
      <c r="Q9" s="85">
        <f t="shared" si="2"/>
        <v>716.74</v>
      </c>
      <c r="R9" s="125">
        <f>SUM(C9:P9)+LANÇTºS!C34</f>
        <v>10002.76</v>
      </c>
      <c r="S9" s="83">
        <f t="shared" si="1"/>
        <v>45778</v>
      </c>
      <c r="T9" s="128">
        <v>45778</v>
      </c>
      <c r="U9" s="128">
        <v>45786</v>
      </c>
      <c r="W9" s="161" t="b">
        <f t="shared" si="0"/>
        <v>1</v>
      </c>
      <c r="Y9" s="83">
        <v>45778</v>
      </c>
      <c r="Z9" s="84" t="s">
        <v>63</v>
      </c>
      <c r="AA9" s="81">
        <v>0</v>
      </c>
      <c r="AB9" s="81">
        <v>721.31999999999994</v>
      </c>
      <c r="AC9" s="81">
        <v>992.04</v>
      </c>
      <c r="AD9" s="81">
        <v>836.1099999999999</v>
      </c>
      <c r="AE9" s="81">
        <v>845.58999999999992</v>
      </c>
      <c r="AF9" s="81">
        <v>748.14</v>
      </c>
      <c r="AG9" s="81">
        <v>946.8599999999999</v>
      </c>
      <c r="AH9" s="81">
        <v>697.09999999999991</v>
      </c>
      <c r="AI9" s="81">
        <v>677.52</v>
      </c>
      <c r="AJ9" s="81">
        <v>609.43999999999994</v>
      </c>
      <c r="AK9" s="81">
        <v>780.14</v>
      </c>
      <c r="AL9" s="81">
        <v>693.04</v>
      </c>
      <c r="AM9" s="81">
        <v>713.8599999999999</v>
      </c>
      <c r="AN9" s="81">
        <v>591.59999999999991</v>
      </c>
      <c r="AO9" s="85">
        <v>716.74</v>
      </c>
      <c r="AP9" s="125">
        <v>10002.76</v>
      </c>
      <c r="AQ9" s="83">
        <v>45778</v>
      </c>
      <c r="AR9" s="128">
        <v>45778</v>
      </c>
      <c r="AS9" s="128">
        <v>45786</v>
      </c>
    </row>
    <row r="10" spans="1:45" ht="15.75" x14ac:dyDescent="0.25">
      <c r="A10" s="64">
        <v>45809</v>
      </c>
      <c r="B10" s="65" t="s">
        <v>43</v>
      </c>
      <c r="C10" s="25">
        <v>37.284000000000049</v>
      </c>
      <c r="D10" s="25">
        <v>26.381</v>
      </c>
      <c r="E10" s="25">
        <v>47.542000000000002</v>
      </c>
      <c r="F10" s="25">
        <v>20.594000000000001</v>
      </c>
      <c r="G10" s="25">
        <v>26.896999999999998</v>
      </c>
      <c r="H10" s="25">
        <v>22.582000000000001</v>
      </c>
      <c r="I10" s="25">
        <v>40.302999999999997</v>
      </c>
      <c r="J10" s="25">
        <v>13.752000000000001</v>
      </c>
      <c r="K10" s="25">
        <v>14.073</v>
      </c>
      <c r="L10" s="25">
        <v>4.4729999999999999</v>
      </c>
      <c r="M10" s="25">
        <v>17.373000000000001</v>
      </c>
      <c r="N10" s="25">
        <v>13.532999999999999</v>
      </c>
      <c r="O10" s="25">
        <v>6.1479999999999997</v>
      </c>
      <c r="P10" s="25">
        <v>4.6920000000000002</v>
      </c>
      <c r="Q10" s="25">
        <v>13.372999999999999</v>
      </c>
      <c r="R10" s="129" t="s">
        <v>227</v>
      </c>
      <c r="S10" s="64">
        <f t="shared" si="1"/>
        <v>45809</v>
      </c>
      <c r="T10" s="127">
        <v>45809</v>
      </c>
      <c r="U10" s="127">
        <v>45818</v>
      </c>
      <c r="W10" s="161" t="b">
        <f t="shared" si="0"/>
        <v>1</v>
      </c>
      <c r="Y10" s="64">
        <v>45809</v>
      </c>
      <c r="Z10" s="65" t="s">
        <v>43</v>
      </c>
      <c r="AA10" s="25">
        <v>37.284000000000049</v>
      </c>
      <c r="AB10" s="25">
        <v>26.381</v>
      </c>
      <c r="AC10" s="25">
        <v>47.542000000000002</v>
      </c>
      <c r="AD10" s="25">
        <v>20.594000000000001</v>
      </c>
      <c r="AE10" s="25">
        <v>26.896999999999998</v>
      </c>
      <c r="AF10" s="25">
        <v>22.582000000000001</v>
      </c>
      <c r="AG10" s="25">
        <v>40.302999999999997</v>
      </c>
      <c r="AH10" s="25">
        <v>13.752000000000001</v>
      </c>
      <c r="AI10" s="25">
        <v>14.073</v>
      </c>
      <c r="AJ10" s="25">
        <v>4.4729999999999999</v>
      </c>
      <c r="AK10" s="25">
        <v>17.373000000000001</v>
      </c>
      <c r="AL10" s="25">
        <v>13.532999999999999</v>
      </c>
      <c r="AM10" s="25">
        <v>6.1479999999999997</v>
      </c>
      <c r="AN10" s="25">
        <v>4.6920000000000002</v>
      </c>
      <c r="AO10" s="25">
        <v>13.372999999999999</v>
      </c>
      <c r="AP10" s="129" t="s">
        <v>227</v>
      </c>
      <c r="AQ10" s="64">
        <v>45809</v>
      </c>
      <c r="AR10" s="127">
        <v>45809</v>
      </c>
      <c r="AS10" s="127">
        <v>45818</v>
      </c>
    </row>
    <row r="11" spans="1:45" ht="15.75" x14ac:dyDescent="0.25">
      <c r="A11" s="64">
        <v>45809</v>
      </c>
      <c r="B11" s="65" t="s">
        <v>44</v>
      </c>
      <c r="C11" s="26">
        <v>429.47000000000116</v>
      </c>
      <c r="D11" s="26">
        <v>339.18</v>
      </c>
      <c r="E11" s="26">
        <v>512.05999999999995</v>
      </c>
      <c r="F11" s="26">
        <v>291.89999999999998</v>
      </c>
      <c r="G11" s="26">
        <v>343.39</v>
      </c>
      <c r="H11" s="26">
        <v>308.14</v>
      </c>
      <c r="I11" s="26">
        <v>452.92</v>
      </c>
      <c r="J11" s="26">
        <v>236</v>
      </c>
      <c r="K11" s="26">
        <v>238.62</v>
      </c>
      <c r="L11" s="26">
        <v>160.19</v>
      </c>
      <c r="M11" s="26">
        <v>265.58</v>
      </c>
      <c r="N11" s="26">
        <v>234.21</v>
      </c>
      <c r="O11" s="26">
        <v>173.87</v>
      </c>
      <c r="P11" s="26">
        <v>161.97999999999999</v>
      </c>
      <c r="Q11" s="26">
        <v>232.9</v>
      </c>
      <c r="R11" s="129" t="s">
        <v>227</v>
      </c>
      <c r="S11" s="64">
        <f t="shared" si="1"/>
        <v>45809</v>
      </c>
      <c r="T11" s="127">
        <v>45809</v>
      </c>
      <c r="U11" s="127">
        <v>45818</v>
      </c>
      <c r="W11" s="161" t="b">
        <f t="shared" si="0"/>
        <v>1</v>
      </c>
      <c r="Y11" s="64">
        <v>45809</v>
      </c>
      <c r="Z11" s="65" t="s">
        <v>44</v>
      </c>
      <c r="AA11" s="26">
        <v>429.47000000000116</v>
      </c>
      <c r="AB11" s="26">
        <v>339.18</v>
      </c>
      <c r="AC11" s="26">
        <v>512.05999999999995</v>
      </c>
      <c r="AD11" s="26">
        <v>291.89999999999998</v>
      </c>
      <c r="AE11" s="26">
        <v>343.39</v>
      </c>
      <c r="AF11" s="26">
        <v>308.14</v>
      </c>
      <c r="AG11" s="26">
        <v>452.92</v>
      </c>
      <c r="AH11" s="26">
        <v>236</v>
      </c>
      <c r="AI11" s="26">
        <v>238.62</v>
      </c>
      <c r="AJ11" s="26">
        <v>160.19</v>
      </c>
      <c r="AK11" s="26">
        <v>265.58</v>
      </c>
      <c r="AL11" s="26">
        <v>234.21</v>
      </c>
      <c r="AM11" s="26">
        <v>173.87</v>
      </c>
      <c r="AN11" s="26">
        <v>161.97999999999999</v>
      </c>
      <c r="AO11" s="26">
        <v>232.9</v>
      </c>
      <c r="AP11" s="129" t="s">
        <v>227</v>
      </c>
      <c r="AQ11" s="64">
        <v>45809</v>
      </c>
      <c r="AR11" s="127">
        <v>45809</v>
      </c>
      <c r="AS11" s="127">
        <v>45818</v>
      </c>
    </row>
    <row r="12" spans="1:45" ht="15.75" x14ac:dyDescent="0.25">
      <c r="A12" s="64">
        <v>45809</v>
      </c>
      <c r="B12" s="65" t="s">
        <v>45</v>
      </c>
      <c r="C12" s="27">
        <v>0</v>
      </c>
      <c r="D12" s="30">
        <v>0.02</v>
      </c>
      <c r="E12" s="27">
        <v>3.794</v>
      </c>
      <c r="F12" s="27">
        <v>2.99</v>
      </c>
      <c r="G12" s="27">
        <v>2.077</v>
      </c>
      <c r="H12" s="27">
        <v>1.4279999999999999</v>
      </c>
      <c r="I12" s="27">
        <v>4.7050000000000001</v>
      </c>
      <c r="J12" s="27">
        <v>0.93600000000000005</v>
      </c>
      <c r="K12" s="27">
        <v>1.4139999999999999</v>
      </c>
      <c r="L12" s="27">
        <v>0.58499999999999996</v>
      </c>
      <c r="M12" s="27">
        <v>1.458</v>
      </c>
      <c r="N12" s="27">
        <v>0.57599999999999996</v>
      </c>
      <c r="O12" s="27">
        <v>3.5840000000000001</v>
      </c>
      <c r="P12" s="27">
        <v>0</v>
      </c>
      <c r="Q12" s="27">
        <v>1.82</v>
      </c>
      <c r="R12" s="129" t="s">
        <v>227</v>
      </c>
      <c r="S12" s="64">
        <f t="shared" si="1"/>
        <v>45809</v>
      </c>
      <c r="T12" s="127">
        <v>45809</v>
      </c>
      <c r="U12" s="127">
        <v>45818</v>
      </c>
      <c r="W12" s="161" t="b">
        <f t="shared" si="0"/>
        <v>1</v>
      </c>
      <c r="Y12" s="64">
        <v>45809</v>
      </c>
      <c r="Z12" s="65" t="s">
        <v>45</v>
      </c>
      <c r="AA12" s="27">
        <v>0</v>
      </c>
      <c r="AB12" s="30">
        <v>0.02</v>
      </c>
      <c r="AC12" s="27">
        <v>3.794</v>
      </c>
      <c r="AD12" s="27">
        <v>2.99</v>
      </c>
      <c r="AE12" s="27">
        <v>2.077</v>
      </c>
      <c r="AF12" s="27">
        <v>1.4279999999999999</v>
      </c>
      <c r="AG12" s="27">
        <v>4.7050000000000001</v>
      </c>
      <c r="AH12" s="27">
        <v>0.93600000000000005</v>
      </c>
      <c r="AI12" s="27">
        <v>1.4139999999999999</v>
      </c>
      <c r="AJ12" s="27">
        <v>0.58499999999999996</v>
      </c>
      <c r="AK12" s="27">
        <v>1.458</v>
      </c>
      <c r="AL12" s="27">
        <v>0.57599999999999996</v>
      </c>
      <c r="AM12" s="27">
        <v>3.5840000000000001</v>
      </c>
      <c r="AN12" s="27">
        <v>0</v>
      </c>
      <c r="AO12" s="27">
        <v>1.82</v>
      </c>
      <c r="AP12" s="129" t="s">
        <v>227</v>
      </c>
      <c r="AQ12" s="64">
        <v>45809</v>
      </c>
      <c r="AR12" s="127">
        <v>45809</v>
      </c>
      <c r="AS12" s="127">
        <v>45818</v>
      </c>
    </row>
    <row r="13" spans="1:45" ht="15.75" x14ac:dyDescent="0.25">
      <c r="A13" s="64">
        <v>45809</v>
      </c>
      <c r="B13" s="65" t="s">
        <v>46</v>
      </c>
      <c r="C13" s="26">
        <v>0</v>
      </c>
      <c r="D13" s="26">
        <v>0.69</v>
      </c>
      <c r="E13" s="26">
        <v>131.75</v>
      </c>
      <c r="F13" s="26">
        <v>103.83</v>
      </c>
      <c r="G13" s="26">
        <v>72.12</v>
      </c>
      <c r="H13" s="26">
        <v>49.59</v>
      </c>
      <c r="I13" s="26">
        <v>163.38</v>
      </c>
      <c r="J13" s="26">
        <v>32.5</v>
      </c>
      <c r="K13" s="26">
        <v>49.1</v>
      </c>
      <c r="L13" s="26">
        <v>20.309999999999999</v>
      </c>
      <c r="M13" s="26">
        <v>50.63</v>
      </c>
      <c r="N13" s="26">
        <v>20</v>
      </c>
      <c r="O13" s="26">
        <v>124.45</v>
      </c>
      <c r="P13" s="26">
        <v>0</v>
      </c>
      <c r="Q13" s="26">
        <v>63.2</v>
      </c>
      <c r="R13" s="129" t="s">
        <v>227</v>
      </c>
      <c r="S13" s="64">
        <f t="shared" si="1"/>
        <v>45809</v>
      </c>
      <c r="T13" s="127">
        <v>45809</v>
      </c>
      <c r="U13" s="127">
        <v>45818</v>
      </c>
      <c r="W13" s="161" t="b">
        <f t="shared" si="0"/>
        <v>1</v>
      </c>
      <c r="Y13" s="64">
        <v>45809</v>
      </c>
      <c r="Z13" s="65" t="s">
        <v>46</v>
      </c>
      <c r="AA13" s="26">
        <v>0</v>
      </c>
      <c r="AB13" s="26">
        <v>0.69</v>
      </c>
      <c r="AC13" s="26">
        <v>131.75</v>
      </c>
      <c r="AD13" s="26">
        <v>103.83</v>
      </c>
      <c r="AE13" s="26">
        <v>72.12</v>
      </c>
      <c r="AF13" s="26">
        <v>49.59</v>
      </c>
      <c r="AG13" s="26">
        <v>163.38</v>
      </c>
      <c r="AH13" s="26">
        <v>32.5</v>
      </c>
      <c r="AI13" s="26">
        <v>49.1</v>
      </c>
      <c r="AJ13" s="26">
        <v>20.309999999999999</v>
      </c>
      <c r="AK13" s="26">
        <v>50.63</v>
      </c>
      <c r="AL13" s="26">
        <v>20</v>
      </c>
      <c r="AM13" s="26">
        <v>124.45</v>
      </c>
      <c r="AN13" s="26">
        <v>0</v>
      </c>
      <c r="AO13" s="26">
        <v>63.2</v>
      </c>
      <c r="AP13" s="129" t="s">
        <v>227</v>
      </c>
      <c r="AQ13" s="64">
        <v>45809</v>
      </c>
      <c r="AR13" s="127">
        <v>45809</v>
      </c>
      <c r="AS13" s="127">
        <v>45818</v>
      </c>
    </row>
    <row r="14" spans="1:45" ht="15.75" x14ac:dyDescent="0.25">
      <c r="A14" s="64">
        <v>45809</v>
      </c>
      <c r="B14" s="65" t="s">
        <v>47</v>
      </c>
      <c r="C14" s="28">
        <v>0</v>
      </c>
      <c r="D14" s="26">
        <v>465.96</v>
      </c>
      <c r="E14" s="26">
        <v>465.96</v>
      </c>
      <c r="F14" s="26">
        <v>465.96</v>
      </c>
      <c r="G14" s="26">
        <v>465.96</v>
      </c>
      <c r="H14" s="26">
        <v>465.96</v>
      </c>
      <c r="I14" s="26">
        <v>465.96</v>
      </c>
      <c r="J14" s="26">
        <v>465.96</v>
      </c>
      <c r="K14" s="26">
        <v>465.96</v>
      </c>
      <c r="L14" s="26">
        <v>465.96</v>
      </c>
      <c r="M14" s="26">
        <v>465.96</v>
      </c>
      <c r="N14" s="26">
        <v>465.96</v>
      </c>
      <c r="O14" s="26">
        <v>465.96</v>
      </c>
      <c r="P14" s="26">
        <v>465.96</v>
      </c>
      <c r="Q14" s="26">
        <v>465.96</v>
      </c>
      <c r="R14" s="129" t="s">
        <v>227</v>
      </c>
      <c r="S14" s="64">
        <f t="shared" si="1"/>
        <v>45809</v>
      </c>
      <c r="T14" s="127">
        <v>45809</v>
      </c>
      <c r="U14" s="127">
        <v>45818</v>
      </c>
      <c r="W14" s="161" t="b">
        <f t="shared" si="0"/>
        <v>1</v>
      </c>
      <c r="Y14" s="64">
        <v>45809</v>
      </c>
      <c r="Z14" s="65" t="s">
        <v>47</v>
      </c>
      <c r="AA14" s="28">
        <v>0</v>
      </c>
      <c r="AB14" s="26">
        <v>465.96</v>
      </c>
      <c r="AC14" s="26">
        <v>465.96</v>
      </c>
      <c r="AD14" s="26">
        <v>465.96</v>
      </c>
      <c r="AE14" s="26">
        <v>465.96</v>
      </c>
      <c r="AF14" s="26">
        <v>465.96</v>
      </c>
      <c r="AG14" s="26">
        <v>465.96</v>
      </c>
      <c r="AH14" s="26">
        <v>465.96</v>
      </c>
      <c r="AI14" s="26">
        <v>465.96</v>
      </c>
      <c r="AJ14" s="26">
        <v>465.96</v>
      </c>
      <c r="AK14" s="26">
        <v>465.96</v>
      </c>
      <c r="AL14" s="26">
        <v>465.96</v>
      </c>
      <c r="AM14" s="26">
        <v>465.96</v>
      </c>
      <c r="AN14" s="26">
        <v>465.96</v>
      </c>
      <c r="AO14" s="26">
        <v>465.96</v>
      </c>
      <c r="AP14" s="129" t="s">
        <v>227</v>
      </c>
      <c r="AQ14" s="64">
        <v>45809</v>
      </c>
      <c r="AR14" s="127">
        <v>45809</v>
      </c>
      <c r="AS14" s="127">
        <v>45818</v>
      </c>
    </row>
    <row r="15" spans="1:45" ht="15.75" x14ac:dyDescent="0.25">
      <c r="A15" s="64">
        <v>45809</v>
      </c>
      <c r="B15" s="65" t="s">
        <v>62</v>
      </c>
      <c r="C15" s="26">
        <v>0</v>
      </c>
      <c r="D15" s="26">
        <v>806</v>
      </c>
      <c r="E15" s="26">
        <v>1110</v>
      </c>
      <c r="F15" s="26">
        <v>862</v>
      </c>
      <c r="G15" s="26">
        <v>882</v>
      </c>
      <c r="H15" s="26">
        <v>824</v>
      </c>
      <c r="I15" s="26">
        <v>1083</v>
      </c>
      <c r="J15" s="26">
        <v>735</v>
      </c>
      <c r="K15" s="26">
        <v>754</v>
      </c>
      <c r="L15" s="151">
        <v>647</v>
      </c>
      <c r="M15" s="26">
        <v>783</v>
      </c>
      <c r="N15" s="26">
        <v>721</v>
      </c>
      <c r="O15" s="26">
        <v>765</v>
      </c>
      <c r="P15" s="26">
        <v>628</v>
      </c>
      <c r="Q15" s="58">
        <v>763</v>
      </c>
      <c r="R15" s="116">
        <f>SUM(C15:P15)+LANÇTºS!G34</f>
        <v>10750</v>
      </c>
      <c r="S15" s="64">
        <f t="shared" si="1"/>
        <v>45809</v>
      </c>
      <c r="T15" s="127">
        <v>45809</v>
      </c>
      <c r="U15" s="127">
        <v>45818</v>
      </c>
      <c r="W15" s="161" t="b">
        <f t="shared" si="0"/>
        <v>1</v>
      </c>
      <c r="Y15" s="64">
        <v>45809</v>
      </c>
      <c r="Z15" s="65" t="s">
        <v>62</v>
      </c>
      <c r="AA15" s="26">
        <v>0</v>
      </c>
      <c r="AB15" s="26">
        <v>806</v>
      </c>
      <c r="AC15" s="26">
        <v>1110</v>
      </c>
      <c r="AD15" s="26">
        <v>862</v>
      </c>
      <c r="AE15" s="26">
        <v>882</v>
      </c>
      <c r="AF15" s="26">
        <v>824</v>
      </c>
      <c r="AG15" s="26">
        <v>1083</v>
      </c>
      <c r="AH15" s="26">
        <v>735</v>
      </c>
      <c r="AI15" s="26">
        <v>754</v>
      </c>
      <c r="AJ15" s="151">
        <v>647</v>
      </c>
      <c r="AK15" s="26">
        <v>783</v>
      </c>
      <c r="AL15" s="26">
        <v>721</v>
      </c>
      <c r="AM15" s="26">
        <v>765</v>
      </c>
      <c r="AN15" s="26">
        <v>628</v>
      </c>
      <c r="AO15" s="58">
        <v>763</v>
      </c>
      <c r="AP15" s="116">
        <v>10750</v>
      </c>
      <c r="AQ15" s="64">
        <v>45809</v>
      </c>
      <c r="AR15" s="127">
        <v>45809</v>
      </c>
      <c r="AS15" s="127">
        <v>45818</v>
      </c>
    </row>
    <row r="16" spans="1:45" ht="15.75" x14ac:dyDescent="0.25">
      <c r="A16" s="83">
        <v>45809</v>
      </c>
      <c r="B16" s="84" t="s">
        <v>63</v>
      </c>
      <c r="C16" s="81">
        <v>0</v>
      </c>
      <c r="D16" s="81">
        <f t="shared" ref="D16:Q16" si="3">SUM(D11+D13+D14)</f>
        <v>805.82999999999993</v>
      </c>
      <c r="E16" s="81">
        <f t="shared" si="3"/>
        <v>1109.77</v>
      </c>
      <c r="F16" s="81">
        <f t="shared" si="3"/>
        <v>861.68999999999994</v>
      </c>
      <c r="G16" s="81">
        <f t="shared" si="3"/>
        <v>881.47</v>
      </c>
      <c r="H16" s="81">
        <f t="shared" si="3"/>
        <v>823.69</v>
      </c>
      <c r="I16" s="81">
        <f t="shared" si="3"/>
        <v>1082.26</v>
      </c>
      <c r="J16" s="81">
        <f t="shared" si="3"/>
        <v>734.46</v>
      </c>
      <c r="K16" s="81">
        <f t="shared" si="3"/>
        <v>753.68000000000006</v>
      </c>
      <c r="L16" s="81">
        <f t="shared" si="3"/>
        <v>646.46</v>
      </c>
      <c r="M16" s="81">
        <f t="shared" si="3"/>
        <v>782.17</v>
      </c>
      <c r="N16" s="81">
        <f t="shared" si="3"/>
        <v>720.17</v>
      </c>
      <c r="O16" s="81">
        <f t="shared" si="3"/>
        <v>764.28</v>
      </c>
      <c r="P16" s="81">
        <f t="shared" si="3"/>
        <v>627.93999999999994</v>
      </c>
      <c r="Q16" s="85">
        <f t="shared" si="3"/>
        <v>762.06</v>
      </c>
      <c r="R16" s="125">
        <f>SUM(C16:P16)+LANÇTºS!G34</f>
        <v>10743.870000000003</v>
      </c>
      <c r="S16" s="83">
        <f t="shared" si="1"/>
        <v>45809</v>
      </c>
      <c r="T16" s="128">
        <v>45809</v>
      </c>
      <c r="U16" s="128">
        <v>45818</v>
      </c>
      <c r="W16" s="161" t="b">
        <f t="shared" si="0"/>
        <v>1</v>
      </c>
      <c r="Y16" s="83">
        <v>45809</v>
      </c>
      <c r="Z16" s="84" t="s">
        <v>63</v>
      </c>
      <c r="AA16" s="81">
        <v>0</v>
      </c>
      <c r="AB16" s="81">
        <v>805.82999999999993</v>
      </c>
      <c r="AC16" s="81">
        <v>1109.77</v>
      </c>
      <c r="AD16" s="81">
        <v>861.68999999999994</v>
      </c>
      <c r="AE16" s="81">
        <v>881.47</v>
      </c>
      <c r="AF16" s="81">
        <v>823.69</v>
      </c>
      <c r="AG16" s="81">
        <v>1082.26</v>
      </c>
      <c r="AH16" s="81">
        <v>734.46</v>
      </c>
      <c r="AI16" s="81">
        <v>753.68000000000006</v>
      </c>
      <c r="AJ16" s="81">
        <v>646.46</v>
      </c>
      <c r="AK16" s="81">
        <v>782.17</v>
      </c>
      <c r="AL16" s="81">
        <v>720.17</v>
      </c>
      <c r="AM16" s="81">
        <v>764.28</v>
      </c>
      <c r="AN16" s="81">
        <v>627.93999999999994</v>
      </c>
      <c r="AO16" s="85">
        <v>762.06</v>
      </c>
      <c r="AP16" s="125">
        <v>10743.870000000003</v>
      </c>
      <c r="AQ16" s="83">
        <v>45809</v>
      </c>
      <c r="AR16" s="128">
        <v>45809</v>
      </c>
      <c r="AS16" s="128">
        <v>45818</v>
      </c>
    </row>
    <row r="17" spans="1:45" ht="15.75" x14ac:dyDescent="0.25">
      <c r="A17" s="64">
        <v>45839</v>
      </c>
      <c r="B17" s="65" t="s">
        <v>43</v>
      </c>
      <c r="C17" s="149">
        <v>0</v>
      </c>
      <c r="D17" s="25">
        <v>25.751999999999999</v>
      </c>
      <c r="E17" s="25">
        <v>45.390999999999998</v>
      </c>
      <c r="F17" s="25">
        <v>18.831</v>
      </c>
      <c r="G17" s="25">
        <v>28.155000000000001</v>
      </c>
      <c r="H17" s="25">
        <v>24.280999999999999</v>
      </c>
      <c r="I17" s="25">
        <v>63.423000000000002</v>
      </c>
      <c r="J17" s="25">
        <v>16.295999999999999</v>
      </c>
      <c r="K17" s="25">
        <v>13.972</v>
      </c>
      <c r="L17" s="25">
        <v>5.7060000000000004</v>
      </c>
      <c r="M17" s="25">
        <v>19.087</v>
      </c>
      <c r="N17" s="25">
        <v>15.301</v>
      </c>
      <c r="O17" s="25">
        <v>6.3959999999999999</v>
      </c>
      <c r="P17" s="25">
        <v>3.2909999999999999</v>
      </c>
      <c r="Q17" s="25">
        <v>10.814</v>
      </c>
      <c r="R17" s="129" t="s">
        <v>227</v>
      </c>
      <c r="S17" s="64">
        <f t="shared" si="1"/>
        <v>45839</v>
      </c>
      <c r="T17" s="127">
        <v>45839</v>
      </c>
      <c r="U17" s="127">
        <v>45846</v>
      </c>
      <c r="W17" s="161" t="b">
        <f t="shared" si="0"/>
        <v>1</v>
      </c>
      <c r="Y17" s="64">
        <v>45839</v>
      </c>
      <c r="Z17" s="65" t="s">
        <v>43</v>
      </c>
      <c r="AA17" s="149">
        <v>0</v>
      </c>
      <c r="AB17" s="25">
        <v>25.751999999999999</v>
      </c>
      <c r="AC17" s="25">
        <v>45.390999999999998</v>
      </c>
      <c r="AD17" s="25">
        <v>18.831</v>
      </c>
      <c r="AE17" s="25">
        <v>28.155000000000001</v>
      </c>
      <c r="AF17" s="25">
        <v>24.280999999999999</v>
      </c>
      <c r="AG17" s="25">
        <v>63.423000000000002</v>
      </c>
      <c r="AH17" s="25">
        <v>16.295999999999999</v>
      </c>
      <c r="AI17" s="25">
        <v>13.972</v>
      </c>
      <c r="AJ17" s="25">
        <v>5.7060000000000004</v>
      </c>
      <c r="AK17" s="25">
        <v>19.087</v>
      </c>
      <c r="AL17" s="25">
        <v>15.301</v>
      </c>
      <c r="AM17" s="25">
        <v>6.3959999999999999</v>
      </c>
      <c r="AN17" s="25">
        <v>3.2909999999999999</v>
      </c>
      <c r="AO17" s="25">
        <v>10.814</v>
      </c>
      <c r="AP17" s="129" t="s">
        <v>227</v>
      </c>
      <c r="AQ17" s="64">
        <v>45839</v>
      </c>
      <c r="AR17" s="127">
        <v>45839</v>
      </c>
      <c r="AS17" s="127">
        <v>45846</v>
      </c>
    </row>
    <row r="18" spans="1:45" ht="15.75" x14ac:dyDescent="0.25">
      <c r="A18" s="64">
        <v>45839</v>
      </c>
      <c r="B18" s="65" t="s">
        <v>44</v>
      </c>
      <c r="C18" s="26">
        <v>0</v>
      </c>
      <c r="D18" s="26">
        <v>346.21</v>
      </c>
      <c r="E18" s="26">
        <v>610.25</v>
      </c>
      <c r="F18" s="26">
        <v>253.17</v>
      </c>
      <c r="G18" s="26">
        <v>378.52</v>
      </c>
      <c r="H18" s="26">
        <v>326.44</v>
      </c>
      <c r="I18" s="26">
        <v>852.68</v>
      </c>
      <c r="J18" s="26">
        <v>219.08</v>
      </c>
      <c r="K18" s="26">
        <v>187.84</v>
      </c>
      <c r="L18" s="26">
        <v>76.709999999999994</v>
      </c>
      <c r="M18" s="26">
        <v>256.61</v>
      </c>
      <c r="N18" s="26">
        <v>205.71</v>
      </c>
      <c r="O18" s="26">
        <v>85.99</v>
      </c>
      <c r="P18" s="26">
        <v>44.24</v>
      </c>
      <c r="Q18" s="26">
        <v>145.38</v>
      </c>
      <c r="R18" s="129" t="s">
        <v>227</v>
      </c>
      <c r="S18" s="64">
        <f t="shared" si="1"/>
        <v>45839</v>
      </c>
      <c r="T18" s="127">
        <v>45839</v>
      </c>
      <c r="U18" s="127">
        <v>45846</v>
      </c>
      <c r="W18" s="161" t="b">
        <f t="shared" si="0"/>
        <v>1</v>
      </c>
      <c r="Y18" s="64">
        <v>45839</v>
      </c>
      <c r="Z18" s="65" t="s">
        <v>44</v>
      </c>
      <c r="AA18" s="26">
        <v>0</v>
      </c>
      <c r="AB18" s="26">
        <v>346.21</v>
      </c>
      <c r="AC18" s="26">
        <v>610.25</v>
      </c>
      <c r="AD18" s="26">
        <v>253.17</v>
      </c>
      <c r="AE18" s="26">
        <v>378.52</v>
      </c>
      <c r="AF18" s="26">
        <v>326.44</v>
      </c>
      <c r="AG18" s="26">
        <v>852.68</v>
      </c>
      <c r="AH18" s="26">
        <v>219.08</v>
      </c>
      <c r="AI18" s="26">
        <v>187.84</v>
      </c>
      <c r="AJ18" s="26">
        <v>76.709999999999994</v>
      </c>
      <c r="AK18" s="26">
        <v>256.61</v>
      </c>
      <c r="AL18" s="26">
        <v>205.71</v>
      </c>
      <c r="AM18" s="26">
        <v>85.99</v>
      </c>
      <c r="AN18" s="26">
        <v>44.24</v>
      </c>
      <c r="AO18" s="26">
        <v>145.38</v>
      </c>
      <c r="AP18" s="129" t="s">
        <v>227</v>
      </c>
      <c r="AQ18" s="64">
        <v>45839</v>
      </c>
      <c r="AR18" s="127">
        <v>45839</v>
      </c>
      <c r="AS18" s="127">
        <v>45846</v>
      </c>
    </row>
    <row r="19" spans="1:45" ht="15.75" x14ac:dyDescent="0.25">
      <c r="A19" s="64">
        <v>45839</v>
      </c>
      <c r="B19" s="65" t="s">
        <v>45</v>
      </c>
      <c r="C19" s="27">
        <v>0</v>
      </c>
      <c r="D19" s="30">
        <v>4.7E-2</v>
      </c>
      <c r="E19" s="27">
        <v>4.3339999999999996</v>
      </c>
      <c r="F19" s="27">
        <v>2.5489999999999999</v>
      </c>
      <c r="G19" s="27">
        <v>2.077</v>
      </c>
      <c r="H19" s="27">
        <v>1.667</v>
      </c>
      <c r="I19" s="27">
        <v>5.5860000000000003</v>
      </c>
      <c r="J19" s="27">
        <v>1.075</v>
      </c>
      <c r="K19" s="27">
        <v>1.327</v>
      </c>
      <c r="L19" s="27">
        <v>0.71199999999999997</v>
      </c>
      <c r="M19" s="27">
        <v>1.8839999999999999</v>
      </c>
      <c r="N19" s="27">
        <v>0.75800000000000001</v>
      </c>
      <c r="O19" s="27">
        <v>3.6429999999999998</v>
      </c>
      <c r="P19" s="27">
        <v>0</v>
      </c>
      <c r="Q19" s="27">
        <v>1.516</v>
      </c>
      <c r="R19" s="129" t="s">
        <v>227</v>
      </c>
      <c r="S19" s="64">
        <f t="shared" si="1"/>
        <v>45839</v>
      </c>
      <c r="T19" s="127">
        <v>45839</v>
      </c>
      <c r="U19" s="127">
        <v>45846</v>
      </c>
      <c r="W19" s="161" t="b">
        <f t="shared" si="0"/>
        <v>1</v>
      </c>
      <c r="Y19" s="64">
        <v>45839</v>
      </c>
      <c r="Z19" s="65" t="s">
        <v>45</v>
      </c>
      <c r="AA19" s="27">
        <v>0</v>
      </c>
      <c r="AB19" s="30">
        <v>4.7E-2</v>
      </c>
      <c r="AC19" s="27">
        <v>4.3339999999999996</v>
      </c>
      <c r="AD19" s="27">
        <v>2.5489999999999999</v>
      </c>
      <c r="AE19" s="27">
        <v>2.077</v>
      </c>
      <c r="AF19" s="27">
        <v>1.667</v>
      </c>
      <c r="AG19" s="27">
        <v>5.5860000000000003</v>
      </c>
      <c r="AH19" s="27">
        <v>1.075</v>
      </c>
      <c r="AI19" s="27">
        <v>1.327</v>
      </c>
      <c r="AJ19" s="27">
        <v>0.71199999999999997</v>
      </c>
      <c r="AK19" s="27">
        <v>1.8839999999999999</v>
      </c>
      <c r="AL19" s="27">
        <v>0.75800000000000001</v>
      </c>
      <c r="AM19" s="27">
        <v>3.6429999999999998</v>
      </c>
      <c r="AN19" s="27">
        <v>0</v>
      </c>
      <c r="AO19" s="27">
        <v>1.516</v>
      </c>
      <c r="AP19" s="129" t="s">
        <v>227</v>
      </c>
      <c r="AQ19" s="64">
        <v>45839</v>
      </c>
      <c r="AR19" s="127">
        <v>45839</v>
      </c>
      <c r="AS19" s="127">
        <v>45846</v>
      </c>
    </row>
    <row r="20" spans="1:45" ht="15.75" x14ac:dyDescent="0.25">
      <c r="A20" s="64">
        <v>45839</v>
      </c>
      <c r="B20" s="65" t="s">
        <v>46</v>
      </c>
      <c r="C20" s="26">
        <v>0</v>
      </c>
      <c r="D20" s="26">
        <v>1.77</v>
      </c>
      <c r="E20" s="26">
        <v>163.28</v>
      </c>
      <c r="F20" s="26">
        <v>96.03</v>
      </c>
      <c r="G20" s="26">
        <v>78.25</v>
      </c>
      <c r="H20" s="26">
        <v>62.8</v>
      </c>
      <c r="I20" s="26">
        <v>210.45</v>
      </c>
      <c r="J20" s="26">
        <v>40.5</v>
      </c>
      <c r="K20" s="26">
        <v>49.99</v>
      </c>
      <c r="L20" s="26">
        <v>26.82</v>
      </c>
      <c r="M20" s="26">
        <v>70.98</v>
      </c>
      <c r="N20" s="26">
        <v>28.56</v>
      </c>
      <c r="O20" s="26">
        <v>137.25</v>
      </c>
      <c r="P20" s="26">
        <v>0</v>
      </c>
      <c r="Q20" s="26">
        <v>57.12</v>
      </c>
      <c r="R20" s="129" t="s">
        <v>227</v>
      </c>
      <c r="S20" s="64">
        <f t="shared" si="1"/>
        <v>45839</v>
      </c>
      <c r="T20" s="127">
        <v>45839</v>
      </c>
      <c r="U20" s="127">
        <v>45846</v>
      </c>
      <c r="W20" s="161" t="b">
        <f t="shared" si="0"/>
        <v>1</v>
      </c>
      <c r="Y20" s="64">
        <v>45839</v>
      </c>
      <c r="Z20" s="65" t="s">
        <v>46</v>
      </c>
      <c r="AA20" s="26">
        <v>0</v>
      </c>
      <c r="AB20" s="26">
        <v>1.77</v>
      </c>
      <c r="AC20" s="26">
        <v>163.28</v>
      </c>
      <c r="AD20" s="26">
        <v>96.03</v>
      </c>
      <c r="AE20" s="26">
        <v>78.25</v>
      </c>
      <c r="AF20" s="26">
        <v>62.8</v>
      </c>
      <c r="AG20" s="26">
        <v>210.45</v>
      </c>
      <c r="AH20" s="26">
        <v>40.5</v>
      </c>
      <c r="AI20" s="26">
        <v>49.99</v>
      </c>
      <c r="AJ20" s="26">
        <v>26.82</v>
      </c>
      <c r="AK20" s="26">
        <v>70.98</v>
      </c>
      <c r="AL20" s="26">
        <v>28.56</v>
      </c>
      <c r="AM20" s="26">
        <v>137.25</v>
      </c>
      <c r="AN20" s="26">
        <v>0</v>
      </c>
      <c r="AO20" s="26">
        <v>57.12</v>
      </c>
      <c r="AP20" s="129" t="s">
        <v>227</v>
      </c>
      <c r="AQ20" s="64">
        <v>45839</v>
      </c>
      <c r="AR20" s="127">
        <v>45839</v>
      </c>
      <c r="AS20" s="127">
        <v>45846</v>
      </c>
    </row>
    <row r="21" spans="1:45" ht="15.75" x14ac:dyDescent="0.25">
      <c r="A21" s="64">
        <v>45839</v>
      </c>
      <c r="B21" s="65" t="s">
        <v>47</v>
      </c>
      <c r="C21" s="28">
        <v>0</v>
      </c>
      <c r="D21" s="26">
        <v>457.25</v>
      </c>
      <c r="E21" s="26">
        <v>457.25</v>
      </c>
      <c r="F21" s="26">
        <v>457.25</v>
      </c>
      <c r="G21" s="26">
        <v>457.25</v>
      </c>
      <c r="H21" s="26">
        <v>457.25</v>
      </c>
      <c r="I21" s="26">
        <v>457.25</v>
      </c>
      <c r="J21" s="26">
        <v>457.25</v>
      </c>
      <c r="K21" s="26">
        <v>457.25</v>
      </c>
      <c r="L21" s="26">
        <v>457.25</v>
      </c>
      <c r="M21" s="26">
        <v>457.25</v>
      </c>
      <c r="N21" s="26">
        <v>457.25</v>
      </c>
      <c r="O21" s="26">
        <v>457.25</v>
      </c>
      <c r="P21" s="26">
        <v>457.25</v>
      </c>
      <c r="Q21" s="26">
        <v>457.25</v>
      </c>
      <c r="R21" s="129" t="s">
        <v>227</v>
      </c>
      <c r="S21" s="64">
        <f t="shared" si="1"/>
        <v>45839</v>
      </c>
      <c r="T21" s="127">
        <v>45839</v>
      </c>
      <c r="U21" s="127">
        <v>45846</v>
      </c>
      <c r="W21" s="161" t="b">
        <f t="shared" si="0"/>
        <v>1</v>
      </c>
      <c r="Y21" s="64">
        <v>45839</v>
      </c>
      <c r="Z21" s="65" t="s">
        <v>47</v>
      </c>
      <c r="AA21" s="28">
        <v>0</v>
      </c>
      <c r="AB21" s="26">
        <v>457.25</v>
      </c>
      <c r="AC21" s="26">
        <v>457.25</v>
      </c>
      <c r="AD21" s="26">
        <v>457.25</v>
      </c>
      <c r="AE21" s="26">
        <v>457.25</v>
      </c>
      <c r="AF21" s="26">
        <v>457.25</v>
      </c>
      <c r="AG21" s="26">
        <v>457.25</v>
      </c>
      <c r="AH21" s="26">
        <v>457.25</v>
      </c>
      <c r="AI21" s="26">
        <v>457.25</v>
      </c>
      <c r="AJ21" s="26">
        <v>457.25</v>
      </c>
      <c r="AK21" s="26">
        <v>457.25</v>
      </c>
      <c r="AL21" s="26">
        <v>457.25</v>
      </c>
      <c r="AM21" s="26">
        <v>457.25</v>
      </c>
      <c r="AN21" s="26">
        <v>457.25</v>
      </c>
      <c r="AO21" s="26">
        <v>457.25</v>
      </c>
      <c r="AP21" s="129" t="s">
        <v>227</v>
      </c>
      <c r="AQ21" s="64">
        <v>45839</v>
      </c>
      <c r="AR21" s="127">
        <v>45839</v>
      </c>
      <c r="AS21" s="127">
        <v>45846</v>
      </c>
    </row>
    <row r="22" spans="1:45" ht="15.75" x14ac:dyDescent="0.25">
      <c r="A22" s="64">
        <v>45839</v>
      </c>
      <c r="B22" s="65" t="s">
        <v>62</v>
      </c>
      <c r="C22" s="26">
        <v>0</v>
      </c>
      <c r="D22" s="26">
        <v>806</v>
      </c>
      <c r="E22" s="26">
        <v>1231</v>
      </c>
      <c r="F22" s="26">
        <v>807</v>
      </c>
      <c r="G22" s="26">
        <v>915</v>
      </c>
      <c r="H22" s="26">
        <v>847</v>
      </c>
      <c r="I22" s="26">
        <v>1521</v>
      </c>
      <c r="J22" s="26">
        <v>717</v>
      </c>
      <c r="K22" s="26">
        <v>696</v>
      </c>
      <c r="L22" s="26">
        <v>561</v>
      </c>
      <c r="M22" s="26">
        <v>785</v>
      </c>
      <c r="N22" s="26">
        <v>692</v>
      </c>
      <c r="O22" s="26">
        <v>681</v>
      </c>
      <c r="P22" s="26">
        <v>502</v>
      </c>
      <c r="Q22" s="58">
        <v>660</v>
      </c>
      <c r="R22" s="116">
        <f>SUM(C22:P22)+LANÇTºS!K34</f>
        <v>10911</v>
      </c>
      <c r="S22" s="64">
        <f t="shared" si="1"/>
        <v>45839</v>
      </c>
      <c r="T22" s="127">
        <v>45839</v>
      </c>
      <c r="U22" s="127">
        <v>45846</v>
      </c>
      <c r="W22" s="161" t="b">
        <f t="shared" si="0"/>
        <v>1</v>
      </c>
      <c r="Y22" s="64">
        <v>45839</v>
      </c>
      <c r="Z22" s="65" t="s">
        <v>62</v>
      </c>
      <c r="AA22" s="26">
        <v>0</v>
      </c>
      <c r="AB22" s="26">
        <v>806</v>
      </c>
      <c r="AC22" s="26">
        <v>1231</v>
      </c>
      <c r="AD22" s="26">
        <v>807</v>
      </c>
      <c r="AE22" s="26">
        <v>915</v>
      </c>
      <c r="AF22" s="26">
        <v>847</v>
      </c>
      <c r="AG22" s="26">
        <v>1521</v>
      </c>
      <c r="AH22" s="26">
        <v>717</v>
      </c>
      <c r="AI22" s="26">
        <v>696</v>
      </c>
      <c r="AJ22" s="26">
        <v>561</v>
      </c>
      <c r="AK22" s="26">
        <v>785</v>
      </c>
      <c r="AL22" s="26">
        <v>692</v>
      </c>
      <c r="AM22" s="26">
        <v>681</v>
      </c>
      <c r="AN22" s="26">
        <v>502</v>
      </c>
      <c r="AO22" s="58">
        <v>660</v>
      </c>
      <c r="AP22" s="116">
        <v>10911</v>
      </c>
      <c r="AQ22" s="64">
        <v>45839</v>
      </c>
      <c r="AR22" s="127">
        <v>45839</v>
      </c>
      <c r="AS22" s="127">
        <v>45846</v>
      </c>
    </row>
    <row r="23" spans="1:45" ht="15.75" x14ac:dyDescent="0.25">
      <c r="A23" s="83">
        <v>45839</v>
      </c>
      <c r="B23" s="84" t="s">
        <v>63</v>
      </c>
      <c r="C23" s="81">
        <v>0</v>
      </c>
      <c r="D23" s="81">
        <f t="shared" ref="D23:Q23" si="4">SUM(D18+D20+D21)</f>
        <v>805.23</v>
      </c>
      <c r="E23" s="81">
        <f t="shared" si="4"/>
        <v>1230.78</v>
      </c>
      <c r="F23" s="81">
        <f t="shared" si="4"/>
        <v>806.45</v>
      </c>
      <c r="G23" s="81">
        <f t="shared" si="4"/>
        <v>914.02</v>
      </c>
      <c r="H23" s="81">
        <f t="shared" si="4"/>
        <v>846.49</v>
      </c>
      <c r="I23" s="81">
        <f t="shared" si="4"/>
        <v>1520.3799999999999</v>
      </c>
      <c r="J23" s="81">
        <f t="shared" si="4"/>
        <v>716.83</v>
      </c>
      <c r="K23" s="81">
        <f t="shared" si="4"/>
        <v>695.08</v>
      </c>
      <c r="L23" s="81">
        <f t="shared" si="4"/>
        <v>560.78</v>
      </c>
      <c r="M23" s="81">
        <f t="shared" si="4"/>
        <v>784.84</v>
      </c>
      <c r="N23" s="81">
        <f t="shared" si="4"/>
        <v>691.52</v>
      </c>
      <c r="O23" s="81">
        <f t="shared" si="4"/>
        <v>680.49</v>
      </c>
      <c r="P23" s="81">
        <f t="shared" si="4"/>
        <v>501.49</v>
      </c>
      <c r="Q23" s="85">
        <f t="shared" si="4"/>
        <v>659.75</v>
      </c>
      <c r="R23" s="125">
        <f>SUM(C23:P23)+LANÇTºS!K34</f>
        <v>10904.38</v>
      </c>
      <c r="S23" s="83">
        <f t="shared" si="1"/>
        <v>45839</v>
      </c>
      <c r="T23" s="128">
        <v>45839</v>
      </c>
      <c r="U23" s="128">
        <v>45846</v>
      </c>
      <c r="W23" s="161" t="b">
        <f t="shared" si="0"/>
        <v>1</v>
      </c>
      <c r="Y23" s="83">
        <v>45839</v>
      </c>
      <c r="Z23" s="84" t="s">
        <v>63</v>
      </c>
      <c r="AA23" s="81">
        <v>0</v>
      </c>
      <c r="AB23" s="81">
        <v>805.23</v>
      </c>
      <c r="AC23" s="81">
        <v>1230.78</v>
      </c>
      <c r="AD23" s="81">
        <v>806.45</v>
      </c>
      <c r="AE23" s="81">
        <v>914.02</v>
      </c>
      <c r="AF23" s="81">
        <v>846.49</v>
      </c>
      <c r="AG23" s="81">
        <v>1520.3799999999999</v>
      </c>
      <c r="AH23" s="81">
        <v>716.83</v>
      </c>
      <c r="AI23" s="81">
        <v>695.08</v>
      </c>
      <c r="AJ23" s="81">
        <v>560.78</v>
      </c>
      <c r="AK23" s="81">
        <v>784.84</v>
      </c>
      <c r="AL23" s="81">
        <v>691.52</v>
      </c>
      <c r="AM23" s="81">
        <v>680.49</v>
      </c>
      <c r="AN23" s="81">
        <v>501.49</v>
      </c>
      <c r="AO23" s="85">
        <v>659.75</v>
      </c>
      <c r="AP23" s="125">
        <v>10904.38</v>
      </c>
      <c r="AQ23" s="83">
        <v>45839</v>
      </c>
      <c r="AR23" s="128">
        <v>45839</v>
      </c>
      <c r="AS23" s="128">
        <v>45846</v>
      </c>
    </row>
    <row r="24" spans="1:45" ht="15.75" x14ac:dyDescent="0.25">
      <c r="A24" s="64">
        <v>45870</v>
      </c>
      <c r="B24" s="65" t="s">
        <v>43</v>
      </c>
      <c r="C24" s="149">
        <v>0</v>
      </c>
      <c r="D24" s="25">
        <v>14.55</v>
      </c>
      <c r="E24" s="25">
        <v>30.318999999999999</v>
      </c>
      <c r="F24" s="25">
        <v>18.923999999999999</v>
      </c>
      <c r="G24" s="25">
        <v>27.603000000000002</v>
      </c>
      <c r="H24" s="25">
        <v>27.395</v>
      </c>
      <c r="I24" s="25">
        <v>56.386000000000003</v>
      </c>
      <c r="J24" s="25">
        <v>15.234</v>
      </c>
      <c r="K24" s="25">
        <v>14.728</v>
      </c>
      <c r="L24" s="25">
        <v>3.8610000000000002</v>
      </c>
      <c r="M24" s="25">
        <v>12.961</v>
      </c>
      <c r="N24" s="25">
        <v>16.448</v>
      </c>
      <c r="O24" s="25">
        <v>6.7519999999999998</v>
      </c>
      <c r="P24" s="25">
        <v>5.867</v>
      </c>
      <c r="Q24" s="25">
        <v>16.04</v>
      </c>
      <c r="R24" s="129" t="s">
        <v>227</v>
      </c>
      <c r="S24" s="64">
        <f t="shared" si="1"/>
        <v>45870</v>
      </c>
      <c r="T24" s="127">
        <v>45876</v>
      </c>
      <c r="U24" s="127">
        <v>45880</v>
      </c>
      <c r="W24" s="161" t="b">
        <f t="shared" si="0"/>
        <v>1</v>
      </c>
      <c r="Y24" s="64">
        <v>45870</v>
      </c>
      <c r="Z24" s="65" t="s">
        <v>43</v>
      </c>
      <c r="AA24" s="149">
        <v>0</v>
      </c>
      <c r="AB24" s="25">
        <v>14.55</v>
      </c>
      <c r="AC24" s="25">
        <v>30.318999999999999</v>
      </c>
      <c r="AD24" s="25">
        <v>18.923999999999999</v>
      </c>
      <c r="AE24" s="25">
        <v>27.603000000000002</v>
      </c>
      <c r="AF24" s="25">
        <v>27.395</v>
      </c>
      <c r="AG24" s="25">
        <v>56.386000000000003</v>
      </c>
      <c r="AH24" s="25">
        <v>15.234</v>
      </c>
      <c r="AI24" s="25">
        <v>14.728</v>
      </c>
      <c r="AJ24" s="25">
        <v>3.8610000000000002</v>
      </c>
      <c r="AK24" s="25">
        <v>12.961</v>
      </c>
      <c r="AL24" s="25">
        <v>16.448</v>
      </c>
      <c r="AM24" s="25">
        <v>6.7519999999999998</v>
      </c>
      <c r="AN24" s="25">
        <v>5.867</v>
      </c>
      <c r="AO24" s="25">
        <v>16.04</v>
      </c>
      <c r="AP24" s="129" t="s">
        <v>227</v>
      </c>
      <c r="AQ24" s="64">
        <v>45870</v>
      </c>
      <c r="AR24" s="127">
        <v>45876</v>
      </c>
      <c r="AS24" s="127">
        <v>45880</v>
      </c>
    </row>
    <row r="25" spans="1:45" ht="15.75" x14ac:dyDescent="0.25">
      <c r="A25" s="64">
        <v>45870</v>
      </c>
      <c r="B25" s="65" t="s">
        <v>44</v>
      </c>
      <c r="C25" s="26">
        <v>0</v>
      </c>
      <c r="D25" s="26">
        <v>196.36</v>
      </c>
      <c r="E25" s="26">
        <v>407.09</v>
      </c>
      <c r="F25" s="26">
        <v>254.85</v>
      </c>
      <c r="G25" s="26">
        <v>371.29</v>
      </c>
      <c r="H25" s="26">
        <v>368.04</v>
      </c>
      <c r="I25" s="26">
        <v>758.28</v>
      </c>
      <c r="J25" s="26">
        <v>204.94</v>
      </c>
      <c r="K25" s="26">
        <v>197.74</v>
      </c>
      <c r="L25" s="26">
        <v>51.23</v>
      </c>
      <c r="M25" s="26">
        <v>174.21</v>
      </c>
      <c r="N25" s="26">
        <v>220.9</v>
      </c>
      <c r="O25" s="26">
        <v>90.02</v>
      </c>
      <c r="P25" s="26">
        <v>78.25</v>
      </c>
      <c r="Q25" s="26">
        <v>216.1</v>
      </c>
      <c r="R25" s="129" t="s">
        <v>227</v>
      </c>
      <c r="S25" s="64">
        <f t="shared" si="1"/>
        <v>45870</v>
      </c>
      <c r="T25" s="127">
        <v>45876</v>
      </c>
      <c r="U25" s="127">
        <v>45880</v>
      </c>
      <c r="W25" s="161" t="b">
        <f t="shared" si="0"/>
        <v>1</v>
      </c>
      <c r="Y25" s="64">
        <v>45870</v>
      </c>
      <c r="Z25" s="65" t="s">
        <v>44</v>
      </c>
      <c r="AA25" s="26">
        <v>0</v>
      </c>
      <c r="AB25" s="26">
        <v>196.36</v>
      </c>
      <c r="AC25" s="26">
        <v>407.09</v>
      </c>
      <c r="AD25" s="26">
        <v>254.85</v>
      </c>
      <c r="AE25" s="26">
        <v>371.29</v>
      </c>
      <c r="AF25" s="26">
        <v>368.04</v>
      </c>
      <c r="AG25" s="26">
        <v>758.28</v>
      </c>
      <c r="AH25" s="26">
        <v>204.94</v>
      </c>
      <c r="AI25" s="26">
        <v>197.74</v>
      </c>
      <c r="AJ25" s="26">
        <v>51.23</v>
      </c>
      <c r="AK25" s="26">
        <v>174.21</v>
      </c>
      <c r="AL25" s="26">
        <v>220.9</v>
      </c>
      <c r="AM25" s="26">
        <v>90.02</v>
      </c>
      <c r="AN25" s="26">
        <v>78.25</v>
      </c>
      <c r="AO25" s="26">
        <v>216.1</v>
      </c>
      <c r="AP25" s="129" t="s">
        <v>227</v>
      </c>
      <c r="AQ25" s="64">
        <v>45870</v>
      </c>
      <c r="AR25" s="127">
        <v>45876</v>
      </c>
      <c r="AS25" s="127">
        <v>45880</v>
      </c>
    </row>
    <row r="26" spans="1:45" ht="15.75" x14ac:dyDescent="0.25">
      <c r="A26" s="64">
        <v>45870</v>
      </c>
      <c r="B26" s="65" t="s">
        <v>45</v>
      </c>
      <c r="C26" s="27">
        <v>0</v>
      </c>
      <c r="D26" s="30">
        <v>2.5999999999999999E-2</v>
      </c>
      <c r="E26" s="27">
        <v>4.9009999999999998</v>
      </c>
      <c r="F26" s="27">
        <v>3.3370000000000002</v>
      </c>
      <c r="G26" s="27">
        <v>1.764</v>
      </c>
      <c r="H26" s="27">
        <v>1.798</v>
      </c>
      <c r="I26" s="27">
        <v>4.4749999999999996</v>
      </c>
      <c r="J26" s="27">
        <v>1.143</v>
      </c>
      <c r="K26" s="27">
        <v>1.3460000000000001</v>
      </c>
      <c r="L26" s="27">
        <v>0.40300000000000002</v>
      </c>
      <c r="M26" s="27">
        <v>1.3360000000000001</v>
      </c>
      <c r="N26" s="27">
        <v>1.5289999999999999</v>
      </c>
      <c r="O26" s="27">
        <v>4.1289999999999996</v>
      </c>
      <c r="P26" s="27">
        <v>1.0999999999999999E-2</v>
      </c>
      <c r="Q26" s="27">
        <v>2.09</v>
      </c>
      <c r="R26" s="129" t="s">
        <v>227</v>
      </c>
      <c r="S26" s="64">
        <f t="shared" si="1"/>
        <v>45870</v>
      </c>
      <c r="T26" s="127">
        <v>45876</v>
      </c>
      <c r="U26" s="127">
        <v>45880</v>
      </c>
      <c r="W26" s="161" t="b">
        <f t="shared" si="0"/>
        <v>1</v>
      </c>
      <c r="Y26" s="64">
        <v>45870</v>
      </c>
      <c r="Z26" s="65" t="s">
        <v>45</v>
      </c>
      <c r="AA26" s="27">
        <v>0</v>
      </c>
      <c r="AB26" s="30">
        <v>2.5999999999999999E-2</v>
      </c>
      <c r="AC26" s="27">
        <v>4.9009999999999998</v>
      </c>
      <c r="AD26" s="27">
        <v>3.3370000000000002</v>
      </c>
      <c r="AE26" s="27">
        <v>1.764</v>
      </c>
      <c r="AF26" s="27">
        <v>1.798</v>
      </c>
      <c r="AG26" s="27">
        <v>4.4749999999999996</v>
      </c>
      <c r="AH26" s="27">
        <v>1.143</v>
      </c>
      <c r="AI26" s="27">
        <v>1.3460000000000001</v>
      </c>
      <c r="AJ26" s="27">
        <v>0.40300000000000002</v>
      </c>
      <c r="AK26" s="27">
        <v>1.3360000000000001</v>
      </c>
      <c r="AL26" s="27">
        <v>1.5289999999999999</v>
      </c>
      <c r="AM26" s="27">
        <v>4.1289999999999996</v>
      </c>
      <c r="AN26" s="27">
        <v>1.0999999999999999E-2</v>
      </c>
      <c r="AO26" s="27">
        <v>2.09</v>
      </c>
      <c r="AP26" s="129" t="s">
        <v>227</v>
      </c>
      <c r="AQ26" s="64">
        <v>45870</v>
      </c>
      <c r="AR26" s="127">
        <v>45876</v>
      </c>
      <c r="AS26" s="127">
        <v>45880</v>
      </c>
    </row>
    <row r="27" spans="1:45" ht="15.75" x14ac:dyDescent="0.25">
      <c r="A27" s="64">
        <v>45870</v>
      </c>
      <c r="B27" s="65" t="s">
        <v>46</v>
      </c>
      <c r="C27" s="26">
        <v>0</v>
      </c>
      <c r="D27" s="26">
        <v>0.98</v>
      </c>
      <c r="E27" s="26">
        <v>184.65</v>
      </c>
      <c r="F27" s="26">
        <v>125.72</v>
      </c>
      <c r="G27" s="26">
        <v>66.459999999999994</v>
      </c>
      <c r="H27" s="26">
        <v>67.739999999999995</v>
      </c>
      <c r="I27" s="26">
        <v>168.6</v>
      </c>
      <c r="J27" s="26">
        <v>43.06</v>
      </c>
      <c r="K27" s="26">
        <v>50.71</v>
      </c>
      <c r="L27" s="26">
        <v>15.18</v>
      </c>
      <c r="M27" s="26">
        <v>50.33</v>
      </c>
      <c r="N27" s="26">
        <v>57.61</v>
      </c>
      <c r="O27" s="26">
        <v>155.56</v>
      </c>
      <c r="P27" s="26">
        <v>0.41</v>
      </c>
      <c r="Q27" s="26">
        <v>78.739999999999995</v>
      </c>
      <c r="R27" s="129" t="s">
        <v>227</v>
      </c>
      <c r="S27" s="64">
        <f t="shared" si="1"/>
        <v>45870</v>
      </c>
      <c r="T27" s="127">
        <v>45876</v>
      </c>
      <c r="U27" s="127">
        <v>45880</v>
      </c>
      <c r="W27" s="161" t="b">
        <f t="shared" si="0"/>
        <v>1</v>
      </c>
      <c r="Y27" s="64">
        <v>45870</v>
      </c>
      <c r="Z27" s="65" t="s">
        <v>46</v>
      </c>
      <c r="AA27" s="26">
        <v>0</v>
      </c>
      <c r="AB27" s="26">
        <v>0.98</v>
      </c>
      <c r="AC27" s="26">
        <v>184.65</v>
      </c>
      <c r="AD27" s="26">
        <v>125.72</v>
      </c>
      <c r="AE27" s="26">
        <v>66.459999999999994</v>
      </c>
      <c r="AF27" s="26">
        <v>67.739999999999995</v>
      </c>
      <c r="AG27" s="26">
        <v>168.6</v>
      </c>
      <c r="AH27" s="26">
        <v>43.06</v>
      </c>
      <c r="AI27" s="26">
        <v>50.71</v>
      </c>
      <c r="AJ27" s="26">
        <v>15.18</v>
      </c>
      <c r="AK27" s="26">
        <v>50.33</v>
      </c>
      <c r="AL27" s="26">
        <v>57.61</v>
      </c>
      <c r="AM27" s="26">
        <v>155.56</v>
      </c>
      <c r="AN27" s="26">
        <v>0.41</v>
      </c>
      <c r="AO27" s="26">
        <v>78.739999999999995</v>
      </c>
      <c r="AP27" s="129" t="s">
        <v>227</v>
      </c>
      <c r="AQ27" s="64">
        <v>45870</v>
      </c>
      <c r="AR27" s="127">
        <v>45876</v>
      </c>
      <c r="AS27" s="127">
        <v>45880</v>
      </c>
    </row>
    <row r="28" spans="1:45" ht="15.75" x14ac:dyDescent="0.25">
      <c r="A28" s="64">
        <v>45870</v>
      </c>
      <c r="B28" s="65" t="s">
        <v>47</v>
      </c>
      <c r="C28" s="28">
        <v>0</v>
      </c>
      <c r="D28" s="26">
        <v>420.07</v>
      </c>
      <c r="E28" s="26">
        <v>420.07</v>
      </c>
      <c r="F28" s="26">
        <v>420.07</v>
      </c>
      <c r="G28" s="26">
        <v>420.07</v>
      </c>
      <c r="H28" s="26">
        <v>420.07</v>
      </c>
      <c r="I28" s="26">
        <v>420.07</v>
      </c>
      <c r="J28" s="26">
        <v>420.07</v>
      </c>
      <c r="K28" s="26">
        <v>420.07</v>
      </c>
      <c r="L28" s="26">
        <v>420.07</v>
      </c>
      <c r="M28" s="26">
        <v>420.07</v>
      </c>
      <c r="N28" s="26">
        <v>420.07</v>
      </c>
      <c r="O28" s="26">
        <v>420.07</v>
      </c>
      <c r="P28" s="26">
        <v>420.07</v>
      </c>
      <c r="Q28" s="26">
        <v>420.07</v>
      </c>
      <c r="R28" s="129" t="s">
        <v>227</v>
      </c>
      <c r="S28" s="64">
        <f t="shared" si="1"/>
        <v>45870</v>
      </c>
      <c r="T28" s="127">
        <v>45876</v>
      </c>
      <c r="U28" s="127">
        <v>45880</v>
      </c>
      <c r="W28" s="161" t="b">
        <f t="shared" si="0"/>
        <v>1</v>
      </c>
      <c r="Y28" s="64">
        <v>45870</v>
      </c>
      <c r="Z28" s="65" t="s">
        <v>47</v>
      </c>
      <c r="AA28" s="28">
        <v>0</v>
      </c>
      <c r="AB28" s="26">
        <v>420.07</v>
      </c>
      <c r="AC28" s="26">
        <v>420.07</v>
      </c>
      <c r="AD28" s="26">
        <v>420.07</v>
      </c>
      <c r="AE28" s="26">
        <v>420.07</v>
      </c>
      <c r="AF28" s="26">
        <v>420.07</v>
      </c>
      <c r="AG28" s="26">
        <v>420.07</v>
      </c>
      <c r="AH28" s="26">
        <v>420.07</v>
      </c>
      <c r="AI28" s="26">
        <v>420.07</v>
      </c>
      <c r="AJ28" s="26">
        <v>420.07</v>
      </c>
      <c r="AK28" s="26">
        <v>420.07</v>
      </c>
      <c r="AL28" s="26">
        <v>420.07</v>
      </c>
      <c r="AM28" s="26">
        <v>420.07</v>
      </c>
      <c r="AN28" s="26">
        <v>420.07</v>
      </c>
      <c r="AO28" s="26">
        <v>420.07</v>
      </c>
      <c r="AP28" s="129" t="s">
        <v>227</v>
      </c>
      <c r="AQ28" s="64">
        <v>45870</v>
      </c>
      <c r="AR28" s="127">
        <v>45876</v>
      </c>
      <c r="AS28" s="127">
        <v>45880</v>
      </c>
    </row>
    <row r="29" spans="1:45" ht="15.75" x14ac:dyDescent="0.25">
      <c r="A29" s="64">
        <v>45870</v>
      </c>
      <c r="B29" s="65" t="s">
        <v>62</v>
      </c>
      <c r="C29" s="26">
        <v>0</v>
      </c>
      <c r="D29" s="26">
        <v>618</v>
      </c>
      <c r="E29" s="26">
        <v>1012</v>
      </c>
      <c r="F29" s="26">
        <v>801</v>
      </c>
      <c r="G29" s="26">
        <v>858</v>
      </c>
      <c r="H29" s="26">
        <v>856</v>
      </c>
      <c r="I29" s="151">
        <v>1347</v>
      </c>
      <c r="J29" s="26">
        <v>669</v>
      </c>
      <c r="K29" s="26">
        <v>669</v>
      </c>
      <c r="L29" s="26">
        <v>487</v>
      </c>
      <c r="M29" s="26">
        <v>645</v>
      </c>
      <c r="N29" s="26">
        <v>699</v>
      </c>
      <c r="O29" s="26">
        <v>666</v>
      </c>
      <c r="P29" s="26">
        <v>499</v>
      </c>
      <c r="Q29" s="58">
        <v>715</v>
      </c>
      <c r="R29" s="116">
        <f>SUM(C29:P29)+LANÇTºS!O34</f>
        <v>9976</v>
      </c>
      <c r="S29" s="64">
        <f t="shared" si="1"/>
        <v>45870</v>
      </c>
      <c r="T29" s="127">
        <v>45876</v>
      </c>
      <c r="U29" s="127">
        <v>45880</v>
      </c>
      <c r="W29" s="161" t="b">
        <f t="shared" si="0"/>
        <v>1</v>
      </c>
      <c r="Y29" s="64">
        <v>45870</v>
      </c>
      <c r="Z29" s="65" t="s">
        <v>62</v>
      </c>
      <c r="AA29" s="26">
        <v>0</v>
      </c>
      <c r="AB29" s="26">
        <v>618</v>
      </c>
      <c r="AC29" s="26">
        <v>1012</v>
      </c>
      <c r="AD29" s="26">
        <v>801</v>
      </c>
      <c r="AE29" s="26">
        <v>858</v>
      </c>
      <c r="AF29" s="26">
        <v>856</v>
      </c>
      <c r="AG29" s="151">
        <v>1347</v>
      </c>
      <c r="AH29" s="26">
        <v>669</v>
      </c>
      <c r="AI29" s="26">
        <v>669</v>
      </c>
      <c r="AJ29" s="26">
        <v>487</v>
      </c>
      <c r="AK29" s="26">
        <v>645</v>
      </c>
      <c r="AL29" s="26">
        <v>699</v>
      </c>
      <c r="AM29" s="26">
        <v>666</v>
      </c>
      <c r="AN29" s="26">
        <v>499</v>
      </c>
      <c r="AO29" s="58">
        <v>715</v>
      </c>
      <c r="AP29" s="116">
        <v>9976</v>
      </c>
      <c r="AQ29" s="64">
        <v>45870</v>
      </c>
      <c r="AR29" s="127">
        <v>45876</v>
      </c>
      <c r="AS29" s="127">
        <v>45880</v>
      </c>
    </row>
    <row r="30" spans="1:45" ht="15.75" x14ac:dyDescent="0.25">
      <c r="A30" s="83">
        <v>45870</v>
      </c>
      <c r="B30" s="84" t="s">
        <v>63</v>
      </c>
      <c r="C30" s="81">
        <v>0</v>
      </c>
      <c r="D30" s="81">
        <f t="shared" ref="D30:Q30" si="5">SUM(D25+D27+D28)</f>
        <v>617.41</v>
      </c>
      <c r="E30" s="81">
        <f t="shared" si="5"/>
        <v>1011.81</v>
      </c>
      <c r="F30" s="81">
        <f t="shared" si="5"/>
        <v>800.64</v>
      </c>
      <c r="G30" s="81">
        <f t="shared" si="5"/>
        <v>857.81999999999994</v>
      </c>
      <c r="H30" s="81">
        <f t="shared" si="5"/>
        <v>855.85</v>
      </c>
      <c r="I30" s="81">
        <f t="shared" si="5"/>
        <v>1346.95</v>
      </c>
      <c r="J30" s="81">
        <f t="shared" si="5"/>
        <v>668.06999999999994</v>
      </c>
      <c r="K30" s="81">
        <f t="shared" si="5"/>
        <v>668.52</v>
      </c>
      <c r="L30" s="81">
        <f t="shared" si="5"/>
        <v>486.48</v>
      </c>
      <c r="M30" s="81">
        <f t="shared" si="5"/>
        <v>644.61</v>
      </c>
      <c r="N30" s="81">
        <f t="shared" si="5"/>
        <v>698.57999999999993</v>
      </c>
      <c r="O30" s="81">
        <f t="shared" si="5"/>
        <v>665.65</v>
      </c>
      <c r="P30" s="81">
        <f t="shared" si="5"/>
        <v>498.73</v>
      </c>
      <c r="Q30" s="85">
        <f t="shared" si="5"/>
        <v>714.91</v>
      </c>
      <c r="R30" s="125">
        <f>SUM(C30:P30)+LANÇTºS!O34</f>
        <v>9971.1199999999972</v>
      </c>
      <c r="S30" s="83">
        <f t="shared" si="1"/>
        <v>45870</v>
      </c>
      <c r="T30" s="128">
        <v>45876</v>
      </c>
      <c r="U30" s="128">
        <v>45880</v>
      </c>
      <c r="W30" s="161" t="b">
        <f t="shared" si="0"/>
        <v>1</v>
      </c>
      <c r="Y30" s="83">
        <v>45870</v>
      </c>
      <c r="Z30" s="84" t="s">
        <v>63</v>
      </c>
      <c r="AA30" s="81">
        <v>0</v>
      </c>
      <c r="AB30" s="81">
        <v>617.41</v>
      </c>
      <c r="AC30" s="81">
        <v>1011.81</v>
      </c>
      <c r="AD30" s="81">
        <v>800.64</v>
      </c>
      <c r="AE30" s="81">
        <v>857.81999999999994</v>
      </c>
      <c r="AF30" s="81">
        <v>855.85</v>
      </c>
      <c r="AG30" s="81">
        <v>1346.95</v>
      </c>
      <c r="AH30" s="81">
        <v>668.06999999999994</v>
      </c>
      <c r="AI30" s="81">
        <v>668.52</v>
      </c>
      <c r="AJ30" s="81">
        <v>486.48</v>
      </c>
      <c r="AK30" s="81">
        <v>644.61</v>
      </c>
      <c r="AL30" s="81">
        <v>698.57999999999993</v>
      </c>
      <c r="AM30" s="81">
        <v>665.65</v>
      </c>
      <c r="AN30" s="81">
        <v>498.73</v>
      </c>
      <c r="AO30" s="85">
        <v>714.91</v>
      </c>
      <c r="AP30" s="125">
        <v>9971.1199999999972</v>
      </c>
      <c r="AQ30" s="83">
        <v>45870</v>
      </c>
      <c r="AR30" s="128">
        <v>45876</v>
      </c>
      <c r="AS30" s="128">
        <v>45880</v>
      </c>
    </row>
    <row r="31" spans="1:45" ht="15.75" x14ac:dyDescent="0.25">
      <c r="A31" s="64">
        <v>45901</v>
      </c>
      <c r="B31" s="65" t="s">
        <v>43</v>
      </c>
      <c r="C31" s="25">
        <v>7.3570000000000002</v>
      </c>
      <c r="D31" s="25">
        <v>21.914999999999999</v>
      </c>
      <c r="E31" s="25">
        <v>24.036000000000001</v>
      </c>
      <c r="F31" s="25">
        <v>22.414999999999999</v>
      </c>
      <c r="G31" s="25">
        <v>29.597000000000001</v>
      </c>
      <c r="H31" s="25">
        <v>29.731000000000002</v>
      </c>
      <c r="I31" s="25">
        <v>59.281999999999996</v>
      </c>
      <c r="J31" s="25">
        <v>15.803000000000001</v>
      </c>
      <c r="K31" s="25">
        <v>13.932</v>
      </c>
      <c r="L31" s="25">
        <v>4.7160000000000002</v>
      </c>
      <c r="M31" s="25">
        <v>22.478999999999999</v>
      </c>
      <c r="N31" s="25">
        <v>16.55</v>
      </c>
      <c r="O31" s="25">
        <v>7.6449999999999996</v>
      </c>
      <c r="P31" s="25">
        <v>5.0359999999999996</v>
      </c>
      <c r="Q31" s="25">
        <v>14.506</v>
      </c>
      <c r="R31" s="129" t="s">
        <v>227</v>
      </c>
      <c r="S31" s="64">
        <f t="shared" ref="S31:S37" si="6">A31</f>
        <v>45901</v>
      </c>
      <c r="T31" s="127">
        <v>45901</v>
      </c>
      <c r="U31" s="127">
        <v>45910</v>
      </c>
      <c r="W31" s="161" t="b">
        <f t="shared" si="0"/>
        <v>1</v>
      </c>
      <c r="Y31" s="64">
        <v>45901</v>
      </c>
      <c r="Z31" s="65" t="s">
        <v>43</v>
      </c>
      <c r="AA31" s="25">
        <v>7.3570000000000002</v>
      </c>
      <c r="AB31" s="25">
        <v>21.914999999999999</v>
      </c>
      <c r="AC31" s="25">
        <v>24.036000000000001</v>
      </c>
      <c r="AD31" s="25">
        <v>22.414999999999999</v>
      </c>
      <c r="AE31" s="25">
        <v>29.597000000000001</v>
      </c>
      <c r="AF31" s="25">
        <v>29.731000000000002</v>
      </c>
      <c r="AG31" s="25">
        <v>59.281999999999996</v>
      </c>
      <c r="AH31" s="25">
        <v>15.803000000000001</v>
      </c>
      <c r="AI31" s="25">
        <v>13.932</v>
      </c>
      <c r="AJ31" s="25">
        <v>4.7160000000000002</v>
      </c>
      <c r="AK31" s="25">
        <v>22.478999999999999</v>
      </c>
      <c r="AL31" s="25">
        <v>16.55</v>
      </c>
      <c r="AM31" s="25">
        <v>7.6449999999999996</v>
      </c>
      <c r="AN31" s="25">
        <v>5.0359999999999996</v>
      </c>
      <c r="AO31" s="25">
        <v>14.506</v>
      </c>
      <c r="AP31" s="129" t="s">
        <v>227</v>
      </c>
      <c r="AQ31" s="64">
        <v>45901</v>
      </c>
      <c r="AR31" s="127">
        <v>45901</v>
      </c>
      <c r="AS31" s="127">
        <v>45910</v>
      </c>
    </row>
    <row r="32" spans="1:45" ht="15.75" x14ac:dyDescent="0.25">
      <c r="A32" s="64">
        <v>45901</v>
      </c>
      <c r="B32" s="65" t="s">
        <v>44</v>
      </c>
      <c r="C32" s="136">
        <v>102.13</v>
      </c>
      <c r="D32" s="136">
        <v>298.05</v>
      </c>
      <c r="E32" s="136">
        <v>326.62</v>
      </c>
      <c r="F32" s="136">
        <v>305.39</v>
      </c>
      <c r="G32" s="136">
        <v>402.64</v>
      </c>
      <c r="H32" s="136">
        <v>405.39</v>
      </c>
      <c r="I32" s="136">
        <v>807.67</v>
      </c>
      <c r="J32" s="136">
        <v>216.02</v>
      </c>
      <c r="K32" s="136">
        <v>189.4</v>
      </c>
      <c r="L32" s="136">
        <v>64.260000000000005</v>
      </c>
      <c r="M32" s="136">
        <v>305.89</v>
      </c>
      <c r="N32" s="136">
        <v>225.28</v>
      </c>
      <c r="O32" s="136">
        <v>104.29</v>
      </c>
      <c r="P32" s="136">
        <v>68.48</v>
      </c>
      <c r="Q32" s="136">
        <v>197.32</v>
      </c>
      <c r="R32" s="129" t="s">
        <v>227</v>
      </c>
      <c r="S32" s="64">
        <f t="shared" si="6"/>
        <v>45901</v>
      </c>
      <c r="T32" s="127">
        <v>45901</v>
      </c>
      <c r="U32" s="127">
        <v>45910</v>
      </c>
      <c r="W32" s="161" t="b">
        <f t="shared" si="0"/>
        <v>1</v>
      </c>
      <c r="Y32" s="64">
        <v>45901</v>
      </c>
      <c r="Z32" s="65" t="s">
        <v>44</v>
      </c>
      <c r="AA32" s="136">
        <v>102.13</v>
      </c>
      <c r="AB32" s="136">
        <v>298.05</v>
      </c>
      <c r="AC32" s="136">
        <v>326.62</v>
      </c>
      <c r="AD32" s="136">
        <v>305.39</v>
      </c>
      <c r="AE32" s="136">
        <v>402.64</v>
      </c>
      <c r="AF32" s="136">
        <v>405.39</v>
      </c>
      <c r="AG32" s="136">
        <v>807.67</v>
      </c>
      <c r="AH32" s="136">
        <v>216.02</v>
      </c>
      <c r="AI32" s="136">
        <v>189.4</v>
      </c>
      <c r="AJ32" s="136">
        <v>64.260000000000005</v>
      </c>
      <c r="AK32" s="136">
        <v>305.89</v>
      </c>
      <c r="AL32" s="136">
        <v>225.28</v>
      </c>
      <c r="AM32" s="136">
        <v>104.29</v>
      </c>
      <c r="AN32" s="136">
        <v>68.48</v>
      </c>
      <c r="AO32" s="136">
        <v>197.32</v>
      </c>
      <c r="AP32" s="129" t="s">
        <v>227</v>
      </c>
      <c r="AQ32" s="64">
        <v>45901</v>
      </c>
      <c r="AR32" s="127">
        <v>45901</v>
      </c>
      <c r="AS32" s="127">
        <v>45910</v>
      </c>
    </row>
    <row r="33" spans="1:45" ht="15.75" x14ac:dyDescent="0.25">
      <c r="A33" s="64">
        <v>45901</v>
      </c>
      <c r="B33" s="65" t="s">
        <v>45</v>
      </c>
      <c r="C33" s="137">
        <v>0</v>
      </c>
      <c r="D33" s="137">
        <v>0.01</v>
      </c>
      <c r="E33" s="137">
        <v>4.9710000000000001</v>
      </c>
      <c r="F33" s="137">
        <v>3.2610000000000001</v>
      </c>
      <c r="G33" s="137">
        <v>1.601</v>
      </c>
      <c r="H33" s="137">
        <v>1.579</v>
      </c>
      <c r="I33" s="137">
        <v>5.2640000000000002</v>
      </c>
      <c r="J33" s="137">
        <v>1.038</v>
      </c>
      <c r="K33" s="137">
        <v>1.421</v>
      </c>
      <c r="L33" s="137">
        <v>0.92700000000000005</v>
      </c>
      <c r="M33" s="137">
        <v>2.1800000000000002</v>
      </c>
      <c r="N33" s="137">
        <v>0.998</v>
      </c>
      <c r="O33" s="137">
        <v>5.0289999999999999</v>
      </c>
      <c r="P33" s="137">
        <v>1.2E-2</v>
      </c>
      <c r="Q33" s="137">
        <v>1.742</v>
      </c>
      <c r="R33" s="129" t="s">
        <v>227</v>
      </c>
      <c r="S33" s="64">
        <f t="shared" si="6"/>
        <v>45901</v>
      </c>
      <c r="T33" s="127">
        <v>45901</v>
      </c>
      <c r="U33" s="127">
        <v>45910</v>
      </c>
      <c r="W33" s="161" t="b">
        <f t="shared" si="0"/>
        <v>1</v>
      </c>
      <c r="Y33" s="64">
        <v>45901</v>
      </c>
      <c r="Z33" s="65" t="s">
        <v>45</v>
      </c>
      <c r="AA33" s="137">
        <v>0</v>
      </c>
      <c r="AB33" s="137">
        <v>0.01</v>
      </c>
      <c r="AC33" s="137">
        <v>4.9710000000000001</v>
      </c>
      <c r="AD33" s="137">
        <v>3.2610000000000001</v>
      </c>
      <c r="AE33" s="137">
        <v>1.601</v>
      </c>
      <c r="AF33" s="137">
        <v>1.579</v>
      </c>
      <c r="AG33" s="137">
        <v>5.2640000000000002</v>
      </c>
      <c r="AH33" s="137">
        <v>1.038</v>
      </c>
      <c r="AI33" s="137">
        <v>1.421</v>
      </c>
      <c r="AJ33" s="137">
        <v>0.92700000000000005</v>
      </c>
      <c r="AK33" s="137">
        <v>2.1800000000000002</v>
      </c>
      <c r="AL33" s="137">
        <v>0.998</v>
      </c>
      <c r="AM33" s="137">
        <v>5.0289999999999999</v>
      </c>
      <c r="AN33" s="137">
        <v>1.2E-2</v>
      </c>
      <c r="AO33" s="137">
        <v>1.742</v>
      </c>
      <c r="AP33" s="129" t="s">
        <v>227</v>
      </c>
      <c r="AQ33" s="64">
        <v>45901</v>
      </c>
      <c r="AR33" s="127">
        <v>45901</v>
      </c>
      <c r="AS33" s="127">
        <v>45910</v>
      </c>
    </row>
    <row r="34" spans="1:45" ht="15.75" x14ac:dyDescent="0.25">
      <c r="A34" s="64">
        <v>45901</v>
      </c>
      <c r="B34" s="65" t="s">
        <v>46</v>
      </c>
      <c r="C34" s="136">
        <v>0</v>
      </c>
      <c r="D34" s="136">
        <v>0.38</v>
      </c>
      <c r="E34" s="136">
        <v>187.28</v>
      </c>
      <c r="F34" s="136">
        <v>122.86</v>
      </c>
      <c r="G34" s="136">
        <v>60.32</v>
      </c>
      <c r="H34" s="136">
        <v>59.49</v>
      </c>
      <c r="I34" s="136">
        <v>198.32</v>
      </c>
      <c r="J34" s="136">
        <v>39.11</v>
      </c>
      <c r="K34" s="136">
        <v>53.54</v>
      </c>
      <c r="L34" s="136">
        <v>34.92</v>
      </c>
      <c r="M34" s="136">
        <v>82.13</v>
      </c>
      <c r="N34" s="136">
        <v>37.6</v>
      </c>
      <c r="O34" s="136">
        <v>189.47</v>
      </c>
      <c r="P34" s="136">
        <v>0.45</v>
      </c>
      <c r="Q34" s="136">
        <v>65.63</v>
      </c>
      <c r="R34" s="129" t="s">
        <v>227</v>
      </c>
      <c r="S34" s="64">
        <f t="shared" si="6"/>
        <v>45901</v>
      </c>
      <c r="T34" s="127">
        <v>45901</v>
      </c>
      <c r="U34" s="127">
        <v>45910</v>
      </c>
      <c r="W34" s="161" t="b">
        <f t="shared" ref="W34:W65" si="7">SUM(A34:U34)=SUM(Y34:AS34)</f>
        <v>1</v>
      </c>
      <c r="Y34" s="64">
        <v>45901</v>
      </c>
      <c r="Z34" s="65" t="s">
        <v>46</v>
      </c>
      <c r="AA34" s="136">
        <v>0</v>
      </c>
      <c r="AB34" s="136">
        <v>0.38</v>
      </c>
      <c r="AC34" s="136">
        <v>187.28</v>
      </c>
      <c r="AD34" s="136">
        <v>122.86</v>
      </c>
      <c r="AE34" s="136">
        <v>60.32</v>
      </c>
      <c r="AF34" s="136">
        <v>59.49</v>
      </c>
      <c r="AG34" s="136">
        <v>198.32</v>
      </c>
      <c r="AH34" s="136">
        <v>39.11</v>
      </c>
      <c r="AI34" s="136">
        <v>53.54</v>
      </c>
      <c r="AJ34" s="136">
        <v>34.92</v>
      </c>
      <c r="AK34" s="136">
        <v>82.13</v>
      </c>
      <c r="AL34" s="136">
        <v>37.6</v>
      </c>
      <c r="AM34" s="136">
        <v>189.47</v>
      </c>
      <c r="AN34" s="136">
        <v>0.45</v>
      </c>
      <c r="AO34" s="136">
        <v>65.63</v>
      </c>
      <c r="AP34" s="129" t="s">
        <v>227</v>
      </c>
      <c r="AQ34" s="64">
        <v>45901</v>
      </c>
      <c r="AR34" s="127">
        <v>45901</v>
      </c>
      <c r="AS34" s="127">
        <v>45910</v>
      </c>
    </row>
    <row r="35" spans="1:45" ht="15.75" x14ac:dyDescent="0.25">
      <c r="A35" s="64">
        <v>45901</v>
      </c>
      <c r="B35" s="65" t="s">
        <v>47</v>
      </c>
      <c r="C35" s="136">
        <v>0</v>
      </c>
      <c r="D35" s="136">
        <v>481.27</v>
      </c>
      <c r="E35" s="136">
        <v>481.27</v>
      </c>
      <c r="F35" s="136">
        <v>481.27</v>
      </c>
      <c r="G35" s="136">
        <v>481.27</v>
      </c>
      <c r="H35" s="136">
        <v>481.27</v>
      </c>
      <c r="I35" s="136">
        <v>481.27</v>
      </c>
      <c r="J35" s="136">
        <v>481.27</v>
      </c>
      <c r="K35" s="136">
        <v>481.27</v>
      </c>
      <c r="L35" s="136">
        <v>481.27</v>
      </c>
      <c r="M35" s="136">
        <v>481.27</v>
      </c>
      <c r="N35" s="136">
        <v>481.27</v>
      </c>
      <c r="O35" s="136">
        <v>481.27</v>
      </c>
      <c r="P35" s="136">
        <v>481.27</v>
      </c>
      <c r="Q35" s="136">
        <v>481.27</v>
      </c>
      <c r="R35" s="129" t="s">
        <v>227</v>
      </c>
      <c r="S35" s="64">
        <f t="shared" si="6"/>
        <v>45901</v>
      </c>
      <c r="T35" s="127">
        <v>45901</v>
      </c>
      <c r="U35" s="127">
        <v>45910</v>
      </c>
      <c r="W35" s="161" t="b">
        <f t="shared" si="7"/>
        <v>1</v>
      </c>
      <c r="Y35" s="64">
        <v>45901</v>
      </c>
      <c r="Z35" s="65" t="s">
        <v>47</v>
      </c>
      <c r="AA35" s="136">
        <v>0</v>
      </c>
      <c r="AB35" s="136">
        <v>481.27</v>
      </c>
      <c r="AC35" s="136">
        <v>481.27</v>
      </c>
      <c r="AD35" s="136">
        <v>481.27</v>
      </c>
      <c r="AE35" s="136">
        <v>481.27</v>
      </c>
      <c r="AF35" s="136">
        <v>481.27</v>
      </c>
      <c r="AG35" s="136">
        <v>481.27</v>
      </c>
      <c r="AH35" s="136">
        <v>481.27</v>
      </c>
      <c r="AI35" s="136">
        <v>481.27</v>
      </c>
      <c r="AJ35" s="136">
        <v>481.27</v>
      </c>
      <c r="AK35" s="136">
        <v>481.27</v>
      </c>
      <c r="AL35" s="136">
        <v>481.27</v>
      </c>
      <c r="AM35" s="136">
        <v>481.27</v>
      </c>
      <c r="AN35" s="136">
        <v>481.27</v>
      </c>
      <c r="AO35" s="136">
        <v>481.27</v>
      </c>
      <c r="AP35" s="129" t="s">
        <v>227</v>
      </c>
      <c r="AQ35" s="64">
        <v>45901</v>
      </c>
      <c r="AR35" s="127">
        <v>45901</v>
      </c>
      <c r="AS35" s="127">
        <v>45910</v>
      </c>
    </row>
    <row r="36" spans="1:45" ht="15.75" x14ac:dyDescent="0.25">
      <c r="A36" s="64">
        <v>45901</v>
      </c>
      <c r="B36" s="65" t="s">
        <v>62</v>
      </c>
      <c r="C36" s="136">
        <v>0</v>
      </c>
      <c r="D36" s="136">
        <v>780</v>
      </c>
      <c r="E36" s="136">
        <v>996</v>
      </c>
      <c r="F36" s="136">
        <v>910</v>
      </c>
      <c r="G36" s="136">
        <v>945</v>
      </c>
      <c r="H36" s="136">
        <v>947</v>
      </c>
      <c r="I36" s="136">
        <v>1488</v>
      </c>
      <c r="J36" s="136">
        <v>737</v>
      </c>
      <c r="K36" s="136">
        <v>725</v>
      </c>
      <c r="L36" s="136">
        <v>581</v>
      </c>
      <c r="M36" s="136">
        <v>870</v>
      </c>
      <c r="N36" s="136">
        <v>745</v>
      </c>
      <c r="O36" s="136">
        <v>776</v>
      </c>
      <c r="P36" s="136">
        <v>551</v>
      </c>
      <c r="Q36" s="183">
        <v>745</v>
      </c>
      <c r="R36" s="116">
        <f>SUM(C36:P36)+E98</f>
        <v>11201</v>
      </c>
      <c r="S36" s="64">
        <f t="shared" si="6"/>
        <v>45901</v>
      </c>
      <c r="T36" s="127">
        <v>45901</v>
      </c>
      <c r="U36" s="127">
        <v>45910</v>
      </c>
      <c r="W36" s="161" t="b">
        <f t="shared" si="7"/>
        <v>1</v>
      </c>
      <c r="Y36" s="64">
        <v>45901</v>
      </c>
      <c r="Z36" s="65" t="s">
        <v>62</v>
      </c>
      <c r="AA36" s="136">
        <v>0</v>
      </c>
      <c r="AB36" s="136">
        <v>780</v>
      </c>
      <c r="AC36" s="136">
        <v>996</v>
      </c>
      <c r="AD36" s="136">
        <v>910</v>
      </c>
      <c r="AE36" s="136">
        <v>945</v>
      </c>
      <c r="AF36" s="136">
        <v>947</v>
      </c>
      <c r="AG36" s="136">
        <v>1488</v>
      </c>
      <c r="AH36" s="136">
        <v>737</v>
      </c>
      <c r="AI36" s="136">
        <v>725</v>
      </c>
      <c r="AJ36" s="136">
        <v>581</v>
      </c>
      <c r="AK36" s="136">
        <v>870</v>
      </c>
      <c r="AL36" s="136">
        <v>745</v>
      </c>
      <c r="AM36" s="136">
        <v>776</v>
      </c>
      <c r="AN36" s="136">
        <v>551</v>
      </c>
      <c r="AO36" s="183">
        <v>745</v>
      </c>
      <c r="AP36" s="116">
        <v>11201</v>
      </c>
      <c r="AQ36" s="64">
        <v>45901</v>
      </c>
      <c r="AR36" s="127">
        <v>45901</v>
      </c>
      <c r="AS36" s="127">
        <v>45910</v>
      </c>
    </row>
    <row r="37" spans="1:45" ht="15.75" x14ac:dyDescent="0.25">
      <c r="A37" s="83">
        <v>45901</v>
      </c>
      <c r="B37" s="84" t="s">
        <v>63</v>
      </c>
      <c r="C37" s="136">
        <v>0</v>
      </c>
      <c r="D37" s="136">
        <v>779.7</v>
      </c>
      <c r="E37" s="136">
        <v>995.17</v>
      </c>
      <c r="F37" s="136">
        <v>909.52</v>
      </c>
      <c r="G37" s="136">
        <v>944.23</v>
      </c>
      <c r="H37" s="136">
        <v>946.15</v>
      </c>
      <c r="I37" s="136">
        <v>1487.26</v>
      </c>
      <c r="J37" s="136">
        <v>736.4</v>
      </c>
      <c r="K37" s="136">
        <v>724.21</v>
      </c>
      <c r="L37" s="136">
        <v>580.45000000000005</v>
      </c>
      <c r="M37" s="136">
        <v>869.29</v>
      </c>
      <c r="N37" s="136">
        <v>744.15</v>
      </c>
      <c r="O37" s="136">
        <v>775.03</v>
      </c>
      <c r="P37" s="136">
        <v>550.20000000000005</v>
      </c>
      <c r="Q37" s="183">
        <v>744.22</v>
      </c>
      <c r="R37" s="125">
        <f>SUM(C37:P37)+E98</f>
        <v>11191.76</v>
      </c>
      <c r="S37" s="83">
        <f t="shared" si="6"/>
        <v>45901</v>
      </c>
      <c r="T37" s="128">
        <v>45901</v>
      </c>
      <c r="U37" s="128">
        <v>45910</v>
      </c>
      <c r="W37" s="161" t="b">
        <f t="shared" si="7"/>
        <v>1</v>
      </c>
      <c r="Y37" s="83">
        <v>45901</v>
      </c>
      <c r="Z37" s="84" t="s">
        <v>63</v>
      </c>
      <c r="AA37" s="136">
        <v>0</v>
      </c>
      <c r="AB37" s="136">
        <v>779.7</v>
      </c>
      <c r="AC37" s="136">
        <v>995.17</v>
      </c>
      <c r="AD37" s="136">
        <v>909.52</v>
      </c>
      <c r="AE37" s="136">
        <v>944.23</v>
      </c>
      <c r="AF37" s="136">
        <v>946.15</v>
      </c>
      <c r="AG37" s="136">
        <v>1487.26</v>
      </c>
      <c r="AH37" s="136">
        <v>736.4</v>
      </c>
      <c r="AI37" s="136">
        <v>724.21</v>
      </c>
      <c r="AJ37" s="136">
        <v>580.45000000000005</v>
      </c>
      <c r="AK37" s="136">
        <v>869.29</v>
      </c>
      <c r="AL37" s="136">
        <v>744.15</v>
      </c>
      <c r="AM37" s="136">
        <v>775.03</v>
      </c>
      <c r="AN37" s="136">
        <v>550.20000000000005</v>
      </c>
      <c r="AO37" s="183">
        <v>744.22</v>
      </c>
      <c r="AP37" s="125">
        <v>11191.76</v>
      </c>
      <c r="AQ37" s="83">
        <v>45901</v>
      </c>
      <c r="AR37" s="128">
        <v>45901</v>
      </c>
      <c r="AS37" s="128">
        <v>45910</v>
      </c>
    </row>
    <row r="38" spans="1:45" ht="15.75" x14ac:dyDescent="0.25">
      <c r="A38" s="64">
        <v>45931</v>
      </c>
      <c r="B38" s="65" t="s">
        <v>43</v>
      </c>
      <c r="C38" s="25">
        <v>17.411999999999999</v>
      </c>
      <c r="D38" s="25">
        <v>20.420000000000002</v>
      </c>
      <c r="E38" s="25">
        <v>27.547999999999998</v>
      </c>
      <c r="F38" s="25">
        <v>21.158000000000001</v>
      </c>
      <c r="G38" s="25">
        <v>32.57</v>
      </c>
      <c r="H38" s="25">
        <v>33.442</v>
      </c>
      <c r="I38" s="25">
        <v>22.562999999999999</v>
      </c>
      <c r="J38" s="25">
        <v>15.965999999999999</v>
      </c>
      <c r="K38" s="25">
        <v>15.132999999999999</v>
      </c>
      <c r="L38" s="25">
        <v>4.109</v>
      </c>
      <c r="M38" s="25">
        <v>22.042000000000002</v>
      </c>
      <c r="N38" s="25">
        <v>17.984999999999999</v>
      </c>
      <c r="O38" s="25">
        <v>8.5310000000000006</v>
      </c>
      <c r="P38" s="25">
        <v>4.3109999999999999</v>
      </c>
      <c r="Q38" s="25">
        <v>10.81</v>
      </c>
      <c r="R38" s="129" t="s">
        <v>227</v>
      </c>
      <c r="S38" s="64">
        <f t="shared" ref="S38:S44" si="8">A38</f>
        <v>45931</v>
      </c>
      <c r="T38" s="127">
        <v>45931</v>
      </c>
      <c r="U38" s="127">
        <v>45940</v>
      </c>
      <c r="W38" s="161" t="b">
        <f t="shared" si="7"/>
        <v>1</v>
      </c>
      <c r="Y38" s="64">
        <v>45931</v>
      </c>
      <c r="Z38" s="65" t="s">
        <v>43</v>
      </c>
      <c r="AA38" s="25">
        <v>17.411999999999999</v>
      </c>
      <c r="AB38" s="25">
        <v>20.420000000000002</v>
      </c>
      <c r="AC38" s="25">
        <v>27.547999999999998</v>
      </c>
      <c r="AD38" s="25">
        <v>21.158000000000001</v>
      </c>
      <c r="AE38" s="25">
        <v>32.57</v>
      </c>
      <c r="AF38" s="25">
        <v>33.442</v>
      </c>
      <c r="AG38" s="25">
        <v>22.562999999999999</v>
      </c>
      <c r="AH38" s="25">
        <v>15.965999999999999</v>
      </c>
      <c r="AI38" s="25">
        <v>15.132999999999999</v>
      </c>
      <c r="AJ38" s="25">
        <v>4.109</v>
      </c>
      <c r="AK38" s="25">
        <v>22.042000000000002</v>
      </c>
      <c r="AL38" s="25">
        <v>17.984999999999999</v>
      </c>
      <c r="AM38" s="25">
        <v>8.5310000000000006</v>
      </c>
      <c r="AN38" s="25">
        <v>4.3109999999999999</v>
      </c>
      <c r="AO38" s="25">
        <v>10.81</v>
      </c>
      <c r="AP38" s="129" t="s">
        <v>227</v>
      </c>
      <c r="AQ38" s="64">
        <v>45931</v>
      </c>
      <c r="AR38" s="127">
        <v>45931</v>
      </c>
      <c r="AS38" s="127">
        <v>45940</v>
      </c>
    </row>
    <row r="39" spans="1:45" ht="15.75" x14ac:dyDescent="0.25">
      <c r="A39" s="64">
        <v>45931</v>
      </c>
      <c r="B39" s="65" t="s">
        <v>44</v>
      </c>
      <c r="C39" s="136">
        <v>348.46</v>
      </c>
      <c r="D39" s="136">
        <v>267.73</v>
      </c>
      <c r="E39" s="136">
        <v>361.04</v>
      </c>
      <c r="F39" s="136">
        <v>278.25</v>
      </c>
      <c r="G39" s="136">
        <v>426.94</v>
      </c>
      <c r="H39" s="136">
        <v>438.46</v>
      </c>
      <c r="I39" s="136">
        <v>295.42</v>
      </c>
      <c r="J39" s="136">
        <v>209.41</v>
      </c>
      <c r="K39" s="136">
        <v>198.18</v>
      </c>
      <c r="L39" s="136">
        <v>54.06</v>
      </c>
      <c r="M39" s="136">
        <v>289.86</v>
      </c>
      <c r="N39" s="136">
        <v>236.18</v>
      </c>
      <c r="O39" s="136">
        <v>112.14</v>
      </c>
      <c r="P39" s="136">
        <v>57.24</v>
      </c>
      <c r="Q39" s="136">
        <v>142.52000000000001</v>
      </c>
      <c r="R39" s="129" t="s">
        <v>227</v>
      </c>
      <c r="S39" s="64">
        <f t="shared" si="8"/>
        <v>45931</v>
      </c>
      <c r="T39" s="127">
        <v>45931</v>
      </c>
      <c r="U39" s="127">
        <v>45940</v>
      </c>
      <c r="W39" s="161" t="b">
        <f t="shared" si="7"/>
        <v>1</v>
      </c>
      <c r="Y39" s="64">
        <v>45931</v>
      </c>
      <c r="Z39" s="65" t="s">
        <v>44</v>
      </c>
      <c r="AA39" s="136">
        <v>348.46</v>
      </c>
      <c r="AB39" s="136">
        <v>267.73</v>
      </c>
      <c r="AC39" s="136">
        <v>361.04</v>
      </c>
      <c r="AD39" s="136">
        <v>278.25</v>
      </c>
      <c r="AE39" s="136">
        <v>426.94</v>
      </c>
      <c r="AF39" s="136">
        <v>438.46</v>
      </c>
      <c r="AG39" s="136">
        <v>295.42</v>
      </c>
      <c r="AH39" s="136">
        <v>209.41</v>
      </c>
      <c r="AI39" s="136">
        <v>198.18</v>
      </c>
      <c r="AJ39" s="136">
        <v>54.06</v>
      </c>
      <c r="AK39" s="136">
        <v>289.86</v>
      </c>
      <c r="AL39" s="136">
        <v>236.18</v>
      </c>
      <c r="AM39" s="136">
        <v>112.14</v>
      </c>
      <c r="AN39" s="136">
        <v>57.24</v>
      </c>
      <c r="AO39" s="136">
        <v>142.52000000000001</v>
      </c>
      <c r="AP39" s="129" t="s">
        <v>227</v>
      </c>
      <c r="AQ39" s="64">
        <v>45931</v>
      </c>
      <c r="AR39" s="127">
        <v>45931</v>
      </c>
      <c r="AS39" s="127">
        <v>45940</v>
      </c>
    </row>
    <row r="40" spans="1:45" ht="15.75" x14ac:dyDescent="0.25">
      <c r="A40" s="64">
        <v>45931</v>
      </c>
      <c r="B40" s="65" t="s">
        <v>45</v>
      </c>
      <c r="C40" s="137">
        <v>0</v>
      </c>
      <c r="D40" s="137">
        <v>0.123</v>
      </c>
      <c r="E40" s="137">
        <v>4.093</v>
      </c>
      <c r="F40" s="137">
        <v>3.4780000000000002</v>
      </c>
      <c r="G40" s="137">
        <v>1.865</v>
      </c>
      <c r="H40" s="137">
        <v>1.58</v>
      </c>
      <c r="I40" s="137">
        <v>4.2430000000000003</v>
      </c>
      <c r="J40" s="137">
        <v>1.123</v>
      </c>
      <c r="K40" s="137">
        <v>1.643</v>
      </c>
      <c r="L40" s="137">
        <v>0.59799999999999998</v>
      </c>
      <c r="M40" s="137">
        <v>2.028</v>
      </c>
      <c r="N40" s="137">
        <v>0.72499999999999998</v>
      </c>
      <c r="O40" s="137">
        <v>4.8259999999999996</v>
      </c>
      <c r="P40" s="137">
        <v>0</v>
      </c>
      <c r="Q40" s="137">
        <v>1.351</v>
      </c>
      <c r="R40" s="129" t="s">
        <v>227</v>
      </c>
      <c r="S40" s="64">
        <f t="shared" si="8"/>
        <v>45931</v>
      </c>
      <c r="T40" s="127">
        <v>45931</v>
      </c>
      <c r="U40" s="127">
        <v>45940</v>
      </c>
      <c r="W40" s="161" t="b">
        <f t="shared" si="7"/>
        <v>1</v>
      </c>
      <c r="Y40" s="64">
        <v>45931</v>
      </c>
      <c r="Z40" s="65" t="s">
        <v>45</v>
      </c>
      <c r="AA40" s="137">
        <v>0</v>
      </c>
      <c r="AB40" s="137">
        <v>0.123</v>
      </c>
      <c r="AC40" s="137">
        <v>4.093</v>
      </c>
      <c r="AD40" s="137">
        <v>3.4780000000000002</v>
      </c>
      <c r="AE40" s="137">
        <v>1.865</v>
      </c>
      <c r="AF40" s="137">
        <v>1.58</v>
      </c>
      <c r="AG40" s="137">
        <v>4.2430000000000003</v>
      </c>
      <c r="AH40" s="137">
        <v>1.123</v>
      </c>
      <c r="AI40" s="137">
        <v>1.643</v>
      </c>
      <c r="AJ40" s="137">
        <v>0.59799999999999998</v>
      </c>
      <c r="AK40" s="137">
        <v>2.028</v>
      </c>
      <c r="AL40" s="137">
        <v>0.72499999999999998</v>
      </c>
      <c r="AM40" s="137">
        <v>4.8259999999999996</v>
      </c>
      <c r="AN40" s="137">
        <v>0</v>
      </c>
      <c r="AO40" s="137">
        <v>1.351</v>
      </c>
      <c r="AP40" s="129" t="s">
        <v>227</v>
      </c>
      <c r="AQ40" s="64">
        <v>45931</v>
      </c>
      <c r="AR40" s="127">
        <v>45931</v>
      </c>
      <c r="AS40" s="127">
        <v>45940</v>
      </c>
    </row>
    <row r="41" spans="1:45" ht="15.75" x14ac:dyDescent="0.25">
      <c r="A41" s="64">
        <v>45931</v>
      </c>
      <c r="B41" s="65" t="s">
        <v>46</v>
      </c>
      <c r="C41" s="136">
        <v>0</v>
      </c>
      <c r="D41" s="136">
        <v>4.63</v>
      </c>
      <c r="E41" s="136">
        <v>154.19999999999999</v>
      </c>
      <c r="F41" s="136">
        <v>131.03</v>
      </c>
      <c r="G41" s="136">
        <v>70.260000000000005</v>
      </c>
      <c r="H41" s="136">
        <v>59.53</v>
      </c>
      <c r="I41" s="136">
        <v>159.86000000000001</v>
      </c>
      <c r="J41" s="136">
        <v>42.31</v>
      </c>
      <c r="K41" s="136">
        <v>61.9</v>
      </c>
      <c r="L41" s="136">
        <v>22.53</v>
      </c>
      <c r="M41" s="136">
        <v>76.400000000000006</v>
      </c>
      <c r="N41" s="136">
        <v>27.31</v>
      </c>
      <c r="O41" s="136">
        <v>181.82</v>
      </c>
      <c r="P41" s="136">
        <v>0</v>
      </c>
      <c r="Q41" s="136">
        <v>50.9</v>
      </c>
      <c r="R41" s="129" t="s">
        <v>227</v>
      </c>
      <c r="S41" s="64">
        <f t="shared" si="8"/>
        <v>45931</v>
      </c>
      <c r="T41" s="127">
        <v>45931</v>
      </c>
      <c r="U41" s="127">
        <v>45940</v>
      </c>
      <c r="W41" s="161" t="b">
        <f t="shared" si="7"/>
        <v>1</v>
      </c>
      <c r="Y41" s="64">
        <v>45931</v>
      </c>
      <c r="Z41" s="65" t="s">
        <v>46</v>
      </c>
      <c r="AA41" s="136">
        <v>0</v>
      </c>
      <c r="AB41" s="136">
        <v>4.63</v>
      </c>
      <c r="AC41" s="136">
        <v>154.19999999999999</v>
      </c>
      <c r="AD41" s="136">
        <v>131.03</v>
      </c>
      <c r="AE41" s="136">
        <v>70.260000000000005</v>
      </c>
      <c r="AF41" s="136">
        <v>59.53</v>
      </c>
      <c r="AG41" s="136">
        <v>159.86000000000001</v>
      </c>
      <c r="AH41" s="136">
        <v>42.31</v>
      </c>
      <c r="AI41" s="136">
        <v>61.9</v>
      </c>
      <c r="AJ41" s="136">
        <v>22.53</v>
      </c>
      <c r="AK41" s="136">
        <v>76.400000000000006</v>
      </c>
      <c r="AL41" s="136">
        <v>27.31</v>
      </c>
      <c r="AM41" s="136">
        <v>181.82</v>
      </c>
      <c r="AN41" s="136">
        <v>0</v>
      </c>
      <c r="AO41" s="136">
        <v>50.9</v>
      </c>
      <c r="AP41" s="129" t="s">
        <v>227</v>
      </c>
      <c r="AQ41" s="64">
        <v>45931</v>
      </c>
      <c r="AR41" s="127">
        <v>45931</v>
      </c>
      <c r="AS41" s="127">
        <v>45940</v>
      </c>
    </row>
    <row r="42" spans="1:45" ht="15.75" x14ac:dyDescent="0.25">
      <c r="A42" s="64">
        <v>45931</v>
      </c>
      <c r="B42" s="65" t="s">
        <v>47</v>
      </c>
      <c r="C42" s="136">
        <v>0</v>
      </c>
      <c r="D42" s="136">
        <v>456.54999999999995</v>
      </c>
      <c r="E42" s="136">
        <v>456.54999999999995</v>
      </c>
      <c r="F42" s="136">
        <v>456.54999999999995</v>
      </c>
      <c r="G42" s="136">
        <v>456.54999999999995</v>
      </c>
      <c r="H42" s="136">
        <v>456.54999999999995</v>
      </c>
      <c r="I42" s="136">
        <v>456.54999999999995</v>
      </c>
      <c r="J42" s="136">
        <v>456.54999999999995</v>
      </c>
      <c r="K42" s="136">
        <v>456.54999999999995</v>
      </c>
      <c r="L42" s="136">
        <v>456.54999999999995</v>
      </c>
      <c r="M42" s="136">
        <v>456.54999999999995</v>
      </c>
      <c r="N42" s="136">
        <v>456.54999999999995</v>
      </c>
      <c r="O42" s="136">
        <v>456.54999999999995</v>
      </c>
      <c r="P42" s="136">
        <v>456.54999999999995</v>
      </c>
      <c r="Q42" s="136">
        <v>456.54999999999995</v>
      </c>
      <c r="R42" s="129" t="s">
        <v>227</v>
      </c>
      <c r="S42" s="64">
        <f t="shared" si="8"/>
        <v>45931</v>
      </c>
      <c r="T42" s="127">
        <v>45931</v>
      </c>
      <c r="U42" s="127">
        <v>45940</v>
      </c>
      <c r="W42" s="161" t="b">
        <f t="shared" si="7"/>
        <v>1</v>
      </c>
      <c r="Y42" s="64">
        <v>45931</v>
      </c>
      <c r="Z42" s="65" t="s">
        <v>47</v>
      </c>
      <c r="AA42" s="136">
        <v>0</v>
      </c>
      <c r="AB42" s="136">
        <v>456.54999999999995</v>
      </c>
      <c r="AC42" s="136">
        <v>456.54999999999995</v>
      </c>
      <c r="AD42" s="136">
        <v>456.54999999999995</v>
      </c>
      <c r="AE42" s="136">
        <v>456.54999999999995</v>
      </c>
      <c r="AF42" s="136">
        <v>456.54999999999995</v>
      </c>
      <c r="AG42" s="136">
        <v>456.54999999999995</v>
      </c>
      <c r="AH42" s="136">
        <v>456.54999999999995</v>
      </c>
      <c r="AI42" s="136">
        <v>456.54999999999995</v>
      </c>
      <c r="AJ42" s="136">
        <v>456.54999999999995</v>
      </c>
      <c r="AK42" s="136">
        <v>456.54999999999995</v>
      </c>
      <c r="AL42" s="136">
        <v>456.54999999999995</v>
      </c>
      <c r="AM42" s="136">
        <v>456.54999999999995</v>
      </c>
      <c r="AN42" s="136">
        <v>456.54999999999995</v>
      </c>
      <c r="AO42" s="136">
        <v>456.54999999999995</v>
      </c>
      <c r="AP42" s="129" t="s">
        <v>227</v>
      </c>
      <c r="AQ42" s="64">
        <v>45931</v>
      </c>
      <c r="AR42" s="127">
        <v>45931</v>
      </c>
      <c r="AS42" s="127">
        <v>45940</v>
      </c>
    </row>
    <row r="43" spans="1:45" ht="15.75" x14ac:dyDescent="0.25">
      <c r="A43" s="64">
        <v>45931</v>
      </c>
      <c r="B43" s="65" t="s">
        <v>62</v>
      </c>
      <c r="C43" s="136">
        <v>0</v>
      </c>
      <c r="D43" s="136">
        <v>729</v>
      </c>
      <c r="E43" s="136">
        <v>972</v>
      </c>
      <c r="F43" s="136">
        <v>866</v>
      </c>
      <c r="G43" s="136">
        <v>954</v>
      </c>
      <c r="H43" s="136">
        <v>955</v>
      </c>
      <c r="I43" s="136">
        <v>912</v>
      </c>
      <c r="J43" s="136">
        <v>709</v>
      </c>
      <c r="K43" s="136">
        <v>717</v>
      </c>
      <c r="L43" s="136">
        <v>534</v>
      </c>
      <c r="M43" s="136">
        <v>823</v>
      </c>
      <c r="N43" s="136">
        <v>721</v>
      </c>
      <c r="O43" s="136">
        <v>751</v>
      </c>
      <c r="P43" s="136">
        <v>514</v>
      </c>
      <c r="Q43" s="183">
        <v>650</v>
      </c>
      <c r="R43" s="116">
        <f>SUM(C43:P43)+E99</f>
        <v>10307</v>
      </c>
      <c r="S43" s="64">
        <f t="shared" si="8"/>
        <v>45931</v>
      </c>
      <c r="T43" s="127">
        <v>45931</v>
      </c>
      <c r="U43" s="127">
        <v>45940</v>
      </c>
      <c r="W43" s="161" t="b">
        <f t="shared" si="7"/>
        <v>1</v>
      </c>
      <c r="Y43" s="64">
        <v>45931</v>
      </c>
      <c r="Z43" s="65" t="s">
        <v>62</v>
      </c>
      <c r="AA43" s="136">
        <v>0</v>
      </c>
      <c r="AB43" s="136">
        <v>729</v>
      </c>
      <c r="AC43" s="136">
        <v>972</v>
      </c>
      <c r="AD43" s="136">
        <v>866</v>
      </c>
      <c r="AE43" s="136">
        <v>954</v>
      </c>
      <c r="AF43" s="136">
        <v>955</v>
      </c>
      <c r="AG43" s="136">
        <v>912</v>
      </c>
      <c r="AH43" s="136">
        <v>709</v>
      </c>
      <c r="AI43" s="136">
        <v>717</v>
      </c>
      <c r="AJ43" s="136">
        <v>534</v>
      </c>
      <c r="AK43" s="136">
        <v>823</v>
      </c>
      <c r="AL43" s="136">
        <v>721</v>
      </c>
      <c r="AM43" s="136">
        <v>751</v>
      </c>
      <c r="AN43" s="136">
        <v>514</v>
      </c>
      <c r="AO43" s="183">
        <v>650</v>
      </c>
      <c r="AP43" s="116">
        <v>10307</v>
      </c>
      <c r="AQ43" s="64">
        <v>45931</v>
      </c>
      <c r="AR43" s="127">
        <v>45931</v>
      </c>
      <c r="AS43" s="127">
        <v>45940</v>
      </c>
    </row>
    <row r="44" spans="1:45" ht="15.75" x14ac:dyDescent="0.25">
      <c r="A44" s="83">
        <v>45931</v>
      </c>
      <c r="B44" s="84" t="s">
        <v>63</v>
      </c>
      <c r="C44" s="136">
        <v>0</v>
      </c>
      <c r="D44" s="136">
        <v>728.91</v>
      </c>
      <c r="E44" s="136">
        <v>971.79</v>
      </c>
      <c r="F44" s="136">
        <v>865.82999999999993</v>
      </c>
      <c r="G44" s="136">
        <v>953.75</v>
      </c>
      <c r="H44" s="136">
        <v>954.54</v>
      </c>
      <c r="I44" s="136">
        <v>911.82999999999993</v>
      </c>
      <c r="J44" s="136">
        <v>708.27</v>
      </c>
      <c r="K44" s="136">
        <v>716.62999999999988</v>
      </c>
      <c r="L44" s="136">
        <v>533.14</v>
      </c>
      <c r="M44" s="136">
        <v>822.81</v>
      </c>
      <c r="N44" s="136">
        <v>720.04</v>
      </c>
      <c r="O44" s="136">
        <v>750.51</v>
      </c>
      <c r="P44" s="136">
        <v>513.79</v>
      </c>
      <c r="Q44" s="183">
        <v>649.97</v>
      </c>
      <c r="R44" s="125">
        <f>SUM(C44:P44)+E99</f>
        <v>10301.84</v>
      </c>
      <c r="S44" s="83">
        <f t="shared" si="8"/>
        <v>45931</v>
      </c>
      <c r="T44" s="128">
        <v>45931</v>
      </c>
      <c r="U44" s="128">
        <v>45940</v>
      </c>
      <c r="W44" s="161" t="b">
        <f t="shared" si="7"/>
        <v>1</v>
      </c>
      <c r="Y44" s="83">
        <v>45931</v>
      </c>
      <c r="Z44" s="84" t="s">
        <v>63</v>
      </c>
      <c r="AA44" s="136">
        <v>0</v>
      </c>
      <c r="AB44" s="136">
        <v>728.91</v>
      </c>
      <c r="AC44" s="136">
        <v>971.79</v>
      </c>
      <c r="AD44" s="136">
        <v>865.82999999999993</v>
      </c>
      <c r="AE44" s="136">
        <v>953.75</v>
      </c>
      <c r="AF44" s="136">
        <v>954.54</v>
      </c>
      <c r="AG44" s="136">
        <v>911.82999999999993</v>
      </c>
      <c r="AH44" s="136">
        <v>708.27</v>
      </c>
      <c r="AI44" s="136">
        <v>716.62999999999988</v>
      </c>
      <c r="AJ44" s="136">
        <v>533.14</v>
      </c>
      <c r="AK44" s="136">
        <v>822.81</v>
      </c>
      <c r="AL44" s="136">
        <v>720.04</v>
      </c>
      <c r="AM44" s="136">
        <v>750.51</v>
      </c>
      <c r="AN44" s="136">
        <v>513.79</v>
      </c>
      <c r="AO44" s="183">
        <v>649.97</v>
      </c>
      <c r="AP44" s="125">
        <v>10301.84</v>
      </c>
      <c r="AQ44" s="83">
        <v>45931</v>
      </c>
      <c r="AR44" s="128">
        <v>45931</v>
      </c>
      <c r="AS44" s="128">
        <v>45940</v>
      </c>
    </row>
    <row r="45" spans="1:45" ht="15.75" x14ac:dyDescent="0.25">
      <c r="A45" s="64">
        <v>45962</v>
      </c>
      <c r="B45" s="65" t="s">
        <v>43</v>
      </c>
      <c r="C45" s="25">
        <v>12.106</v>
      </c>
      <c r="D45" s="25">
        <v>20.172999999999998</v>
      </c>
      <c r="E45" s="25">
        <v>10.409000000000001</v>
      </c>
      <c r="F45" s="25">
        <v>18.707999999999998</v>
      </c>
      <c r="G45" s="25">
        <v>33.741</v>
      </c>
      <c r="H45" s="25">
        <v>34.405999999999999</v>
      </c>
      <c r="I45" s="25">
        <v>21.869</v>
      </c>
      <c r="J45" s="25">
        <v>14.157</v>
      </c>
      <c r="K45" s="25">
        <v>13.134</v>
      </c>
      <c r="L45" s="25">
        <v>3.3439999999999999</v>
      </c>
      <c r="M45" s="25">
        <v>25.558</v>
      </c>
      <c r="N45" s="25">
        <v>16.891999999999999</v>
      </c>
      <c r="O45" s="25">
        <v>7.8719999999999999</v>
      </c>
      <c r="P45" s="25">
        <v>4.0010000000000003</v>
      </c>
      <c r="Q45" s="25">
        <v>10.63</v>
      </c>
      <c r="R45" s="129" t="s">
        <v>227</v>
      </c>
      <c r="S45" s="64">
        <f t="shared" ref="S45:S58" si="9">A45</f>
        <v>45962</v>
      </c>
      <c r="T45" s="127">
        <v>45961</v>
      </c>
      <c r="U45" s="127">
        <v>45971</v>
      </c>
      <c r="W45" s="161" t="b">
        <f t="shared" si="7"/>
        <v>1</v>
      </c>
      <c r="Y45" s="64">
        <v>45962</v>
      </c>
      <c r="Z45" s="65" t="s">
        <v>43</v>
      </c>
      <c r="AA45" s="25">
        <v>12.106</v>
      </c>
      <c r="AB45" s="25">
        <v>20.172999999999998</v>
      </c>
      <c r="AC45" s="25">
        <v>10.409000000000001</v>
      </c>
      <c r="AD45" s="25">
        <v>18.707999999999998</v>
      </c>
      <c r="AE45" s="25">
        <v>33.741</v>
      </c>
      <c r="AF45" s="25">
        <v>34.405999999999999</v>
      </c>
      <c r="AG45" s="25">
        <v>21.869</v>
      </c>
      <c r="AH45" s="25">
        <v>14.157</v>
      </c>
      <c r="AI45" s="25">
        <v>13.134</v>
      </c>
      <c r="AJ45" s="25">
        <v>3.3439999999999999</v>
      </c>
      <c r="AK45" s="25">
        <v>25.558</v>
      </c>
      <c r="AL45" s="25">
        <v>16.891999999999999</v>
      </c>
      <c r="AM45" s="25">
        <v>7.8719999999999999</v>
      </c>
      <c r="AN45" s="25">
        <v>4.0010000000000003</v>
      </c>
      <c r="AO45" s="25">
        <v>10.63</v>
      </c>
      <c r="AP45" s="129" t="s">
        <v>227</v>
      </c>
      <c r="AQ45" s="64">
        <v>45962</v>
      </c>
      <c r="AR45" s="127">
        <v>45961</v>
      </c>
      <c r="AS45" s="127">
        <v>45971</v>
      </c>
    </row>
    <row r="46" spans="1:45" ht="15.75" x14ac:dyDescent="0.25">
      <c r="A46" s="64">
        <v>45962</v>
      </c>
      <c r="B46" s="65" t="s">
        <v>44</v>
      </c>
      <c r="C46" s="136">
        <v>351.47</v>
      </c>
      <c r="D46" s="136">
        <v>232.39</v>
      </c>
      <c r="E46" s="136">
        <v>119.8</v>
      </c>
      <c r="F46" s="136">
        <v>215.44</v>
      </c>
      <c r="G46" s="136">
        <v>389.04</v>
      </c>
      <c r="H46" s="136">
        <v>397.69</v>
      </c>
      <c r="I46" s="136">
        <v>252.3</v>
      </c>
      <c r="J46" s="136">
        <v>163.44999999999999</v>
      </c>
      <c r="K46" s="136">
        <v>152.25</v>
      </c>
      <c r="L46" s="136">
        <v>38.159999999999997</v>
      </c>
      <c r="M46" s="136">
        <v>295.52999999999997</v>
      </c>
      <c r="N46" s="136">
        <v>194.67</v>
      </c>
      <c r="O46" s="136">
        <v>91.29</v>
      </c>
      <c r="P46" s="136">
        <v>46.76</v>
      </c>
      <c r="Q46" s="136">
        <v>122.67</v>
      </c>
      <c r="R46" s="129" t="s">
        <v>227</v>
      </c>
      <c r="S46" s="64">
        <f t="shared" si="9"/>
        <v>45962</v>
      </c>
      <c r="T46" s="127">
        <v>45961</v>
      </c>
      <c r="U46" s="127">
        <v>45971</v>
      </c>
      <c r="W46" s="161" t="b">
        <f t="shared" si="7"/>
        <v>1</v>
      </c>
      <c r="Y46" s="64">
        <v>45962</v>
      </c>
      <c r="Z46" s="65" t="s">
        <v>44</v>
      </c>
      <c r="AA46" s="136">
        <v>351.47</v>
      </c>
      <c r="AB46" s="136">
        <v>232.39</v>
      </c>
      <c r="AC46" s="136">
        <v>119.8</v>
      </c>
      <c r="AD46" s="136">
        <v>215.44</v>
      </c>
      <c r="AE46" s="136">
        <v>389.04</v>
      </c>
      <c r="AF46" s="136">
        <v>397.69</v>
      </c>
      <c r="AG46" s="136">
        <v>252.3</v>
      </c>
      <c r="AH46" s="136">
        <v>163.44999999999999</v>
      </c>
      <c r="AI46" s="136">
        <v>152.25</v>
      </c>
      <c r="AJ46" s="136">
        <v>38.159999999999997</v>
      </c>
      <c r="AK46" s="136">
        <v>295.52999999999997</v>
      </c>
      <c r="AL46" s="136">
        <v>194.67</v>
      </c>
      <c r="AM46" s="136">
        <v>91.29</v>
      </c>
      <c r="AN46" s="136">
        <v>46.76</v>
      </c>
      <c r="AO46" s="136">
        <v>122.67</v>
      </c>
      <c r="AP46" s="129" t="s">
        <v>227</v>
      </c>
      <c r="AQ46" s="64">
        <v>45962</v>
      </c>
      <c r="AR46" s="127">
        <v>45961</v>
      </c>
      <c r="AS46" s="127">
        <v>45971</v>
      </c>
    </row>
    <row r="47" spans="1:45" ht="15.75" x14ac:dyDescent="0.25">
      <c r="A47" s="64">
        <v>45962</v>
      </c>
      <c r="B47" s="65" t="s">
        <v>45</v>
      </c>
      <c r="C47" s="137">
        <v>0</v>
      </c>
      <c r="D47" s="137">
        <v>1.4999999999999999E-2</v>
      </c>
      <c r="E47" s="137">
        <v>1.03</v>
      </c>
      <c r="F47" s="137">
        <v>2.895</v>
      </c>
      <c r="G47" s="137">
        <v>1.34</v>
      </c>
      <c r="H47" s="137">
        <v>1.508</v>
      </c>
      <c r="I47" s="137">
        <v>3.8559999999999999</v>
      </c>
      <c r="J47" s="137">
        <v>1.266</v>
      </c>
      <c r="K47" s="137">
        <v>1.421</v>
      </c>
      <c r="L47" s="137">
        <v>0.32</v>
      </c>
      <c r="M47" s="137">
        <v>1.5489999999999999</v>
      </c>
      <c r="N47" s="137">
        <v>0.42199999999999999</v>
      </c>
      <c r="O47" s="137">
        <v>3.7709999999999999</v>
      </c>
      <c r="P47" s="137">
        <v>0</v>
      </c>
      <c r="Q47" s="137">
        <v>1.0069999999999999</v>
      </c>
      <c r="R47" s="129" t="s">
        <v>227</v>
      </c>
      <c r="S47" s="64">
        <f t="shared" si="9"/>
        <v>45962</v>
      </c>
      <c r="T47" s="127">
        <v>45961</v>
      </c>
      <c r="U47" s="127">
        <v>45971</v>
      </c>
      <c r="W47" s="161" t="b">
        <f t="shared" si="7"/>
        <v>1</v>
      </c>
      <c r="Y47" s="64">
        <v>45962</v>
      </c>
      <c r="Z47" s="65" t="s">
        <v>45</v>
      </c>
      <c r="AA47" s="137">
        <v>0</v>
      </c>
      <c r="AB47" s="137">
        <v>1.4999999999999999E-2</v>
      </c>
      <c r="AC47" s="137">
        <v>1.03</v>
      </c>
      <c r="AD47" s="137">
        <v>2.895</v>
      </c>
      <c r="AE47" s="137">
        <v>1.34</v>
      </c>
      <c r="AF47" s="137">
        <v>1.508</v>
      </c>
      <c r="AG47" s="137">
        <v>3.8559999999999999</v>
      </c>
      <c r="AH47" s="137">
        <v>1.266</v>
      </c>
      <c r="AI47" s="137">
        <v>1.421</v>
      </c>
      <c r="AJ47" s="137">
        <v>0.32</v>
      </c>
      <c r="AK47" s="137">
        <v>1.5489999999999999</v>
      </c>
      <c r="AL47" s="137">
        <v>0.42199999999999999</v>
      </c>
      <c r="AM47" s="137">
        <v>3.7709999999999999</v>
      </c>
      <c r="AN47" s="137">
        <v>0</v>
      </c>
      <c r="AO47" s="137">
        <v>1.0069999999999999</v>
      </c>
      <c r="AP47" s="129" t="s">
        <v>227</v>
      </c>
      <c r="AQ47" s="64">
        <v>45962</v>
      </c>
      <c r="AR47" s="127">
        <v>45961</v>
      </c>
      <c r="AS47" s="127">
        <v>45971</v>
      </c>
    </row>
    <row r="48" spans="1:45" ht="15.75" x14ac:dyDescent="0.25">
      <c r="A48" s="64">
        <v>45962</v>
      </c>
      <c r="B48" s="65" t="s">
        <v>46</v>
      </c>
      <c r="C48" s="136">
        <v>0</v>
      </c>
      <c r="D48" s="136">
        <v>0.56999999999999995</v>
      </c>
      <c r="E48" s="136">
        <v>38.81</v>
      </c>
      <c r="F48" s="136">
        <v>109.07</v>
      </c>
      <c r="G48" s="136">
        <v>50.48</v>
      </c>
      <c r="H48" s="136">
        <v>56.81</v>
      </c>
      <c r="I48" s="136">
        <v>145.27000000000001</v>
      </c>
      <c r="J48" s="136">
        <v>47.7</v>
      </c>
      <c r="K48" s="136">
        <v>53.54</v>
      </c>
      <c r="L48" s="136">
        <v>12.06</v>
      </c>
      <c r="M48" s="136">
        <v>58.36</v>
      </c>
      <c r="N48" s="136">
        <v>15.9</v>
      </c>
      <c r="O48" s="136">
        <v>142.07</v>
      </c>
      <c r="P48" s="136">
        <v>0</v>
      </c>
      <c r="Q48" s="136">
        <v>37.94</v>
      </c>
      <c r="R48" s="129" t="s">
        <v>227</v>
      </c>
      <c r="S48" s="64">
        <f t="shared" si="9"/>
        <v>45962</v>
      </c>
      <c r="T48" s="127">
        <v>45961</v>
      </c>
      <c r="U48" s="127">
        <v>45971</v>
      </c>
      <c r="W48" s="161" t="b">
        <f t="shared" si="7"/>
        <v>1</v>
      </c>
      <c r="Y48" s="64">
        <v>45962</v>
      </c>
      <c r="Z48" s="65" t="s">
        <v>46</v>
      </c>
      <c r="AA48" s="136">
        <v>0</v>
      </c>
      <c r="AB48" s="136">
        <v>0.56999999999999995</v>
      </c>
      <c r="AC48" s="136">
        <v>38.81</v>
      </c>
      <c r="AD48" s="136">
        <v>109.07</v>
      </c>
      <c r="AE48" s="136">
        <v>50.48</v>
      </c>
      <c r="AF48" s="136">
        <v>56.81</v>
      </c>
      <c r="AG48" s="136">
        <v>145.27000000000001</v>
      </c>
      <c r="AH48" s="136">
        <v>47.7</v>
      </c>
      <c r="AI48" s="136">
        <v>53.54</v>
      </c>
      <c r="AJ48" s="136">
        <v>12.06</v>
      </c>
      <c r="AK48" s="136">
        <v>58.36</v>
      </c>
      <c r="AL48" s="136">
        <v>15.9</v>
      </c>
      <c r="AM48" s="136">
        <v>142.07</v>
      </c>
      <c r="AN48" s="136">
        <v>0</v>
      </c>
      <c r="AO48" s="136">
        <v>37.94</v>
      </c>
      <c r="AP48" s="129" t="s">
        <v>227</v>
      </c>
      <c r="AQ48" s="64">
        <v>45962</v>
      </c>
      <c r="AR48" s="127">
        <v>45961</v>
      </c>
      <c r="AS48" s="127">
        <v>45971</v>
      </c>
    </row>
    <row r="49" spans="1:45" ht="15.75" x14ac:dyDescent="0.25">
      <c r="A49" s="64">
        <v>45962</v>
      </c>
      <c r="B49" s="65" t="s">
        <v>47</v>
      </c>
      <c r="C49" s="136">
        <v>0</v>
      </c>
      <c r="D49" s="136">
        <v>445.69</v>
      </c>
      <c r="E49" s="136">
        <v>445.69</v>
      </c>
      <c r="F49" s="136">
        <v>445.69</v>
      </c>
      <c r="G49" s="136">
        <v>445.69</v>
      </c>
      <c r="H49" s="136">
        <v>445.69</v>
      </c>
      <c r="I49" s="136">
        <v>445.69</v>
      </c>
      <c r="J49" s="136">
        <v>445.69</v>
      </c>
      <c r="K49" s="136">
        <v>445.69</v>
      </c>
      <c r="L49" s="136">
        <v>445.69</v>
      </c>
      <c r="M49" s="136">
        <v>445.69</v>
      </c>
      <c r="N49" s="136">
        <v>445.69</v>
      </c>
      <c r="O49" s="136">
        <v>445.69</v>
      </c>
      <c r="P49" s="136">
        <v>445.69</v>
      </c>
      <c r="Q49" s="136">
        <v>445.69</v>
      </c>
      <c r="R49" s="129" t="s">
        <v>227</v>
      </c>
      <c r="S49" s="64">
        <f t="shared" si="9"/>
        <v>45962</v>
      </c>
      <c r="T49" s="127">
        <v>45961</v>
      </c>
      <c r="U49" s="127">
        <v>45971</v>
      </c>
      <c r="W49" s="161" t="b">
        <f t="shared" si="7"/>
        <v>1</v>
      </c>
      <c r="Y49" s="64">
        <v>45962</v>
      </c>
      <c r="Z49" s="65" t="s">
        <v>47</v>
      </c>
      <c r="AA49" s="136">
        <v>0</v>
      </c>
      <c r="AB49" s="136">
        <v>445.69</v>
      </c>
      <c r="AC49" s="136">
        <v>445.69</v>
      </c>
      <c r="AD49" s="136">
        <v>445.69</v>
      </c>
      <c r="AE49" s="136">
        <v>445.69</v>
      </c>
      <c r="AF49" s="136">
        <v>445.69</v>
      </c>
      <c r="AG49" s="136">
        <v>445.69</v>
      </c>
      <c r="AH49" s="136">
        <v>445.69</v>
      </c>
      <c r="AI49" s="136">
        <v>445.69</v>
      </c>
      <c r="AJ49" s="136">
        <v>445.69</v>
      </c>
      <c r="AK49" s="136">
        <v>445.69</v>
      </c>
      <c r="AL49" s="136">
        <v>445.69</v>
      </c>
      <c r="AM49" s="136">
        <v>445.69</v>
      </c>
      <c r="AN49" s="136">
        <v>445.69</v>
      </c>
      <c r="AO49" s="136">
        <v>445.69</v>
      </c>
      <c r="AP49" s="129" t="s">
        <v>227</v>
      </c>
      <c r="AQ49" s="64">
        <v>45962</v>
      </c>
      <c r="AR49" s="127">
        <v>45961</v>
      </c>
      <c r="AS49" s="127">
        <v>45971</v>
      </c>
    </row>
    <row r="50" spans="1:45" ht="15.75" x14ac:dyDescent="0.25">
      <c r="A50" s="64">
        <v>45962</v>
      </c>
      <c r="B50" s="65" t="s">
        <v>62</v>
      </c>
      <c r="C50" s="136">
        <v>0</v>
      </c>
      <c r="D50" s="136">
        <v>679</v>
      </c>
      <c r="E50" s="136">
        <v>605</v>
      </c>
      <c r="F50" s="136">
        <v>771</v>
      </c>
      <c r="G50" s="136">
        <v>886</v>
      </c>
      <c r="H50" s="136">
        <v>901</v>
      </c>
      <c r="I50" s="136">
        <v>844</v>
      </c>
      <c r="J50" s="136">
        <v>657</v>
      </c>
      <c r="K50" s="136">
        <v>652</v>
      </c>
      <c r="L50" s="136">
        <v>496</v>
      </c>
      <c r="M50" s="136">
        <v>800</v>
      </c>
      <c r="N50" s="136">
        <v>657</v>
      </c>
      <c r="O50" s="136">
        <v>680</v>
      </c>
      <c r="P50" s="136">
        <v>493</v>
      </c>
      <c r="Q50" s="183">
        <v>607</v>
      </c>
      <c r="R50" s="116">
        <f>SUM(C50:P50)+E100</f>
        <v>9271</v>
      </c>
      <c r="S50" s="64">
        <f t="shared" si="9"/>
        <v>45962</v>
      </c>
      <c r="T50" s="127">
        <v>45961</v>
      </c>
      <c r="U50" s="127">
        <v>45971</v>
      </c>
      <c r="W50" s="161" t="b">
        <f t="shared" si="7"/>
        <v>1</v>
      </c>
      <c r="Y50" s="64">
        <v>45962</v>
      </c>
      <c r="Z50" s="65" t="s">
        <v>62</v>
      </c>
      <c r="AA50" s="136">
        <v>0</v>
      </c>
      <c r="AB50" s="136">
        <v>679</v>
      </c>
      <c r="AC50" s="136">
        <v>605</v>
      </c>
      <c r="AD50" s="136">
        <v>771</v>
      </c>
      <c r="AE50" s="136">
        <v>886</v>
      </c>
      <c r="AF50" s="136">
        <v>901</v>
      </c>
      <c r="AG50" s="136">
        <v>844</v>
      </c>
      <c r="AH50" s="136">
        <v>657</v>
      </c>
      <c r="AI50" s="136">
        <v>652</v>
      </c>
      <c r="AJ50" s="136">
        <v>496</v>
      </c>
      <c r="AK50" s="136">
        <v>800</v>
      </c>
      <c r="AL50" s="136">
        <v>657</v>
      </c>
      <c r="AM50" s="136">
        <v>680</v>
      </c>
      <c r="AN50" s="136">
        <v>493</v>
      </c>
      <c r="AO50" s="183">
        <v>607</v>
      </c>
      <c r="AP50" s="116">
        <v>9271</v>
      </c>
      <c r="AQ50" s="64">
        <v>45962</v>
      </c>
      <c r="AR50" s="127">
        <v>45961</v>
      </c>
      <c r="AS50" s="127">
        <v>45971</v>
      </c>
    </row>
    <row r="51" spans="1:45" ht="15.75" x14ac:dyDescent="0.25">
      <c r="A51" s="83">
        <v>45962</v>
      </c>
      <c r="B51" s="84" t="s">
        <v>63</v>
      </c>
      <c r="C51" s="136">
        <v>0</v>
      </c>
      <c r="D51" s="136">
        <v>678.65</v>
      </c>
      <c r="E51" s="136">
        <v>604.29999999999995</v>
      </c>
      <c r="F51" s="136">
        <v>770.2</v>
      </c>
      <c r="G51" s="136">
        <v>885.21</v>
      </c>
      <c r="H51" s="136">
        <v>900.19</v>
      </c>
      <c r="I51" s="136">
        <v>843.26</v>
      </c>
      <c r="J51" s="136">
        <v>656.83999999999992</v>
      </c>
      <c r="K51" s="136">
        <v>651.48</v>
      </c>
      <c r="L51" s="136">
        <v>495.90999999999997</v>
      </c>
      <c r="M51" s="136">
        <v>799.57999999999993</v>
      </c>
      <c r="N51" s="136">
        <v>656.26</v>
      </c>
      <c r="O51" s="136">
        <v>679.05</v>
      </c>
      <c r="P51" s="136">
        <v>492.45</v>
      </c>
      <c r="Q51" s="183">
        <v>606.29999999999995</v>
      </c>
      <c r="R51" s="125">
        <f>SUM(C51:P51)+E100</f>
        <v>9263.3799999999992</v>
      </c>
      <c r="S51" s="83">
        <f t="shared" si="9"/>
        <v>45962</v>
      </c>
      <c r="T51" s="128">
        <v>45961</v>
      </c>
      <c r="U51" s="128">
        <v>45971</v>
      </c>
      <c r="W51" s="161" t="b">
        <f t="shared" si="7"/>
        <v>1</v>
      </c>
      <c r="Y51" s="83">
        <v>45962</v>
      </c>
      <c r="Z51" s="84" t="s">
        <v>63</v>
      </c>
      <c r="AA51" s="136">
        <v>0</v>
      </c>
      <c r="AB51" s="136">
        <v>678.65</v>
      </c>
      <c r="AC51" s="136">
        <v>604.29999999999995</v>
      </c>
      <c r="AD51" s="136">
        <v>770.2</v>
      </c>
      <c r="AE51" s="136">
        <v>885.21</v>
      </c>
      <c r="AF51" s="136">
        <v>900.19</v>
      </c>
      <c r="AG51" s="136">
        <v>843.26</v>
      </c>
      <c r="AH51" s="136">
        <v>656.83999999999992</v>
      </c>
      <c r="AI51" s="136">
        <v>651.48</v>
      </c>
      <c r="AJ51" s="136">
        <v>495.90999999999997</v>
      </c>
      <c r="AK51" s="136">
        <v>799.57999999999993</v>
      </c>
      <c r="AL51" s="136">
        <v>656.26</v>
      </c>
      <c r="AM51" s="136">
        <v>679.05</v>
      </c>
      <c r="AN51" s="136">
        <v>492.45</v>
      </c>
      <c r="AO51" s="183">
        <v>606.29999999999995</v>
      </c>
      <c r="AP51" s="125">
        <v>9263.3799999999992</v>
      </c>
      <c r="AQ51" s="83">
        <v>45962</v>
      </c>
      <c r="AR51" s="128">
        <v>45961</v>
      </c>
      <c r="AS51" s="128">
        <v>45971</v>
      </c>
    </row>
    <row r="52" spans="1:45" ht="15.75" x14ac:dyDescent="0.25">
      <c r="A52" s="64">
        <v>45992</v>
      </c>
      <c r="B52" s="65" t="s">
        <v>43</v>
      </c>
      <c r="C52" s="25">
        <v>17.591999999999999</v>
      </c>
      <c r="D52" s="25">
        <v>21.346</v>
      </c>
      <c r="E52" s="25">
        <v>22.952999999999999</v>
      </c>
      <c r="F52" s="25">
        <v>20.164000000000001</v>
      </c>
      <c r="G52" s="25">
        <v>34.017000000000003</v>
      </c>
      <c r="H52" s="25">
        <v>37.476999999999997</v>
      </c>
      <c r="I52" s="25">
        <v>22.898</v>
      </c>
      <c r="J52" s="25">
        <v>14.391999999999999</v>
      </c>
      <c r="K52" s="25">
        <v>13.845000000000001</v>
      </c>
      <c r="L52" s="25">
        <v>3.2210000000000001</v>
      </c>
      <c r="M52" s="25">
        <v>17.263999999999999</v>
      </c>
      <c r="N52" s="25">
        <v>18.895</v>
      </c>
      <c r="O52" s="25">
        <v>8.1549999999999994</v>
      </c>
      <c r="P52" s="25">
        <v>4.8159999999999998</v>
      </c>
      <c r="Q52" s="25">
        <v>11.965</v>
      </c>
      <c r="R52" s="129" t="s">
        <v>227</v>
      </c>
      <c r="S52" s="64">
        <f t="shared" si="9"/>
        <v>45992</v>
      </c>
      <c r="T52" s="127">
        <v>45993</v>
      </c>
      <c r="U52" s="127">
        <v>46001</v>
      </c>
      <c r="W52" s="161" t="b">
        <f t="shared" si="7"/>
        <v>1</v>
      </c>
      <c r="Y52" s="64">
        <v>45992</v>
      </c>
      <c r="Z52" s="65" t="s">
        <v>43</v>
      </c>
      <c r="AA52" s="25">
        <v>17.591999999999999</v>
      </c>
      <c r="AB52" s="25">
        <v>21.346</v>
      </c>
      <c r="AC52" s="25">
        <v>22.952999999999999</v>
      </c>
      <c r="AD52" s="25">
        <v>20.164000000000001</v>
      </c>
      <c r="AE52" s="25">
        <v>34.017000000000003</v>
      </c>
      <c r="AF52" s="25">
        <v>37.476999999999997</v>
      </c>
      <c r="AG52" s="25">
        <v>22.898</v>
      </c>
      <c r="AH52" s="25">
        <v>14.391999999999999</v>
      </c>
      <c r="AI52" s="25">
        <v>13.845000000000001</v>
      </c>
      <c r="AJ52" s="25">
        <v>3.2210000000000001</v>
      </c>
      <c r="AK52" s="25">
        <v>17.263999999999999</v>
      </c>
      <c r="AL52" s="25">
        <v>18.895</v>
      </c>
      <c r="AM52" s="25">
        <v>8.1549999999999994</v>
      </c>
      <c r="AN52" s="25">
        <v>4.8159999999999998</v>
      </c>
      <c r="AO52" s="25">
        <v>11.965</v>
      </c>
      <c r="AP52" s="129" t="s">
        <v>227</v>
      </c>
      <c r="AQ52" s="64">
        <v>45992</v>
      </c>
      <c r="AR52" s="127">
        <v>45993</v>
      </c>
      <c r="AS52" s="127">
        <v>46001</v>
      </c>
    </row>
    <row r="53" spans="1:45" ht="15.75" x14ac:dyDescent="0.25">
      <c r="A53" s="64">
        <v>45992</v>
      </c>
      <c r="B53" s="65" t="s">
        <v>44</v>
      </c>
      <c r="C53" s="136">
        <v>346.4</v>
      </c>
      <c r="D53" s="136">
        <v>264.31</v>
      </c>
      <c r="E53" s="136">
        <v>285.06</v>
      </c>
      <c r="F53" s="136">
        <v>249.65</v>
      </c>
      <c r="G53" s="136">
        <v>421.59</v>
      </c>
      <c r="H53" s="136">
        <v>464.92</v>
      </c>
      <c r="I53" s="136">
        <v>284.64999999999998</v>
      </c>
      <c r="J53" s="136">
        <v>178.87</v>
      </c>
      <c r="K53" s="136">
        <v>171.87</v>
      </c>
      <c r="L53" s="136">
        <v>40.08</v>
      </c>
      <c r="M53" s="136">
        <v>214.9</v>
      </c>
      <c r="N53" s="136">
        <v>234.35</v>
      </c>
      <c r="O53" s="136">
        <v>101.7</v>
      </c>
      <c r="P53" s="136">
        <v>59.27</v>
      </c>
      <c r="Q53" s="136">
        <v>149.1</v>
      </c>
      <c r="R53" s="129" t="s">
        <v>227</v>
      </c>
      <c r="S53" s="64">
        <f t="shared" si="9"/>
        <v>45992</v>
      </c>
      <c r="T53" s="127">
        <v>45993</v>
      </c>
      <c r="U53" s="127">
        <v>46001</v>
      </c>
      <c r="W53" s="161" t="b">
        <f t="shared" si="7"/>
        <v>1</v>
      </c>
      <c r="Y53" s="64">
        <v>45992</v>
      </c>
      <c r="Z53" s="65" t="s">
        <v>44</v>
      </c>
      <c r="AA53" s="136">
        <v>346.4</v>
      </c>
      <c r="AB53" s="136">
        <v>264.31</v>
      </c>
      <c r="AC53" s="136">
        <v>285.06</v>
      </c>
      <c r="AD53" s="136">
        <v>249.65</v>
      </c>
      <c r="AE53" s="136">
        <v>421.59</v>
      </c>
      <c r="AF53" s="136">
        <v>464.92</v>
      </c>
      <c r="AG53" s="136">
        <v>284.64999999999998</v>
      </c>
      <c r="AH53" s="136">
        <v>178.87</v>
      </c>
      <c r="AI53" s="136">
        <v>171.87</v>
      </c>
      <c r="AJ53" s="136">
        <v>40.08</v>
      </c>
      <c r="AK53" s="136">
        <v>214.9</v>
      </c>
      <c r="AL53" s="136">
        <v>234.35</v>
      </c>
      <c r="AM53" s="136">
        <v>101.7</v>
      </c>
      <c r="AN53" s="136">
        <v>59.27</v>
      </c>
      <c r="AO53" s="136">
        <v>149.1</v>
      </c>
      <c r="AP53" s="129" t="s">
        <v>227</v>
      </c>
      <c r="AQ53" s="64">
        <v>45992</v>
      </c>
      <c r="AR53" s="127">
        <v>45993</v>
      </c>
      <c r="AS53" s="127">
        <v>46001</v>
      </c>
    </row>
    <row r="54" spans="1:45" ht="15.75" x14ac:dyDescent="0.25">
      <c r="A54" s="64">
        <v>45992</v>
      </c>
      <c r="B54" s="65" t="s">
        <v>45</v>
      </c>
      <c r="C54" s="137">
        <v>0</v>
      </c>
      <c r="D54" s="137">
        <v>2E-3</v>
      </c>
      <c r="E54" s="137">
        <v>3.37</v>
      </c>
      <c r="F54" s="137">
        <v>2.9180000000000001</v>
      </c>
      <c r="G54" s="137">
        <v>1.581</v>
      </c>
      <c r="H54" s="137">
        <v>1.9510000000000001</v>
      </c>
      <c r="I54" s="137">
        <v>4.0019999999999998</v>
      </c>
      <c r="J54" s="137">
        <v>0.96299999999999997</v>
      </c>
      <c r="K54" s="137">
        <v>1.4039999999999999</v>
      </c>
      <c r="L54" s="137">
        <v>0.41299999999999998</v>
      </c>
      <c r="M54" s="137">
        <v>1.0589999999999999</v>
      </c>
      <c r="N54" s="137">
        <v>0.65800000000000003</v>
      </c>
      <c r="O54" s="137">
        <v>3.9990000000000001</v>
      </c>
      <c r="P54" s="137">
        <v>0</v>
      </c>
      <c r="Q54" s="137">
        <v>1.419</v>
      </c>
      <c r="R54" s="129" t="s">
        <v>227</v>
      </c>
      <c r="S54" s="64">
        <f t="shared" si="9"/>
        <v>45992</v>
      </c>
      <c r="T54" s="127">
        <v>45993</v>
      </c>
      <c r="U54" s="127">
        <v>46001</v>
      </c>
      <c r="W54" s="161" t="b">
        <f t="shared" si="7"/>
        <v>1</v>
      </c>
      <c r="Y54" s="64">
        <v>45992</v>
      </c>
      <c r="Z54" s="65" t="s">
        <v>45</v>
      </c>
      <c r="AA54" s="137">
        <v>0</v>
      </c>
      <c r="AB54" s="137">
        <v>2E-3</v>
      </c>
      <c r="AC54" s="137">
        <v>3.37</v>
      </c>
      <c r="AD54" s="137">
        <v>2.9180000000000001</v>
      </c>
      <c r="AE54" s="137">
        <v>1.581</v>
      </c>
      <c r="AF54" s="137">
        <v>1.9510000000000001</v>
      </c>
      <c r="AG54" s="137">
        <v>4.0019999999999998</v>
      </c>
      <c r="AH54" s="137">
        <v>0.96299999999999997</v>
      </c>
      <c r="AI54" s="137">
        <v>1.4039999999999999</v>
      </c>
      <c r="AJ54" s="137">
        <v>0.41299999999999998</v>
      </c>
      <c r="AK54" s="137">
        <v>1.0589999999999999</v>
      </c>
      <c r="AL54" s="137">
        <v>0.65800000000000003</v>
      </c>
      <c r="AM54" s="137">
        <v>3.9990000000000001</v>
      </c>
      <c r="AN54" s="137">
        <v>0</v>
      </c>
      <c r="AO54" s="137">
        <v>1.419</v>
      </c>
      <c r="AP54" s="129" t="s">
        <v>227</v>
      </c>
      <c r="AQ54" s="64">
        <v>45992</v>
      </c>
      <c r="AR54" s="127">
        <v>45993</v>
      </c>
      <c r="AS54" s="127">
        <v>46001</v>
      </c>
    </row>
    <row r="55" spans="1:45" ht="15.75" x14ac:dyDescent="0.25">
      <c r="A55" s="64">
        <v>45992</v>
      </c>
      <c r="B55" s="65" t="s">
        <v>46</v>
      </c>
      <c r="C55" s="136">
        <v>0</v>
      </c>
      <c r="D55" s="136">
        <v>0.08</v>
      </c>
      <c r="E55" s="136">
        <v>126.96</v>
      </c>
      <c r="F55" s="136">
        <v>109.94</v>
      </c>
      <c r="G55" s="136">
        <v>59.56</v>
      </c>
      <c r="H55" s="136">
        <v>73.5</v>
      </c>
      <c r="I55" s="136">
        <v>150.78</v>
      </c>
      <c r="J55" s="136">
        <v>36.28</v>
      </c>
      <c r="K55" s="136">
        <v>52.9</v>
      </c>
      <c r="L55" s="136">
        <v>15.56</v>
      </c>
      <c r="M55" s="136">
        <v>39.9</v>
      </c>
      <c r="N55" s="136">
        <v>24.79</v>
      </c>
      <c r="O55" s="136">
        <v>150.66</v>
      </c>
      <c r="P55" s="136">
        <v>0</v>
      </c>
      <c r="Q55" s="136">
        <v>53.46</v>
      </c>
      <c r="R55" s="129" t="s">
        <v>227</v>
      </c>
      <c r="S55" s="64">
        <f t="shared" si="9"/>
        <v>45992</v>
      </c>
      <c r="T55" s="127">
        <v>45993</v>
      </c>
      <c r="U55" s="127">
        <v>46001</v>
      </c>
      <c r="W55" s="161" t="b">
        <f t="shared" si="7"/>
        <v>1</v>
      </c>
      <c r="Y55" s="64">
        <v>45992</v>
      </c>
      <c r="Z55" s="65" t="s">
        <v>46</v>
      </c>
      <c r="AA55" s="136">
        <v>0</v>
      </c>
      <c r="AB55" s="136">
        <v>0.08</v>
      </c>
      <c r="AC55" s="136">
        <v>126.96</v>
      </c>
      <c r="AD55" s="136">
        <v>109.94</v>
      </c>
      <c r="AE55" s="136">
        <v>59.56</v>
      </c>
      <c r="AF55" s="136">
        <v>73.5</v>
      </c>
      <c r="AG55" s="136">
        <v>150.78</v>
      </c>
      <c r="AH55" s="136">
        <v>36.28</v>
      </c>
      <c r="AI55" s="136">
        <v>52.9</v>
      </c>
      <c r="AJ55" s="136">
        <v>15.56</v>
      </c>
      <c r="AK55" s="136">
        <v>39.9</v>
      </c>
      <c r="AL55" s="136">
        <v>24.79</v>
      </c>
      <c r="AM55" s="136">
        <v>150.66</v>
      </c>
      <c r="AN55" s="136">
        <v>0</v>
      </c>
      <c r="AO55" s="136">
        <v>53.46</v>
      </c>
      <c r="AP55" s="129" t="s">
        <v>227</v>
      </c>
      <c r="AQ55" s="64">
        <v>45992</v>
      </c>
      <c r="AR55" s="127">
        <v>45993</v>
      </c>
      <c r="AS55" s="127">
        <v>46001</v>
      </c>
    </row>
    <row r="56" spans="1:45" ht="15.75" x14ac:dyDescent="0.25">
      <c r="A56" s="64">
        <v>45992</v>
      </c>
      <c r="B56" s="65" t="s">
        <v>47</v>
      </c>
      <c r="C56" s="136">
        <v>0</v>
      </c>
      <c r="D56" s="136">
        <v>459.62</v>
      </c>
      <c r="E56" s="136">
        <v>459.62</v>
      </c>
      <c r="F56" s="136">
        <v>459.62</v>
      </c>
      <c r="G56" s="136">
        <v>459.62</v>
      </c>
      <c r="H56" s="136">
        <v>459.62</v>
      </c>
      <c r="I56" s="136">
        <v>459.62</v>
      </c>
      <c r="J56" s="136">
        <v>459.62</v>
      </c>
      <c r="K56" s="136">
        <v>459.62</v>
      </c>
      <c r="L56" s="136">
        <v>459.62</v>
      </c>
      <c r="M56" s="136">
        <v>459.62</v>
      </c>
      <c r="N56" s="136">
        <v>459.62</v>
      </c>
      <c r="O56" s="136">
        <v>459.62</v>
      </c>
      <c r="P56" s="136">
        <v>459.62</v>
      </c>
      <c r="Q56" s="136">
        <v>459.62</v>
      </c>
      <c r="R56" s="129" t="s">
        <v>227</v>
      </c>
      <c r="S56" s="64">
        <f t="shared" si="9"/>
        <v>45992</v>
      </c>
      <c r="T56" s="127">
        <v>45993</v>
      </c>
      <c r="U56" s="127">
        <v>46001</v>
      </c>
      <c r="W56" s="161" t="b">
        <f t="shared" si="7"/>
        <v>1</v>
      </c>
      <c r="Y56" s="64">
        <v>45992</v>
      </c>
      <c r="Z56" s="65" t="s">
        <v>47</v>
      </c>
      <c r="AA56" s="136">
        <v>0</v>
      </c>
      <c r="AB56" s="136">
        <v>459.62</v>
      </c>
      <c r="AC56" s="136">
        <v>459.62</v>
      </c>
      <c r="AD56" s="136">
        <v>459.62</v>
      </c>
      <c r="AE56" s="136">
        <v>459.62</v>
      </c>
      <c r="AF56" s="136">
        <v>459.62</v>
      </c>
      <c r="AG56" s="136">
        <v>459.62</v>
      </c>
      <c r="AH56" s="136">
        <v>459.62</v>
      </c>
      <c r="AI56" s="136">
        <v>459.62</v>
      </c>
      <c r="AJ56" s="136">
        <v>459.62</v>
      </c>
      <c r="AK56" s="136">
        <v>459.62</v>
      </c>
      <c r="AL56" s="136">
        <v>459.62</v>
      </c>
      <c r="AM56" s="136">
        <v>459.62</v>
      </c>
      <c r="AN56" s="136">
        <v>459.62</v>
      </c>
      <c r="AO56" s="136">
        <v>459.62</v>
      </c>
      <c r="AP56" s="129" t="s">
        <v>227</v>
      </c>
      <c r="AQ56" s="64">
        <v>45992</v>
      </c>
      <c r="AR56" s="127">
        <v>45993</v>
      </c>
      <c r="AS56" s="127">
        <v>46001</v>
      </c>
    </row>
    <row r="57" spans="1:45" ht="15.75" x14ac:dyDescent="0.25">
      <c r="A57" s="64">
        <v>45992</v>
      </c>
      <c r="B57" s="65" t="s">
        <v>62</v>
      </c>
      <c r="C57" s="136">
        <v>0</v>
      </c>
      <c r="D57" s="136">
        <v>725</v>
      </c>
      <c r="E57" s="136">
        <v>872</v>
      </c>
      <c r="F57" s="136">
        <v>820</v>
      </c>
      <c r="G57" s="136">
        <v>941</v>
      </c>
      <c r="H57" s="136">
        <v>999</v>
      </c>
      <c r="I57" s="136">
        <v>896</v>
      </c>
      <c r="J57" s="136">
        <v>675</v>
      </c>
      <c r="K57" s="136">
        <v>685</v>
      </c>
      <c r="L57" s="136">
        <v>516</v>
      </c>
      <c r="M57" s="136">
        <v>715</v>
      </c>
      <c r="N57" s="136">
        <v>719</v>
      </c>
      <c r="O57" s="136">
        <v>712</v>
      </c>
      <c r="P57" s="136">
        <v>519</v>
      </c>
      <c r="Q57" s="183">
        <v>663</v>
      </c>
      <c r="R57" s="116">
        <f>SUM(C57:P57)+E101</f>
        <v>9944</v>
      </c>
      <c r="S57" s="64">
        <f t="shared" si="9"/>
        <v>45992</v>
      </c>
      <c r="T57" s="127">
        <v>45993</v>
      </c>
      <c r="U57" s="127">
        <v>46001</v>
      </c>
      <c r="W57" s="161" t="b">
        <f t="shared" si="7"/>
        <v>1</v>
      </c>
      <c r="Y57" s="64">
        <v>45992</v>
      </c>
      <c r="Z57" s="65" t="s">
        <v>62</v>
      </c>
      <c r="AA57" s="136">
        <v>0</v>
      </c>
      <c r="AB57" s="136">
        <v>725</v>
      </c>
      <c r="AC57" s="136">
        <v>872</v>
      </c>
      <c r="AD57" s="136">
        <v>820</v>
      </c>
      <c r="AE57" s="136">
        <v>941</v>
      </c>
      <c r="AF57" s="136">
        <v>999</v>
      </c>
      <c r="AG57" s="136">
        <v>896</v>
      </c>
      <c r="AH57" s="136">
        <v>675</v>
      </c>
      <c r="AI57" s="136">
        <v>685</v>
      </c>
      <c r="AJ57" s="136">
        <v>516</v>
      </c>
      <c r="AK57" s="136">
        <v>715</v>
      </c>
      <c r="AL57" s="136">
        <v>719</v>
      </c>
      <c r="AM57" s="136">
        <v>712</v>
      </c>
      <c r="AN57" s="136">
        <v>519</v>
      </c>
      <c r="AO57" s="183">
        <v>663</v>
      </c>
      <c r="AP57" s="116">
        <v>9944</v>
      </c>
      <c r="AQ57" s="64">
        <v>45992</v>
      </c>
      <c r="AR57" s="127">
        <v>45993</v>
      </c>
      <c r="AS57" s="127">
        <v>46001</v>
      </c>
    </row>
    <row r="58" spans="1:45" ht="15.75" x14ac:dyDescent="0.25">
      <c r="A58" s="83">
        <v>45992</v>
      </c>
      <c r="B58" s="84" t="s">
        <v>63</v>
      </c>
      <c r="C58" s="136">
        <v>0</v>
      </c>
      <c r="D58" s="136">
        <v>724.01</v>
      </c>
      <c r="E58" s="136">
        <v>871.64</v>
      </c>
      <c r="F58" s="136">
        <v>819.21</v>
      </c>
      <c r="G58" s="136">
        <v>940.77</v>
      </c>
      <c r="H58" s="136">
        <v>998.04000000000008</v>
      </c>
      <c r="I58" s="136">
        <v>895.05</v>
      </c>
      <c r="J58" s="136">
        <v>674.77</v>
      </c>
      <c r="K58" s="136">
        <v>684.39</v>
      </c>
      <c r="L58" s="136">
        <v>515.26</v>
      </c>
      <c r="M58" s="136">
        <v>714.42000000000007</v>
      </c>
      <c r="N58" s="136">
        <v>718.76</v>
      </c>
      <c r="O58" s="136">
        <v>711.98</v>
      </c>
      <c r="P58" s="136">
        <v>518.89</v>
      </c>
      <c r="Q58" s="183">
        <v>662.18000000000006</v>
      </c>
      <c r="R58" s="125">
        <f>SUM(C58:P58)+E101</f>
        <v>9937.1899999999987</v>
      </c>
      <c r="S58" s="83">
        <f t="shared" si="9"/>
        <v>45992</v>
      </c>
      <c r="T58" s="128">
        <v>45993</v>
      </c>
      <c r="U58" s="128">
        <v>46001</v>
      </c>
      <c r="W58" s="161" t="b">
        <f t="shared" si="7"/>
        <v>1</v>
      </c>
      <c r="Y58" s="83">
        <v>45992</v>
      </c>
      <c r="Z58" s="84" t="s">
        <v>63</v>
      </c>
      <c r="AA58" s="136">
        <v>0</v>
      </c>
      <c r="AB58" s="136">
        <v>724.01</v>
      </c>
      <c r="AC58" s="136">
        <v>871.64</v>
      </c>
      <c r="AD58" s="136">
        <v>819.21</v>
      </c>
      <c r="AE58" s="136">
        <v>940.77</v>
      </c>
      <c r="AF58" s="136">
        <v>998.04000000000008</v>
      </c>
      <c r="AG58" s="136">
        <v>895.05</v>
      </c>
      <c r="AH58" s="136">
        <v>674.77</v>
      </c>
      <c r="AI58" s="136">
        <v>684.39</v>
      </c>
      <c r="AJ58" s="136">
        <v>515.26</v>
      </c>
      <c r="AK58" s="136">
        <v>714.42000000000007</v>
      </c>
      <c r="AL58" s="136">
        <v>718.76</v>
      </c>
      <c r="AM58" s="136">
        <v>711.98</v>
      </c>
      <c r="AN58" s="136">
        <v>518.89</v>
      </c>
      <c r="AO58" s="183">
        <v>662.18000000000006</v>
      </c>
      <c r="AP58" s="125">
        <v>9937.1899999999987</v>
      </c>
      <c r="AQ58" s="83">
        <v>45992</v>
      </c>
      <c r="AR58" s="128">
        <v>45993</v>
      </c>
      <c r="AS58" s="128">
        <v>46001</v>
      </c>
    </row>
    <row r="59" spans="1:45" ht="15.75" x14ac:dyDescent="0.25">
      <c r="A59" s="64">
        <v>46023</v>
      </c>
      <c r="B59" s="65" t="s">
        <v>43</v>
      </c>
      <c r="C59" s="25">
        <v>0</v>
      </c>
      <c r="D59" s="25">
        <v>22.318000000000001</v>
      </c>
      <c r="E59" s="25">
        <v>27.556000000000001</v>
      </c>
      <c r="F59" s="25">
        <v>23.588999999999999</v>
      </c>
      <c r="G59" s="25">
        <v>29.619</v>
      </c>
      <c r="H59" s="25">
        <v>34.484000000000002</v>
      </c>
      <c r="I59" s="25">
        <v>19.966999999999999</v>
      </c>
      <c r="J59" s="25">
        <v>16.227</v>
      </c>
      <c r="K59" s="25">
        <v>15.316000000000001</v>
      </c>
      <c r="L59" s="25">
        <v>6.1020000000000003</v>
      </c>
      <c r="M59" s="25">
        <v>25.222000000000001</v>
      </c>
      <c r="N59" s="25">
        <v>19.146999999999998</v>
      </c>
      <c r="O59" s="25">
        <v>8.3190000000000008</v>
      </c>
      <c r="P59" s="25">
        <v>6.5789999999999997</v>
      </c>
      <c r="Q59" s="25">
        <v>17.960999999999999</v>
      </c>
      <c r="R59" s="129" t="s">
        <v>227</v>
      </c>
      <c r="S59" s="64">
        <f t="shared" ref="S59:S65" si="10">A59</f>
        <v>46023</v>
      </c>
      <c r="T59" s="127">
        <v>46024</v>
      </c>
      <c r="U59" s="127">
        <v>46031</v>
      </c>
      <c r="W59" s="161" t="b">
        <f t="shared" si="7"/>
        <v>1</v>
      </c>
      <c r="Y59" s="64">
        <v>46023</v>
      </c>
      <c r="Z59" s="65" t="s">
        <v>43</v>
      </c>
      <c r="AA59" s="25">
        <v>0</v>
      </c>
      <c r="AB59" s="25">
        <v>22.318000000000001</v>
      </c>
      <c r="AC59" s="25">
        <v>27.556000000000001</v>
      </c>
      <c r="AD59" s="25">
        <v>23.588999999999999</v>
      </c>
      <c r="AE59" s="25">
        <v>29.619</v>
      </c>
      <c r="AF59" s="25">
        <v>34.484000000000002</v>
      </c>
      <c r="AG59" s="25">
        <v>19.966999999999999</v>
      </c>
      <c r="AH59" s="25">
        <v>16.227</v>
      </c>
      <c r="AI59" s="25">
        <v>15.316000000000001</v>
      </c>
      <c r="AJ59" s="25">
        <v>6.1020000000000003</v>
      </c>
      <c r="AK59" s="25">
        <v>25.222000000000001</v>
      </c>
      <c r="AL59" s="25">
        <v>19.146999999999998</v>
      </c>
      <c r="AM59" s="25">
        <v>8.3190000000000008</v>
      </c>
      <c r="AN59" s="25">
        <v>6.5789999999999997</v>
      </c>
      <c r="AO59" s="25">
        <v>17.960999999999999</v>
      </c>
      <c r="AP59" s="129" t="s">
        <v>227</v>
      </c>
      <c r="AQ59" s="64">
        <v>46023</v>
      </c>
      <c r="AR59" s="127">
        <v>46024</v>
      </c>
      <c r="AS59" s="127">
        <v>46031</v>
      </c>
    </row>
    <row r="60" spans="1:45" ht="15.75" x14ac:dyDescent="0.25">
      <c r="A60" s="64">
        <v>46023</v>
      </c>
      <c r="B60" s="65" t="s">
        <v>44</v>
      </c>
      <c r="C60" s="136">
        <v>0</v>
      </c>
      <c r="D60" s="136">
        <v>215.88</v>
      </c>
      <c r="E60" s="136">
        <v>266.32</v>
      </c>
      <c r="F60" s="136">
        <v>227.57</v>
      </c>
      <c r="G60" s="136">
        <v>286.64999999999998</v>
      </c>
      <c r="H60" s="136">
        <v>333.82</v>
      </c>
      <c r="I60" s="136">
        <v>192.81</v>
      </c>
      <c r="J60" s="136">
        <v>157.30000000000001</v>
      </c>
      <c r="K60" s="136">
        <v>147.9</v>
      </c>
      <c r="L60" s="136">
        <v>58.64</v>
      </c>
      <c r="M60" s="136">
        <v>244.26</v>
      </c>
      <c r="N60" s="136">
        <v>184.89</v>
      </c>
      <c r="O60" s="136">
        <v>80.849999999999994</v>
      </c>
      <c r="P60" s="136">
        <v>63.48</v>
      </c>
      <c r="Q60" s="136">
        <v>173.74</v>
      </c>
      <c r="R60" s="129" t="s">
        <v>227</v>
      </c>
      <c r="S60" s="64">
        <f t="shared" si="10"/>
        <v>46023</v>
      </c>
      <c r="T60" s="127">
        <v>46024</v>
      </c>
      <c r="U60" s="127">
        <v>46031</v>
      </c>
      <c r="W60" s="161" t="b">
        <f t="shared" si="7"/>
        <v>1</v>
      </c>
      <c r="Y60" s="64">
        <v>46023</v>
      </c>
      <c r="Z60" s="65" t="s">
        <v>44</v>
      </c>
      <c r="AA60" s="136">
        <v>0</v>
      </c>
      <c r="AB60" s="136">
        <v>215.88</v>
      </c>
      <c r="AC60" s="136">
        <v>266.32</v>
      </c>
      <c r="AD60" s="136">
        <v>227.57</v>
      </c>
      <c r="AE60" s="136">
        <v>286.64999999999998</v>
      </c>
      <c r="AF60" s="136">
        <v>333.82</v>
      </c>
      <c r="AG60" s="136">
        <v>192.81</v>
      </c>
      <c r="AH60" s="136">
        <v>157.30000000000001</v>
      </c>
      <c r="AI60" s="136">
        <v>147.9</v>
      </c>
      <c r="AJ60" s="136">
        <v>58.64</v>
      </c>
      <c r="AK60" s="136">
        <v>244.26</v>
      </c>
      <c r="AL60" s="136">
        <v>184.89</v>
      </c>
      <c r="AM60" s="136">
        <v>80.849999999999994</v>
      </c>
      <c r="AN60" s="136">
        <v>63.48</v>
      </c>
      <c r="AO60" s="136">
        <v>173.74</v>
      </c>
      <c r="AP60" s="129" t="s">
        <v>227</v>
      </c>
      <c r="AQ60" s="64">
        <v>46023</v>
      </c>
      <c r="AR60" s="127">
        <v>46024</v>
      </c>
      <c r="AS60" s="127">
        <v>46031</v>
      </c>
    </row>
    <row r="61" spans="1:45" ht="15.75" x14ac:dyDescent="0.25">
      <c r="A61" s="64">
        <v>46023</v>
      </c>
      <c r="B61" s="65" t="s">
        <v>45</v>
      </c>
      <c r="C61" s="137">
        <v>0</v>
      </c>
      <c r="D61" s="137">
        <v>1.2E-2</v>
      </c>
      <c r="E61" s="137">
        <v>4.2519999999999998</v>
      </c>
      <c r="F61" s="137">
        <v>3.3130000000000002</v>
      </c>
      <c r="G61" s="137">
        <v>1.696</v>
      </c>
      <c r="H61" s="137">
        <v>1.4750000000000001</v>
      </c>
      <c r="I61" s="137">
        <v>3.6669999999999998</v>
      </c>
      <c r="J61" s="137">
        <v>1.101</v>
      </c>
      <c r="K61" s="137">
        <v>1.2609999999999999</v>
      </c>
      <c r="L61" s="137">
        <v>0.90700000000000003</v>
      </c>
      <c r="M61" s="137">
        <v>1.6259999999999999</v>
      </c>
      <c r="N61" s="137">
        <v>0.57699999999999996</v>
      </c>
      <c r="O61" s="137">
        <v>3.4</v>
      </c>
      <c r="P61" s="137">
        <v>0.38100000000000001</v>
      </c>
      <c r="Q61" s="137">
        <v>2.2549999999999999</v>
      </c>
      <c r="R61" s="129" t="s">
        <v>227</v>
      </c>
      <c r="S61" s="64">
        <f t="shared" si="10"/>
        <v>46023</v>
      </c>
      <c r="T61" s="127">
        <v>46024</v>
      </c>
      <c r="U61" s="127">
        <v>46031</v>
      </c>
      <c r="W61" s="161" t="b">
        <f t="shared" si="7"/>
        <v>1</v>
      </c>
      <c r="Y61" s="64">
        <v>46023</v>
      </c>
      <c r="Z61" s="65" t="s">
        <v>45</v>
      </c>
      <c r="AA61" s="137">
        <v>0</v>
      </c>
      <c r="AB61" s="137">
        <v>1.2E-2</v>
      </c>
      <c r="AC61" s="137">
        <v>4.2519999999999998</v>
      </c>
      <c r="AD61" s="137">
        <v>3.3130000000000002</v>
      </c>
      <c r="AE61" s="137">
        <v>1.696</v>
      </c>
      <c r="AF61" s="137">
        <v>1.4750000000000001</v>
      </c>
      <c r="AG61" s="137">
        <v>3.6669999999999998</v>
      </c>
      <c r="AH61" s="137">
        <v>1.101</v>
      </c>
      <c r="AI61" s="137">
        <v>1.2609999999999999</v>
      </c>
      <c r="AJ61" s="137">
        <v>0.90700000000000003</v>
      </c>
      <c r="AK61" s="137">
        <v>1.6259999999999999</v>
      </c>
      <c r="AL61" s="137">
        <v>0.57699999999999996</v>
      </c>
      <c r="AM61" s="137">
        <v>3.4</v>
      </c>
      <c r="AN61" s="137">
        <v>0.38100000000000001</v>
      </c>
      <c r="AO61" s="137">
        <v>2.2549999999999999</v>
      </c>
      <c r="AP61" s="129" t="s">
        <v>227</v>
      </c>
      <c r="AQ61" s="64">
        <v>46023</v>
      </c>
      <c r="AR61" s="127">
        <v>46024</v>
      </c>
      <c r="AS61" s="127">
        <v>46031</v>
      </c>
    </row>
    <row r="62" spans="1:45" ht="15.75" x14ac:dyDescent="0.25">
      <c r="A62" s="64">
        <v>46023</v>
      </c>
      <c r="B62" s="65" t="s">
        <v>46</v>
      </c>
      <c r="C62" s="136">
        <v>0</v>
      </c>
      <c r="D62" s="136">
        <v>0.45</v>
      </c>
      <c r="E62" s="136">
        <v>160.19</v>
      </c>
      <c r="F62" s="136">
        <v>124.82</v>
      </c>
      <c r="G62" s="136">
        <v>63.9</v>
      </c>
      <c r="H62" s="136">
        <v>55.57</v>
      </c>
      <c r="I62" s="136">
        <v>138.15</v>
      </c>
      <c r="J62" s="136">
        <v>41.48</v>
      </c>
      <c r="K62" s="136">
        <v>47.51</v>
      </c>
      <c r="L62" s="136">
        <v>34.17</v>
      </c>
      <c r="M62" s="136">
        <v>61.26</v>
      </c>
      <c r="N62" s="136">
        <v>21.74</v>
      </c>
      <c r="O62" s="136">
        <v>128.1</v>
      </c>
      <c r="P62" s="136">
        <v>14.35</v>
      </c>
      <c r="Q62" s="136">
        <v>84.96</v>
      </c>
      <c r="R62" s="129" t="s">
        <v>227</v>
      </c>
      <c r="S62" s="64">
        <f t="shared" si="10"/>
        <v>46023</v>
      </c>
      <c r="T62" s="127">
        <v>46024</v>
      </c>
      <c r="U62" s="127">
        <v>46031</v>
      </c>
      <c r="W62" s="161" t="b">
        <f t="shared" si="7"/>
        <v>1</v>
      </c>
      <c r="Y62" s="64">
        <v>46023</v>
      </c>
      <c r="Z62" s="65" t="s">
        <v>46</v>
      </c>
      <c r="AA62" s="136">
        <v>0</v>
      </c>
      <c r="AB62" s="136">
        <v>0.45</v>
      </c>
      <c r="AC62" s="136">
        <v>160.19</v>
      </c>
      <c r="AD62" s="136">
        <v>124.82</v>
      </c>
      <c r="AE62" s="136">
        <v>63.9</v>
      </c>
      <c r="AF62" s="136">
        <v>55.57</v>
      </c>
      <c r="AG62" s="136">
        <v>138.15</v>
      </c>
      <c r="AH62" s="136">
        <v>41.48</v>
      </c>
      <c r="AI62" s="136">
        <v>47.51</v>
      </c>
      <c r="AJ62" s="136">
        <v>34.17</v>
      </c>
      <c r="AK62" s="136">
        <v>61.26</v>
      </c>
      <c r="AL62" s="136">
        <v>21.74</v>
      </c>
      <c r="AM62" s="136">
        <v>128.1</v>
      </c>
      <c r="AN62" s="136">
        <v>14.35</v>
      </c>
      <c r="AO62" s="136">
        <v>84.96</v>
      </c>
      <c r="AP62" s="129" t="s">
        <v>227</v>
      </c>
      <c r="AQ62" s="64">
        <v>46023</v>
      </c>
      <c r="AR62" s="127">
        <v>46024</v>
      </c>
      <c r="AS62" s="127">
        <v>46031</v>
      </c>
    </row>
    <row r="63" spans="1:45" ht="15.75" x14ac:dyDescent="0.25">
      <c r="A63" s="64">
        <v>46023</v>
      </c>
      <c r="B63" s="65" t="s">
        <v>47</v>
      </c>
      <c r="C63" s="136">
        <v>0</v>
      </c>
      <c r="D63" s="136">
        <v>438.49</v>
      </c>
      <c r="E63" s="136">
        <v>438.49</v>
      </c>
      <c r="F63" s="136">
        <v>438.49</v>
      </c>
      <c r="G63" s="136">
        <v>438.49</v>
      </c>
      <c r="H63" s="136">
        <v>438.49</v>
      </c>
      <c r="I63" s="136">
        <v>438.49</v>
      </c>
      <c r="J63" s="136">
        <v>438.49</v>
      </c>
      <c r="K63" s="136">
        <v>438.49</v>
      </c>
      <c r="L63" s="136">
        <v>438.49</v>
      </c>
      <c r="M63" s="136">
        <v>438.49</v>
      </c>
      <c r="N63" s="136">
        <v>438.49</v>
      </c>
      <c r="O63" s="136">
        <v>438.49</v>
      </c>
      <c r="P63" s="136">
        <v>438.49</v>
      </c>
      <c r="Q63" s="136">
        <v>438.49</v>
      </c>
      <c r="R63" s="129" t="s">
        <v>227</v>
      </c>
      <c r="S63" s="64">
        <f t="shared" si="10"/>
        <v>46023</v>
      </c>
      <c r="T63" s="127">
        <v>46024</v>
      </c>
      <c r="U63" s="127">
        <v>46031</v>
      </c>
      <c r="W63" s="161" t="b">
        <f t="shared" si="7"/>
        <v>1</v>
      </c>
      <c r="Y63" s="64">
        <v>46023</v>
      </c>
      <c r="Z63" s="65" t="s">
        <v>47</v>
      </c>
      <c r="AA63" s="136">
        <v>0</v>
      </c>
      <c r="AB63" s="136">
        <v>438.49</v>
      </c>
      <c r="AC63" s="136">
        <v>438.49</v>
      </c>
      <c r="AD63" s="136">
        <v>438.49</v>
      </c>
      <c r="AE63" s="136">
        <v>438.49</v>
      </c>
      <c r="AF63" s="136">
        <v>438.49</v>
      </c>
      <c r="AG63" s="136">
        <v>438.49</v>
      </c>
      <c r="AH63" s="136">
        <v>438.49</v>
      </c>
      <c r="AI63" s="136">
        <v>438.49</v>
      </c>
      <c r="AJ63" s="136">
        <v>438.49</v>
      </c>
      <c r="AK63" s="136">
        <v>438.49</v>
      </c>
      <c r="AL63" s="136">
        <v>438.49</v>
      </c>
      <c r="AM63" s="136">
        <v>438.49</v>
      </c>
      <c r="AN63" s="136">
        <v>438.49</v>
      </c>
      <c r="AO63" s="136">
        <v>438.49</v>
      </c>
      <c r="AP63" s="129" t="s">
        <v>227</v>
      </c>
      <c r="AQ63" s="64">
        <v>46023</v>
      </c>
      <c r="AR63" s="127">
        <v>46024</v>
      </c>
      <c r="AS63" s="127">
        <v>46031</v>
      </c>
    </row>
    <row r="64" spans="1:45" ht="15.75" x14ac:dyDescent="0.25">
      <c r="A64" s="64">
        <v>46023</v>
      </c>
      <c r="B64" s="65" t="s">
        <v>62</v>
      </c>
      <c r="C64" s="136">
        <v>0</v>
      </c>
      <c r="D64" s="136">
        <v>655</v>
      </c>
      <c r="E64" s="136">
        <v>865</v>
      </c>
      <c r="F64" s="136">
        <v>791</v>
      </c>
      <c r="G64" s="136">
        <v>790</v>
      </c>
      <c r="H64" s="136">
        <v>828</v>
      </c>
      <c r="I64" s="136">
        <v>770</v>
      </c>
      <c r="J64" s="136">
        <v>638</v>
      </c>
      <c r="K64" s="136">
        <v>634</v>
      </c>
      <c r="L64" s="136">
        <v>532</v>
      </c>
      <c r="M64" s="136">
        <v>745</v>
      </c>
      <c r="N64" s="136">
        <v>646</v>
      </c>
      <c r="O64" s="136">
        <v>648</v>
      </c>
      <c r="P64" s="136">
        <v>517</v>
      </c>
      <c r="Q64" s="183">
        <v>698</v>
      </c>
      <c r="R64" s="116">
        <f>SUM(C64:P64)+E102</f>
        <v>9209</v>
      </c>
      <c r="S64" s="64">
        <f t="shared" si="10"/>
        <v>46023</v>
      </c>
      <c r="T64" s="127">
        <v>46024</v>
      </c>
      <c r="U64" s="127">
        <v>46031</v>
      </c>
      <c r="W64" s="161" t="b">
        <f t="shared" si="7"/>
        <v>1</v>
      </c>
      <c r="Y64" s="64">
        <v>46023</v>
      </c>
      <c r="Z64" s="65" t="s">
        <v>62</v>
      </c>
      <c r="AA64" s="136">
        <v>0</v>
      </c>
      <c r="AB64" s="136">
        <v>655</v>
      </c>
      <c r="AC64" s="136">
        <v>865</v>
      </c>
      <c r="AD64" s="136">
        <v>791</v>
      </c>
      <c r="AE64" s="136">
        <v>790</v>
      </c>
      <c r="AF64" s="136">
        <v>828</v>
      </c>
      <c r="AG64" s="136">
        <v>770</v>
      </c>
      <c r="AH64" s="136">
        <v>638</v>
      </c>
      <c r="AI64" s="136">
        <v>634</v>
      </c>
      <c r="AJ64" s="136">
        <v>532</v>
      </c>
      <c r="AK64" s="136">
        <v>745</v>
      </c>
      <c r="AL64" s="136">
        <v>646</v>
      </c>
      <c r="AM64" s="136">
        <v>648</v>
      </c>
      <c r="AN64" s="136">
        <v>517</v>
      </c>
      <c r="AO64" s="183">
        <v>698</v>
      </c>
      <c r="AP64" s="116">
        <v>9209</v>
      </c>
      <c r="AQ64" s="64">
        <v>46023</v>
      </c>
      <c r="AR64" s="127">
        <v>46024</v>
      </c>
      <c r="AS64" s="127">
        <v>46031</v>
      </c>
    </row>
    <row r="65" spans="1:45" ht="15.75" x14ac:dyDescent="0.25">
      <c r="A65" s="83">
        <v>46023</v>
      </c>
      <c r="B65" s="84" t="s">
        <v>63</v>
      </c>
      <c r="C65" s="136">
        <v>0</v>
      </c>
      <c r="D65" s="136">
        <v>654.81999999999994</v>
      </c>
      <c r="E65" s="136">
        <v>865</v>
      </c>
      <c r="F65" s="136">
        <v>790.88</v>
      </c>
      <c r="G65" s="136">
        <v>789.04</v>
      </c>
      <c r="H65" s="136">
        <v>827.88</v>
      </c>
      <c r="I65" s="136">
        <v>769.45</v>
      </c>
      <c r="J65" s="136">
        <v>637.27</v>
      </c>
      <c r="K65" s="136">
        <v>633.9</v>
      </c>
      <c r="L65" s="136">
        <v>531.29999999999995</v>
      </c>
      <c r="M65" s="136">
        <v>744.01</v>
      </c>
      <c r="N65" s="136">
        <v>645.12</v>
      </c>
      <c r="O65" s="136">
        <v>647.44000000000005</v>
      </c>
      <c r="P65" s="136">
        <v>516.32000000000005</v>
      </c>
      <c r="Q65" s="183">
        <v>697.19</v>
      </c>
      <c r="R65" s="125">
        <f>SUM(C65:P65)+E102</f>
        <v>9202.43</v>
      </c>
      <c r="S65" s="83">
        <f t="shared" si="10"/>
        <v>46023</v>
      </c>
      <c r="T65" s="128">
        <v>46024</v>
      </c>
      <c r="U65" s="128">
        <v>46031</v>
      </c>
      <c r="W65" s="161" t="b">
        <f t="shared" si="7"/>
        <v>1</v>
      </c>
      <c r="Y65" s="83">
        <v>46023</v>
      </c>
      <c r="Z65" s="84" t="s">
        <v>63</v>
      </c>
      <c r="AA65" s="136">
        <v>0</v>
      </c>
      <c r="AB65" s="136">
        <v>654.81999999999994</v>
      </c>
      <c r="AC65" s="136">
        <v>865</v>
      </c>
      <c r="AD65" s="136">
        <v>790.88</v>
      </c>
      <c r="AE65" s="136">
        <v>789.04</v>
      </c>
      <c r="AF65" s="136">
        <v>827.88</v>
      </c>
      <c r="AG65" s="136">
        <v>769.45</v>
      </c>
      <c r="AH65" s="136">
        <v>637.27</v>
      </c>
      <c r="AI65" s="136">
        <v>633.9</v>
      </c>
      <c r="AJ65" s="136">
        <v>531.29999999999995</v>
      </c>
      <c r="AK65" s="136">
        <v>744.01</v>
      </c>
      <c r="AL65" s="136">
        <v>645.12</v>
      </c>
      <c r="AM65" s="136">
        <v>647.44000000000005</v>
      </c>
      <c r="AN65" s="136">
        <v>516.32000000000005</v>
      </c>
      <c r="AO65" s="183">
        <v>697.19</v>
      </c>
      <c r="AP65" s="125">
        <v>9202.43</v>
      </c>
      <c r="AQ65" s="83">
        <v>46023</v>
      </c>
      <c r="AR65" s="128">
        <v>46024</v>
      </c>
      <c r="AS65" s="128">
        <v>46031</v>
      </c>
    </row>
    <row r="66" spans="1:45" ht="15.75" x14ac:dyDescent="0.25">
      <c r="A66" s="64">
        <v>46054</v>
      </c>
      <c r="B66" s="65" t="s">
        <v>43</v>
      </c>
      <c r="C66" s="717">
        <v>0</v>
      </c>
      <c r="D66" s="717">
        <v>17.446000000000002</v>
      </c>
      <c r="E66" s="717">
        <v>25.308</v>
      </c>
      <c r="F66" s="717">
        <v>21.478000000000002</v>
      </c>
      <c r="G66" s="717">
        <v>20.640999999999998</v>
      </c>
      <c r="H66" s="717">
        <v>32.369999999999997</v>
      </c>
      <c r="I66" s="717">
        <v>19.622</v>
      </c>
      <c r="J66" s="717">
        <v>29.184999999999999</v>
      </c>
      <c r="K66" s="717">
        <v>15.702</v>
      </c>
      <c r="L66" s="717">
        <v>5.6150000000000002</v>
      </c>
      <c r="M66" s="717">
        <v>1.341</v>
      </c>
      <c r="N66" s="717">
        <v>13.455</v>
      </c>
      <c r="O66" s="717">
        <v>7.7350000000000003</v>
      </c>
      <c r="P66" s="717">
        <v>4.7709999999999999</v>
      </c>
      <c r="Q66" s="717">
        <v>14.144</v>
      </c>
      <c r="R66" s="129" t="s">
        <v>227</v>
      </c>
      <c r="S66" s="64">
        <f t="shared" ref="S66:S72" si="11">A66</f>
        <v>46054</v>
      </c>
      <c r="T66" s="127">
        <v>46054</v>
      </c>
      <c r="U66" s="127">
        <v>46063</v>
      </c>
      <c r="W66" s="161" t="b">
        <f t="shared" ref="W66:W72" si="12">SUM(A66:U66)=SUM(Y66:AS66)</f>
        <v>1</v>
      </c>
      <c r="Y66" s="64">
        <v>46054</v>
      </c>
      <c r="Z66" s="65" t="s">
        <v>43</v>
      </c>
      <c r="AA66" s="717">
        <v>0</v>
      </c>
      <c r="AB66" s="717">
        <v>17.446000000000002</v>
      </c>
      <c r="AC66" s="717">
        <v>25.308</v>
      </c>
      <c r="AD66" s="717">
        <v>21.478000000000002</v>
      </c>
      <c r="AE66" s="717">
        <v>20.640999999999998</v>
      </c>
      <c r="AF66" s="717">
        <v>32.369999999999997</v>
      </c>
      <c r="AG66" s="717">
        <v>19.622</v>
      </c>
      <c r="AH66" s="717">
        <v>29.184999999999999</v>
      </c>
      <c r="AI66" s="717">
        <v>15.702</v>
      </c>
      <c r="AJ66" s="717">
        <v>5.6150000000000002</v>
      </c>
      <c r="AK66" s="717">
        <v>1.341</v>
      </c>
      <c r="AL66" s="717">
        <v>13.455</v>
      </c>
      <c r="AM66" s="717">
        <v>7.7350000000000003</v>
      </c>
      <c r="AN66" s="717">
        <v>4.7709999999999999</v>
      </c>
      <c r="AO66" s="717">
        <v>14.144</v>
      </c>
      <c r="AP66" s="129" t="s">
        <v>227</v>
      </c>
      <c r="AQ66" s="64">
        <v>46054</v>
      </c>
      <c r="AR66" s="127">
        <v>46054</v>
      </c>
      <c r="AS66" s="127">
        <v>46063</v>
      </c>
    </row>
    <row r="67" spans="1:45" ht="15.75" x14ac:dyDescent="0.25">
      <c r="A67" s="64">
        <v>46054</v>
      </c>
      <c r="B67" s="65" t="s">
        <v>44</v>
      </c>
      <c r="C67" s="692">
        <v>0</v>
      </c>
      <c r="D67" s="692">
        <v>153.88</v>
      </c>
      <c r="E67" s="692">
        <v>223.12</v>
      </c>
      <c r="F67" s="692">
        <v>189.21</v>
      </c>
      <c r="G67" s="692">
        <v>182.09</v>
      </c>
      <c r="H67" s="692">
        <v>285.51</v>
      </c>
      <c r="I67" s="692">
        <v>173.29</v>
      </c>
      <c r="J67" s="692">
        <v>257.77999999999997</v>
      </c>
      <c r="K67" s="692">
        <v>138.74</v>
      </c>
      <c r="L67" s="692">
        <v>49.75</v>
      </c>
      <c r="M67" s="692">
        <v>11.89</v>
      </c>
      <c r="N67" s="692">
        <v>118.83</v>
      </c>
      <c r="O67" s="692">
        <v>68.349999999999994</v>
      </c>
      <c r="P67" s="692">
        <v>42.17</v>
      </c>
      <c r="Q67" s="692">
        <v>124.91</v>
      </c>
      <c r="R67" s="129" t="s">
        <v>227</v>
      </c>
      <c r="S67" s="64">
        <f t="shared" si="11"/>
        <v>46054</v>
      </c>
      <c r="T67" s="127">
        <v>46054</v>
      </c>
      <c r="U67" s="127">
        <v>46063</v>
      </c>
      <c r="W67" s="161" t="b">
        <f t="shared" si="12"/>
        <v>1</v>
      </c>
      <c r="Y67" s="64">
        <v>46054</v>
      </c>
      <c r="Z67" s="65" t="s">
        <v>44</v>
      </c>
      <c r="AA67" s="692">
        <v>0</v>
      </c>
      <c r="AB67" s="692">
        <v>153.88</v>
      </c>
      <c r="AC67" s="692">
        <v>223.12</v>
      </c>
      <c r="AD67" s="692">
        <v>189.21</v>
      </c>
      <c r="AE67" s="692">
        <v>182.09</v>
      </c>
      <c r="AF67" s="692">
        <v>285.51</v>
      </c>
      <c r="AG67" s="692">
        <v>173.29</v>
      </c>
      <c r="AH67" s="692">
        <v>257.77999999999997</v>
      </c>
      <c r="AI67" s="692">
        <v>138.74</v>
      </c>
      <c r="AJ67" s="692">
        <v>49.75</v>
      </c>
      <c r="AK67" s="692">
        <v>11.89</v>
      </c>
      <c r="AL67" s="692">
        <v>118.83</v>
      </c>
      <c r="AM67" s="692">
        <v>68.349999999999994</v>
      </c>
      <c r="AN67" s="692">
        <v>42.17</v>
      </c>
      <c r="AO67" s="692">
        <v>124.91</v>
      </c>
      <c r="AP67" s="129" t="s">
        <v>227</v>
      </c>
      <c r="AQ67" s="64">
        <v>46054</v>
      </c>
      <c r="AR67" s="127">
        <v>46054</v>
      </c>
      <c r="AS67" s="127">
        <v>46063</v>
      </c>
    </row>
    <row r="68" spans="1:45" ht="15.75" x14ac:dyDescent="0.25">
      <c r="A68" s="64">
        <v>46054</v>
      </c>
      <c r="B68" s="65" t="s">
        <v>45</v>
      </c>
      <c r="C68" s="693">
        <v>0</v>
      </c>
      <c r="D68" s="693">
        <v>0</v>
      </c>
      <c r="E68" s="693">
        <v>4.6829999999999998</v>
      </c>
      <c r="F68" s="693">
        <v>3.34</v>
      </c>
      <c r="G68" s="693">
        <v>2.3199999999999998</v>
      </c>
      <c r="H68" s="693">
        <v>1.171</v>
      </c>
      <c r="I68" s="693">
        <v>4.8940000000000001</v>
      </c>
      <c r="J68" s="693">
        <v>0.81200000000000006</v>
      </c>
      <c r="K68" s="693">
        <v>1.419</v>
      </c>
      <c r="L68" s="693">
        <v>0.45100000000000001</v>
      </c>
      <c r="M68" s="693">
        <v>1.4E-2</v>
      </c>
      <c r="N68" s="693">
        <v>0.80800000000000005</v>
      </c>
      <c r="O68" s="693">
        <v>4.0380000000000003</v>
      </c>
      <c r="P68" s="693">
        <v>0.316</v>
      </c>
      <c r="Q68" s="693">
        <v>1.6379999999999999</v>
      </c>
      <c r="R68" s="129" t="s">
        <v>227</v>
      </c>
      <c r="S68" s="64">
        <f t="shared" si="11"/>
        <v>46054</v>
      </c>
      <c r="T68" s="127">
        <v>46054</v>
      </c>
      <c r="U68" s="127">
        <v>46063</v>
      </c>
      <c r="W68" s="161" t="b">
        <f t="shared" si="12"/>
        <v>1</v>
      </c>
      <c r="Y68" s="64">
        <v>46054</v>
      </c>
      <c r="Z68" s="65" t="s">
        <v>45</v>
      </c>
      <c r="AA68" s="693">
        <v>0</v>
      </c>
      <c r="AB68" s="693">
        <v>0</v>
      </c>
      <c r="AC68" s="693">
        <v>4.6829999999999998</v>
      </c>
      <c r="AD68" s="693">
        <v>3.34</v>
      </c>
      <c r="AE68" s="693">
        <v>2.3199999999999998</v>
      </c>
      <c r="AF68" s="693">
        <v>1.171</v>
      </c>
      <c r="AG68" s="693">
        <v>4.8940000000000001</v>
      </c>
      <c r="AH68" s="693">
        <v>0.81200000000000006</v>
      </c>
      <c r="AI68" s="693">
        <v>1.419</v>
      </c>
      <c r="AJ68" s="693">
        <v>0.45100000000000001</v>
      </c>
      <c r="AK68" s="693">
        <v>1.4E-2</v>
      </c>
      <c r="AL68" s="693">
        <v>0.80800000000000005</v>
      </c>
      <c r="AM68" s="693">
        <v>4.0380000000000003</v>
      </c>
      <c r="AN68" s="693">
        <v>0.316</v>
      </c>
      <c r="AO68" s="693">
        <v>1.6379999999999999</v>
      </c>
      <c r="AP68" s="129" t="s">
        <v>227</v>
      </c>
      <c r="AQ68" s="64">
        <v>46054</v>
      </c>
      <c r="AR68" s="127">
        <v>46054</v>
      </c>
      <c r="AS68" s="127">
        <v>46063</v>
      </c>
    </row>
    <row r="69" spans="1:45" ht="15.75" x14ac:dyDescent="0.25">
      <c r="A69" s="64">
        <v>46054</v>
      </c>
      <c r="B69" s="65" t="s">
        <v>46</v>
      </c>
      <c r="C69" s="692">
        <v>0</v>
      </c>
      <c r="D69" s="692">
        <v>0</v>
      </c>
      <c r="E69" s="692">
        <v>177.37</v>
      </c>
      <c r="F69" s="692">
        <v>126.5</v>
      </c>
      <c r="G69" s="692">
        <v>87.87</v>
      </c>
      <c r="H69" s="692">
        <v>44.35</v>
      </c>
      <c r="I69" s="692">
        <v>185.36</v>
      </c>
      <c r="J69" s="692">
        <v>30.75</v>
      </c>
      <c r="K69" s="692">
        <v>53.74</v>
      </c>
      <c r="L69" s="692">
        <v>17.079999999999998</v>
      </c>
      <c r="M69" s="692">
        <v>0.53</v>
      </c>
      <c r="N69" s="692">
        <v>30.6</v>
      </c>
      <c r="O69" s="692">
        <v>152.94</v>
      </c>
      <c r="P69" s="692">
        <v>11.97</v>
      </c>
      <c r="Q69" s="692">
        <v>62.04</v>
      </c>
      <c r="R69" s="129" t="s">
        <v>227</v>
      </c>
      <c r="S69" s="64">
        <f t="shared" si="11"/>
        <v>46054</v>
      </c>
      <c r="T69" s="127">
        <v>46054</v>
      </c>
      <c r="U69" s="127">
        <v>46063</v>
      </c>
      <c r="W69" s="161" t="b">
        <f t="shared" si="12"/>
        <v>1</v>
      </c>
      <c r="Y69" s="64">
        <v>46054</v>
      </c>
      <c r="Z69" s="65" t="s">
        <v>46</v>
      </c>
      <c r="AA69" s="692">
        <v>0</v>
      </c>
      <c r="AB69" s="692">
        <v>0</v>
      </c>
      <c r="AC69" s="692">
        <v>177.37</v>
      </c>
      <c r="AD69" s="692">
        <v>126.5</v>
      </c>
      <c r="AE69" s="692">
        <v>87.87</v>
      </c>
      <c r="AF69" s="692">
        <v>44.35</v>
      </c>
      <c r="AG69" s="692">
        <v>185.36</v>
      </c>
      <c r="AH69" s="692">
        <v>30.75</v>
      </c>
      <c r="AI69" s="692">
        <v>53.74</v>
      </c>
      <c r="AJ69" s="692">
        <v>17.079999999999998</v>
      </c>
      <c r="AK69" s="692">
        <v>0.53</v>
      </c>
      <c r="AL69" s="692">
        <v>30.6</v>
      </c>
      <c r="AM69" s="692">
        <v>152.94</v>
      </c>
      <c r="AN69" s="692">
        <v>11.97</v>
      </c>
      <c r="AO69" s="692">
        <v>62.04</v>
      </c>
      <c r="AP69" s="129" t="s">
        <v>227</v>
      </c>
      <c r="AQ69" s="64">
        <v>46054</v>
      </c>
      <c r="AR69" s="127">
        <v>46054</v>
      </c>
      <c r="AS69" s="127">
        <v>46063</v>
      </c>
    </row>
    <row r="70" spans="1:45" ht="15.75" x14ac:dyDescent="0.25">
      <c r="A70" s="64">
        <v>46054</v>
      </c>
      <c r="B70" s="65" t="s">
        <v>47</v>
      </c>
      <c r="C70" s="692">
        <v>0</v>
      </c>
      <c r="D70" s="692">
        <v>447.79999999999995</v>
      </c>
      <c r="E70" s="692">
        <v>447.79999999999995</v>
      </c>
      <c r="F70" s="692">
        <v>447.79999999999995</v>
      </c>
      <c r="G70" s="692">
        <v>447.79999999999995</v>
      </c>
      <c r="H70" s="692">
        <v>447.79999999999995</v>
      </c>
      <c r="I70" s="692">
        <v>447.79999999999995</v>
      </c>
      <c r="J70" s="692">
        <v>447.79999999999995</v>
      </c>
      <c r="K70" s="692">
        <v>447.79999999999995</v>
      </c>
      <c r="L70" s="692">
        <v>447.79999999999995</v>
      </c>
      <c r="M70" s="692">
        <v>447.79999999999995</v>
      </c>
      <c r="N70" s="692">
        <v>447.79999999999995</v>
      </c>
      <c r="O70" s="692">
        <v>447.79999999999995</v>
      </c>
      <c r="P70" s="692">
        <v>447.79999999999995</v>
      </c>
      <c r="Q70" s="692">
        <v>447.79999999999995</v>
      </c>
      <c r="R70" s="129" t="s">
        <v>227</v>
      </c>
      <c r="S70" s="64">
        <f t="shared" si="11"/>
        <v>46054</v>
      </c>
      <c r="T70" s="127">
        <v>46054</v>
      </c>
      <c r="U70" s="127">
        <v>46063</v>
      </c>
      <c r="W70" s="161" t="b">
        <f t="shared" si="12"/>
        <v>1</v>
      </c>
      <c r="Y70" s="64">
        <v>46054</v>
      </c>
      <c r="Z70" s="65" t="s">
        <v>47</v>
      </c>
      <c r="AA70" s="692">
        <v>0</v>
      </c>
      <c r="AB70" s="692">
        <v>447.79999999999995</v>
      </c>
      <c r="AC70" s="692">
        <v>447.79999999999995</v>
      </c>
      <c r="AD70" s="692">
        <v>447.79999999999995</v>
      </c>
      <c r="AE70" s="692">
        <v>447.79999999999995</v>
      </c>
      <c r="AF70" s="692">
        <v>447.79999999999995</v>
      </c>
      <c r="AG70" s="692">
        <v>447.79999999999995</v>
      </c>
      <c r="AH70" s="692">
        <v>447.79999999999995</v>
      </c>
      <c r="AI70" s="692">
        <v>447.79999999999995</v>
      </c>
      <c r="AJ70" s="692">
        <v>447.79999999999995</v>
      </c>
      <c r="AK70" s="692">
        <v>447.79999999999995</v>
      </c>
      <c r="AL70" s="692">
        <v>447.79999999999995</v>
      </c>
      <c r="AM70" s="692">
        <v>447.79999999999995</v>
      </c>
      <c r="AN70" s="692">
        <v>447.79999999999995</v>
      </c>
      <c r="AO70" s="692">
        <v>447.79999999999995</v>
      </c>
      <c r="AP70" s="129" t="s">
        <v>227</v>
      </c>
      <c r="AQ70" s="64">
        <v>46054</v>
      </c>
      <c r="AR70" s="127">
        <v>46054</v>
      </c>
      <c r="AS70" s="127">
        <v>46063</v>
      </c>
    </row>
    <row r="71" spans="1:45" ht="15.75" x14ac:dyDescent="0.25">
      <c r="A71" s="64">
        <v>46054</v>
      </c>
      <c r="B71" s="65" t="s">
        <v>62</v>
      </c>
      <c r="C71" s="692">
        <v>0</v>
      </c>
      <c r="D71" s="692">
        <v>602</v>
      </c>
      <c r="E71" s="692">
        <v>849</v>
      </c>
      <c r="F71" s="692">
        <v>764</v>
      </c>
      <c r="G71" s="692">
        <v>718</v>
      </c>
      <c r="H71" s="692">
        <v>778</v>
      </c>
      <c r="I71" s="692">
        <v>807</v>
      </c>
      <c r="J71" s="692">
        <v>737</v>
      </c>
      <c r="K71" s="692">
        <v>641</v>
      </c>
      <c r="L71" s="692">
        <v>515</v>
      </c>
      <c r="M71" s="692">
        <v>461</v>
      </c>
      <c r="N71" s="692">
        <v>598</v>
      </c>
      <c r="O71" s="692">
        <v>670</v>
      </c>
      <c r="P71" s="692">
        <v>502</v>
      </c>
      <c r="Q71" s="719">
        <v>635</v>
      </c>
      <c r="R71" s="116">
        <f>SUM(C71:P71)+E103</f>
        <v>8792</v>
      </c>
      <c r="S71" s="64">
        <f t="shared" si="11"/>
        <v>46054</v>
      </c>
      <c r="T71" s="127">
        <v>46054</v>
      </c>
      <c r="U71" s="127">
        <v>46063</v>
      </c>
      <c r="W71" s="161" t="b">
        <f t="shared" si="12"/>
        <v>1</v>
      </c>
      <c r="Y71" s="64">
        <v>46054</v>
      </c>
      <c r="Z71" s="65" t="s">
        <v>62</v>
      </c>
      <c r="AA71" s="692">
        <v>0</v>
      </c>
      <c r="AB71" s="692">
        <v>602</v>
      </c>
      <c r="AC71" s="692">
        <v>849</v>
      </c>
      <c r="AD71" s="692">
        <v>764</v>
      </c>
      <c r="AE71" s="692">
        <v>718</v>
      </c>
      <c r="AF71" s="692">
        <v>778</v>
      </c>
      <c r="AG71" s="692">
        <v>807</v>
      </c>
      <c r="AH71" s="692">
        <v>737</v>
      </c>
      <c r="AI71" s="692">
        <v>641</v>
      </c>
      <c r="AJ71" s="692">
        <v>515</v>
      </c>
      <c r="AK71" s="692">
        <v>461</v>
      </c>
      <c r="AL71" s="692">
        <v>598</v>
      </c>
      <c r="AM71" s="692">
        <v>670</v>
      </c>
      <c r="AN71" s="692">
        <v>502</v>
      </c>
      <c r="AO71" s="719">
        <v>635</v>
      </c>
      <c r="AP71" s="116">
        <v>8792</v>
      </c>
      <c r="AQ71" s="64">
        <v>46054</v>
      </c>
      <c r="AR71" s="127">
        <v>46054</v>
      </c>
      <c r="AS71" s="127">
        <v>46063</v>
      </c>
    </row>
    <row r="72" spans="1:45" ht="15.75" x14ac:dyDescent="0.25">
      <c r="A72" s="83">
        <v>46054</v>
      </c>
      <c r="B72" s="84" t="s">
        <v>63</v>
      </c>
      <c r="C72" s="692">
        <v>0</v>
      </c>
      <c r="D72" s="692">
        <v>601.67999999999995</v>
      </c>
      <c r="E72" s="692">
        <v>848.29</v>
      </c>
      <c r="F72" s="692">
        <v>763.51</v>
      </c>
      <c r="G72" s="692">
        <v>717.76</v>
      </c>
      <c r="H72" s="692">
        <v>777.66</v>
      </c>
      <c r="I72" s="692">
        <v>806.44999999999993</v>
      </c>
      <c r="J72" s="692">
        <v>736.32999999999993</v>
      </c>
      <c r="K72" s="692">
        <v>640.28</v>
      </c>
      <c r="L72" s="692">
        <v>514.63</v>
      </c>
      <c r="M72" s="692">
        <v>460.21999999999997</v>
      </c>
      <c r="N72" s="692">
        <v>597.23</v>
      </c>
      <c r="O72" s="692">
        <v>669.08999999999992</v>
      </c>
      <c r="P72" s="692">
        <v>501.93999999999994</v>
      </c>
      <c r="Q72" s="719">
        <v>634.75</v>
      </c>
      <c r="R72" s="125">
        <f>SUM(C72:P72)+E103</f>
        <v>8785.07</v>
      </c>
      <c r="S72" s="83">
        <f t="shared" si="11"/>
        <v>46054</v>
      </c>
      <c r="T72" s="128">
        <v>46054</v>
      </c>
      <c r="U72" s="128">
        <v>46063</v>
      </c>
      <c r="W72" s="161" t="b">
        <f t="shared" si="12"/>
        <v>1</v>
      </c>
      <c r="Y72" s="83">
        <v>46054</v>
      </c>
      <c r="Z72" s="84" t="s">
        <v>63</v>
      </c>
      <c r="AA72" s="692">
        <v>0</v>
      </c>
      <c r="AB72" s="692">
        <v>601.67999999999995</v>
      </c>
      <c r="AC72" s="692">
        <v>848.29</v>
      </c>
      <c r="AD72" s="692">
        <v>763.51</v>
      </c>
      <c r="AE72" s="692">
        <v>717.76</v>
      </c>
      <c r="AF72" s="692">
        <v>777.66</v>
      </c>
      <c r="AG72" s="692">
        <v>806.44999999999993</v>
      </c>
      <c r="AH72" s="692">
        <v>736.32999999999993</v>
      </c>
      <c r="AI72" s="692">
        <v>640.28</v>
      </c>
      <c r="AJ72" s="692">
        <v>514.63</v>
      </c>
      <c r="AK72" s="692">
        <v>460.21999999999997</v>
      </c>
      <c r="AL72" s="692">
        <v>597.23</v>
      </c>
      <c r="AM72" s="692">
        <v>669.08999999999992</v>
      </c>
      <c r="AN72" s="692">
        <v>501.93999999999994</v>
      </c>
      <c r="AO72" s="719">
        <v>634.75</v>
      </c>
      <c r="AP72" s="125">
        <v>8785.07</v>
      </c>
      <c r="AQ72" s="83">
        <v>46054</v>
      </c>
      <c r="AR72" s="128">
        <v>46054</v>
      </c>
      <c r="AS72" s="128">
        <v>46063</v>
      </c>
    </row>
    <row r="73" spans="1:45" ht="15.75" x14ac:dyDescent="0.25">
      <c r="A73" s="64">
        <v>46082</v>
      </c>
      <c r="B73" s="65" t="s">
        <v>43</v>
      </c>
      <c r="C73" s="717">
        <v>0</v>
      </c>
      <c r="D73" s="717">
        <v>21.012</v>
      </c>
      <c r="E73" s="717">
        <v>24.456</v>
      </c>
      <c r="F73" s="717">
        <v>21.675000000000001</v>
      </c>
      <c r="G73" s="717">
        <v>17.439</v>
      </c>
      <c r="H73" s="717">
        <v>34.058999999999997</v>
      </c>
      <c r="I73" s="717">
        <v>23.427</v>
      </c>
      <c r="J73" s="717">
        <v>46.356999999999999</v>
      </c>
      <c r="K73" s="717">
        <v>14.163</v>
      </c>
      <c r="L73" s="717">
        <v>3.5939999999999999</v>
      </c>
      <c r="M73" s="717">
        <v>5.3609999999999998</v>
      </c>
      <c r="N73" s="717">
        <v>13.923999999999999</v>
      </c>
      <c r="O73" s="717">
        <v>6.4909999999999997</v>
      </c>
      <c r="P73" s="717">
        <v>5.407</v>
      </c>
      <c r="Q73" s="717">
        <v>12.903</v>
      </c>
      <c r="R73" s="129" t="s">
        <v>227</v>
      </c>
      <c r="S73" s="64">
        <f t="shared" ref="S73:S79" si="13">A73</f>
        <v>46082</v>
      </c>
      <c r="T73" s="127">
        <v>46083</v>
      </c>
      <c r="U73" s="127">
        <v>46091</v>
      </c>
      <c r="W73" s="161" t="b">
        <f t="shared" ref="W73:W79" si="14">SUM(A73:U73)=SUM(Y73:AS73)</f>
        <v>1</v>
      </c>
      <c r="Y73" s="64">
        <v>46082</v>
      </c>
      <c r="Z73" s="65" t="s">
        <v>43</v>
      </c>
      <c r="AA73" s="717">
        <v>0</v>
      </c>
      <c r="AB73" s="717">
        <v>21.012</v>
      </c>
      <c r="AC73" s="717">
        <v>24.456</v>
      </c>
      <c r="AD73" s="717">
        <v>21.675000000000001</v>
      </c>
      <c r="AE73" s="717">
        <v>17.439</v>
      </c>
      <c r="AF73" s="717">
        <v>34.058999999999997</v>
      </c>
      <c r="AG73" s="717">
        <v>23.427</v>
      </c>
      <c r="AH73" s="717">
        <v>46.356999999999999</v>
      </c>
      <c r="AI73" s="717">
        <v>14.163</v>
      </c>
      <c r="AJ73" s="717">
        <v>3.5939999999999999</v>
      </c>
      <c r="AK73" s="717">
        <v>5.3609999999999998</v>
      </c>
      <c r="AL73" s="717">
        <v>13.923999999999999</v>
      </c>
      <c r="AM73" s="717">
        <v>6.4909999999999997</v>
      </c>
      <c r="AN73" s="717">
        <v>5.407</v>
      </c>
      <c r="AO73" s="717">
        <v>12.903</v>
      </c>
      <c r="AP73" s="129" t="s">
        <v>227</v>
      </c>
      <c r="AQ73" s="64">
        <v>46082</v>
      </c>
      <c r="AR73" s="127">
        <v>46083</v>
      </c>
      <c r="AS73" s="127">
        <v>46091</v>
      </c>
    </row>
    <row r="74" spans="1:45" ht="15.75" x14ac:dyDescent="0.25">
      <c r="A74" s="64">
        <v>46082</v>
      </c>
      <c r="B74" s="65" t="s">
        <v>44</v>
      </c>
      <c r="C74" s="692">
        <v>0</v>
      </c>
      <c r="D74" s="692">
        <v>182.2</v>
      </c>
      <c r="E74" s="692">
        <v>211.74</v>
      </c>
      <c r="F74" s="692">
        <v>187.68</v>
      </c>
      <c r="G74" s="692">
        <v>151.33000000000001</v>
      </c>
      <c r="H74" s="692">
        <v>295.27</v>
      </c>
      <c r="I74" s="692">
        <v>203.28</v>
      </c>
      <c r="J74" s="692">
        <v>401.84</v>
      </c>
      <c r="K74" s="692">
        <v>122.97</v>
      </c>
      <c r="L74" s="692">
        <v>31.01</v>
      </c>
      <c r="M74" s="692">
        <v>46.3</v>
      </c>
      <c r="N74" s="692">
        <v>120.88</v>
      </c>
      <c r="O74" s="692">
        <v>56.3</v>
      </c>
      <c r="P74" s="692">
        <v>47.04</v>
      </c>
      <c r="Q74" s="692">
        <v>112.06</v>
      </c>
      <c r="R74" s="129" t="s">
        <v>227</v>
      </c>
      <c r="S74" s="64">
        <f t="shared" si="13"/>
        <v>46082</v>
      </c>
      <c r="T74" s="127">
        <v>46083</v>
      </c>
      <c r="U74" s="127">
        <v>46091</v>
      </c>
      <c r="W74" s="161" t="b">
        <f t="shared" si="14"/>
        <v>1</v>
      </c>
      <c r="Y74" s="64">
        <v>46082</v>
      </c>
      <c r="Z74" s="65" t="s">
        <v>44</v>
      </c>
      <c r="AA74" s="692">
        <v>0</v>
      </c>
      <c r="AB74" s="692">
        <v>182.2</v>
      </c>
      <c r="AC74" s="692">
        <v>211.74</v>
      </c>
      <c r="AD74" s="692">
        <v>187.68</v>
      </c>
      <c r="AE74" s="692">
        <v>151.33000000000001</v>
      </c>
      <c r="AF74" s="692">
        <v>295.27</v>
      </c>
      <c r="AG74" s="692">
        <v>203.28</v>
      </c>
      <c r="AH74" s="692">
        <v>401.84</v>
      </c>
      <c r="AI74" s="692">
        <v>122.97</v>
      </c>
      <c r="AJ74" s="692">
        <v>31.01</v>
      </c>
      <c r="AK74" s="692">
        <v>46.3</v>
      </c>
      <c r="AL74" s="692">
        <v>120.88</v>
      </c>
      <c r="AM74" s="692">
        <v>56.3</v>
      </c>
      <c r="AN74" s="692">
        <v>47.04</v>
      </c>
      <c r="AO74" s="692">
        <v>112.06</v>
      </c>
      <c r="AP74" s="129" t="s">
        <v>227</v>
      </c>
      <c r="AQ74" s="64">
        <v>46082</v>
      </c>
      <c r="AR74" s="127">
        <v>46083</v>
      </c>
      <c r="AS74" s="127">
        <v>46091</v>
      </c>
    </row>
    <row r="75" spans="1:45" ht="15.75" x14ac:dyDescent="0.25">
      <c r="A75" s="64">
        <v>46082</v>
      </c>
      <c r="B75" s="65" t="s">
        <v>45</v>
      </c>
      <c r="C75" s="693">
        <v>0</v>
      </c>
      <c r="D75" s="693">
        <v>1.4999999999999999E-2</v>
      </c>
      <c r="E75" s="693">
        <v>4.4870000000000001</v>
      </c>
      <c r="F75" s="693">
        <v>3.78</v>
      </c>
      <c r="G75" s="693">
        <v>1.534</v>
      </c>
      <c r="H75" s="693">
        <v>1.6419999999999999</v>
      </c>
      <c r="I75" s="693">
        <v>4.851</v>
      </c>
      <c r="J75" s="693">
        <v>1.19</v>
      </c>
      <c r="K75" s="693">
        <v>1.254</v>
      </c>
      <c r="L75" s="693">
        <v>0.60499999999999998</v>
      </c>
      <c r="M75" s="693">
        <v>1.0999999999999999E-2</v>
      </c>
      <c r="N75" s="693">
        <v>0.64200000000000002</v>
      </c>
      <c r="O75" s="693">
        <v>3.9039999999999999</v>
      </c>
      <c r="P75" s="693">
        <v>0.28000000000000003</v>
      </c>
      <c r="Q75" s="693">
        <v>1.873</v>
      </c>
      <c r="R75" s="129" t="s">
        <v>227</v>
      </c>
      <c r="S75" s="64">
        <f t="shared" si="13"/>
        <v>46082</v>
      </c>
      <c r="T75" s="127">
        <v>46083</v>
      </c>
      <c r="U75" s="127">
        <v>46091</v>
      </c>
      <c r="W75" s="161" t="b">
        <f t="shared" si="14"/>
        <v>1</v>
      </c>
      <c r="Y75" s="64">
        <v>46082</v>
      </c>
      <c r="Z75" s="65" t="s">
        <v>45</v>
      </c>
      <c r="AA75" s="693">
        <v>0</v>
      </c>
      <c r="AB75" s="693">
        <v>1.4999999999999999E-2</v>
      </c>
      <c r="AC75" s="693">
        <v>4.4870000000000001</v>
      </c>
      <c r="AD75" s="693">
        <v>3.78</v>
      </c>
      <c r="AE75" s="693">
        <v>1.534</v>
      </c>
      <c r="AF75" s="693">
        <v>1.6419999999999999</v>
      </c>
      <c r="AG75" s="693">
        <v>4.851</v>
      </c>
      <c r="AH75" s="693">
        <v>1.19</v>
      </c>
      <c r="AI75" s="693">
        <v>1.254</v>
      </c>
      <c r="AJ75" s="693">
        <v>0.60499999999999998</v>
      </c>
      <c r="AK75" s="693">
        <v>1.0999999999999999E-2</v>
      </c>
      <c r="AL75" s="693">
        <v>0.64200000000000002</v>
      </c>
      <c r="AM75" s="693">
        <v>3.9039999999999999</v>
      </c>
      <c r="AN75" s="693">
        <v>0.28000000000000003</v>
      </c>
      <c r="AO75" s="693">
        <v>1.873</v>
      </c>
      <c r="AP75" s="129" t="s">
        <v>227</v>
      </c>
      <c r="AQ75" s="64">
        <v>46082</v>
      </c>
      <c r="AR75" s="127">
        <v>46083</v>
      </c>
      <c r="AS75" s="127">
        <v>46091</v>
      </c>
    </row>
    <row r="76" spans="1:45" ht="15.75" x14ac:dyDescent="0.25">
      <c r="A76" s="64">
        <v>46082</v>
      </c>
      <c r="B76" s="65" t="s">
        <v>46</v>
      </c>
      <c r="C76" s="692">
        <v>0</v>
      </c>
      <c r="D76" s="692">
        <v>0.56999999999999995</v>
      </c>
      <c r="E76" s="692">
        <v>169.95</v>
      </c>
      <c r="F76" s="692">
        <v>143.16999999999999</v>
      </c>
      <c r="G76" s="692">
        <v>58.1</v>
      </c>
      <c r="H76" s="692">
        <v>62.19</v>
      </c>
      <c r="I76" s="692">
        <v>183.73</v>
      </c>
      <c r="J76" s="692">
        <v>45.07</v>
      </c>
      <c r="K76" s="692">
        <v>47.5</v>
      </c>
      <c r="L76" s="692">
        <v>22.91</v>
      </c>
      <c r="M76" s="692">
        <v>0.42</v>
      </c>
      <c r="N76" s="692">
        <v>24.32</v>
      </c>
      <c r="O76" s="692">
        <v>147.86000000000001</v>
      </c>
      <c r="P76" s="692">
        <v>10.61</v>
      </c>
      <c r="Q76" s="692">
        <v>70.94</v>
      </c>
      <c r="R76" s="129" t="s">
        <v>227</v>
      </c>
      <c r="S76" s="64">
        <f t="shared" si="13"/>
        <v>46082</v>
      </c>
      <c r="T76" s="127">
        <v>46083</v>
      </c>
      <c r="U76" s="127">
        <v>46091</v>
      </c>
      <c r="W76" s="161" t="b">
        <f t="shared" si="14"/>
        <v>1</v>
      </c>
      <c r="Y76" s="64">
        <v>46082</v>
      </c>
      <c r="Z76" s="65" t="s">
        <v>46</v>
      </c>
      <c r="AA76" s="692">
        <v>0</v>
      </c>
      <c r="AB76" s="692">
        <v>0.56999999999999995</v>
      </c>
      <c r="AC76" s="692">
        <v>169.95</v>
      </c>
      <c r="AD76" s="692">
        <v>143.16999999999999</v>
      </c>
      <c r="AE76" s="692">
        <v>58.1</v>
      </c>
      <c r="AF76" s="692">
        <v>62.19</v>
      </c>
      <c r="AG76" s="692">
        <v>183.73</v>
      </c>
      <c r="AH76" s="692">
        <v>45.07</v>
      </c>
      <c r="AI76" s="692">
        <v>47.5</v>
      </c>
      <c r="AJ76" s="692">
        <v>22.91</v>
      </c>
      <c r="AK76" s="692">
        <v>0.42</v>
      </c>
      <c r="AL76" s="692">
        <v>24.32</v>
      </c>
      <c r="AM76" s="692">
        <v>147.86000000000001</v>
      </c>
      <c r="AN76" s="692">
        <v>10.61</v>
      </c>
      <c r="AO76" s="692">
        <v>70.94</v>
      </c>
      <c r="AP76" s="129" t="s">
        <v>227</v>
      </c>
      <c r="AQ76" s="64">
        <v>46082</v>
      </c>
      <c r="AR76" s="127">
        <v>46083</v>
      </c>
      <c r="AS76" s="127">
        <v>46091</v>
      </c>
    </row>
    <row r="77" spans="1:45" ht="15.75" x14ac:dyDescent="0.25">
      <c r="A77" s="64">
        <v>46082</v>
      </c>
      <c r="B77" s="65" t="s">
        <v>47</v>
      </c>
      <c r="C77" s="692">
        <v>0</v>
      </c>
      <c r="D77" s="692">
        <v>442.57000000000005</v>
      </c>
      <c r="E77" s="692">
        <v>442.57000000000005</v>
      </c>
      <c r="F77" s="692">
        <v>442.57000000000005</v>
      </c>
      <c r="G77" s="692">
        <v>442.57000000000005</v>
      </c>
      <c r="H77" s="692">
        <v>442.57000000000005</v>
      </c>
      <c r="I77" s="692">
        <v>442.57000000000005</v>
      </c>
      <c r="J77" s="692">
        <v>442.57000000000005</v>
      </c>
      <c r="K77" s="692">
        <v>442.57000000000005</v>
      </c>
      <c r="L77" s="692">
        <v>442.57000000000005</v>
      </c>
      <c r="M77" s="692">
        <v>442.57000000000005</v>
      </c>
      <c r="N77" s="692">
        <v>442.57000000000005</v>
      </c>
      <c r="O77" s="692">
        <v>442.57000000000005</v>
      </c>
      <c r="P77" s="692">
        <v>442.57000000000005</v>
      </c>
      <c r="Q77" s="692">
        <v>442.57000000000005</v>
      </c>
      <c r="R77" s="129" t="s">
        <v>227</v>
      </c>
      <c r="S77" s="64">
        <f t="shared" si="13"/>
        <v>46082</v>
      </c>
      <c r="T77" s="127">
        <v>46083</v>
      </c>
      <c r="U77" s="127">
        <v>46091</v>
      </c>
      <c r="W77" s="161" t="b">
        <f t="shared" si="14"/>
        <v>1</v>
      </c>
      <c r="Y77" s="64">
        <v>46082</v>
      </c>
      <c r="Z77" s="65" t="s">
        <v>47</v>
      </c>
      <c r="AA77" s="692">
        <v>0</v>
      </c>
      <c r="AB77" s="692">
        <v>442.57000000000005</v>
      </c>
      <c r="AC77" s="692">
        <v>442.57000000000005</v>
      </c>
      <c r="AD77" s="692">
        <v>442.57000000000005</v>
      </c>
      <c r="AE77" s="692">
        <v>442.57000000000005</v>
      </c>
      <c r="AF77" s="692">
        <v>442.57000000000005</v>
      </c>
      <c r="AG77" s="692">
        <v>442.57000000000005</v>
      </c>
      <c r="AH77" s="692">
        <v>442.57000000000005</v>
      </c>
      <c r="AI77" s="692">
        <v>442.57000000000005</v>
      </c>
      <c r="AJ77" s="692">
        <v>442.57000000000005</v>
      </c>
      <c r="AK77" s="692">
        <v>442.57000000000005</v>
      </c>
      <c r="AL77" s="692">
        <v>442.57000000000005</v>
      </c>
      <c r="AM77" s="692">
        <v>442.57000000000005</v>
      </c>
      <c r="AN77" s="692">
        <v>442.57000000000005</v>
      </c>
      <c r="AO77" s="692">
        <v>442.57000000000005</v>
      </c>
      <c r="AP77" s="129" t="s">
        <v>227</v>
      </c>
      <c r="AQ77" s="64">
        <v>46082</v>
      </c>
      <c r="AR77" s="127">
        <v>46083</v>
      </c>
      <c r="AS77" s="127">
        <v>46091</v>
      </c>
    </row>
    <row r="78" spans="1:45" ht="15.75" x14ac:dyDescent="0.25">
      <c r="A78" s="64">
        <v>46082</v>
      </c>
      <c r="B78" s="65" t="s">
        <v>62</v>
      </c>
      <c r="C78" s="692">
        <v>0</v>
      </c>
      <c r="D78" s="692">
        <v>626</v>
      </c>
      <c r="E78" s="692">
        <v>825</v>
      </c>
      <c r="F78" s="692">
        <v>774</v>
      </c>
      <c r="G78" s="692">
        <v>652</v>
      </c>
      <c r="H78" s="692">
        <v>801</v>
      </c>
      <c r="I78" s="692">
        <v>830</v>
      </c>
      <c r="J78" s="692">
        <v>890</v>
      </c>
      <c r="K78" s="692">
        <v>614</v>
      </c>
      <c r="L78" s="692">
        <v>497</v>
      </c>
      <c r="M78" s="692">
        <v>490</v>
      </c>
      <c r="N78" s="692">
        <v>588</v>
      </c>
      <c r="O78" s="692">
        <v>647</v>
      </c>
      <c r="P78" s="692">
        <v>501</v>
      </c>
      <c r="Q78" s="719">
        <v>626</v>
      </c>
      <c r="R78" s="116">
        <f>SUM(C78:P78)+E104</f>
        <v>8885</v>
      </c>
      <c r="S78" s="64">
        <f t="shared" si="13"/>
        <v>46082</v>
      </c>
      <c r="T78" s="127">
        <v>46083</v>
      </c>
      <c r="U78" s="127">
        <v>46091</v>
      </c>
      <c r="W78" s="161" t="b">
        <f t="shared" si="14"/>
        <v>1</v>
      </c>
      <c r="Y78" s="64">
        <v>46082</v>
      </c>
      <c r="Z78" s="65" t="s">
        <v>62</v>
      </c>
      <c r="AA78" s="692">
        <v>0</v>
      </c>
      <c r="AB78" s="692">
        <v>626</v>
      </c>
      <c r="AC78" s="692">
        <v>825</v>
      </c>
      <c r="AD78" s="692">
        <v>774</v>
      </c>
      <c r="AE78" s="692">
        <v>652</v>
      </c>
      <c r="AF78" s="692">
        <v>801</v>
      </c>
      <c r="AG78" s="692">
        <v>830</v>
      </c>
      <c r="AH78" s="692">
        <v>890</v>
      </c>
      <c r="AI78" s="692">
        <v>614</v>
      </c>
      <c r="AJ78" s="692">
        <v>497</v>
      </c>
      <c r="AK78" s="692">
        <v>490</v>
      </c>
      <c r="AL78" s="692">
        <v>588</v>
      </c>
      <c r="AM78" s="692">
        <v>647</v>
      </c>
      <c r="AN78" s="692">
        <v>501</v>
      </c>
      <c r="AO78" s="719">
        <v>626</v>
      </c>
      <c r="AP78" s="116">
        <v>8885</v>
      </c>
      <c r="AQ78" s="64">
        <v>46082</v>
      </c>
      <c r="AR78" s="127">
        <v>46083</v>
      </c>
      <c r="AS78" s="127">
        <v>46091</v>
      </c>
    </row>
    <row r="79" spans="1:45" ht="15.75" x14ac:dyDescent="0.25">
      <c r="A79" s="83">
        <v>46082</v>
      </c>
      <c r="B79" s="84" t="s">
        <v>63</v>
      </c>
      <c r="C79" s="692">
        <v>0</v>
      </c>
      <c r="D79" s="692">
        <v>625.34</v>
      </c>
      <c r="E79" s="692">
        <v>824.26</v>
      </c>
      <c r="F79" s="692">
        <v>773.42000000000007</v>
      </c>
      <c r="G79" s="692">
        <v>652</v>
      </c>
      <c r="H79" s="692">
        <v>800.03</v>
      </c>
      <c r="I79" s="692">
        <v>829.58</v>
      </c>
      <c r="J79" s="692">
        <v>889.48</v>
      </c>
      <c r="K79" s="692">
        <v>613.04000000000008</v>
      </c>
      <c r="L79" s="692">
        <v>496.49000000000007</v>
      </c>
      <c r="M79" s="692">
        <v>489.29000000000008</v>
      </c>
      <c r="N79" s="692">
        <v>587.77</v>
      </c>
      <c r="O79" s="692">
        <v>646.73</v>
      </c>
      <c r="P79" s="692">
        <v>500.22</v>
      </c>
      <c r="Q79" s="719">
        <v>625.57000000000005</v>
      </c>
      <c r="R79" s="125">
        <f>SUM(C79:P79)+E104</f>
        <v>8877.65</v>
      </c>
      <c r="S79" s="83">
        <f t="shared" si="13"/>
        <v>46082</v>
      </c>
      <c r="T79" s="128">
        <v>46083</v>
      </c>
      <c r="U79" s="128">
        <v>46091</v>
      </c>
      <c r="W79" s="161" t="b">
        <f t="shared" si="14"/>
        <v>1</v>
      </c>
      <c r="Y79" s="83">
        <v>46082</v>
      </c>
      <c r="Z79" s="84" t="s">
        <v>63</v>
      </c>
      <c r="AA79" s="692">
        <v>0</v>
      </c>
      <c r="AB79" s="692">
        <v>625.34</v>
      </c>
      <c r="AC79" s="692">
        <v>824.26</v>
      </c>
      <c r="AD79" s="692">
        <v>773.42000000000007</v>
      </c>
      <c r="AE79" s="692">
        <v>652</v>
      </c>
      <c r="AF79" s="692">
        <v>800.03</v>
      </c>
      <c r="AG79" s="692">
        <v>829.58</v>
      </c>
      <c r="AH79" s="692">
        <v>889.48</v>
      </c>
      <c r="AI79" s="692">
        <v>613.04000000000008</v>
      </c>
      <c r="AJ79" s="692">
        <v>496.49000000000007</v>
      </c>
      <c r="AK79" s="692">
        <v>489.29000000000008</v>
      </c>
      <c r="AL79" s="692">
        <v>587.77</v>
      </c>
      <c r="AM79" s="692">
        <v>646.73</v>
      </c>
      <c r="AN79" s="692">
        <v>500.22</v>
      </c>
      <c r="AO79" s="719">
        <v>625.57000000000005</v>
      </c>
      <c r="AP79" s="125">
        <v>8877.65</v>
      </c>
      <c r="AQ79" s="83">
        <v>46082</v>
      </c>
      <c r="AR79" s="128">
        <v>46083</v>
      </c>
      <c r="AS79" s="128">
        <v>46091</v>
      </c>
    </row>
    <row r="80" spans="1:45" ht="15.75" x14ac:dyDescent="0.25">
      <c r="A80" s="64">
        <v>46113</v>
      </c>
      <c r="B80" s="65" t="s">
        <v>43</v>
      </c>
      <c r="C80" s="717">
        <v>18.457000000000001</v>
      </c>
      <c r="D80" s="717">
        <v>21.885999999999999</v>
      </c>
      <c r="E80" s="717">
        <v>16.763000000000002</v>
      </c>
      <c r="F80" s="717">
        <v>19.759</v>
      </c>
      <c r="G80" s="717">
        <v>19.988</v>
      </c>
      <c r="H80" s="717">
        <v>25.559000000000001</v>
      </c>
      <c r="I80" s="717">
        <v>23.777000000000001</v>
      </c>
      <c r="J80" s="717">
        <v>25.420999999999999</v>
      </c>
      <c r="K80" s="717">
        <v>13.441000000000001</v>
      </c>
      <c r="L80" s="717">
        <v>3.9790000000000001</v>
      </c>
      <c r="M80" s="717">
        <v>0.68200000000000005</v>
      </c>
      <c r="N80" s="717">
        <v>13.458</v>
      </c>
      <c r="O80" s="717">
        <v>7.19</v>
      </c>
      <c r="P80" s="717">
        <v>4.5309999999999997</v>
      </c>
      <c r="Q80" s="717">
        <v>14.109</v>
      </c>
      <c r="R80" s="129" t="s">
        <v>227</v>
      </c>
      <c r="S80" s="64">
        <f t="shared" ref="S80:S86" si="15">A80</f>
        <v>46113</v>
      </c>
      <c r="T80" s="127">
        <v>46113</v>
      </c>
      <c r="U80" s="127">
        <v>46122</v>
      </c>
      <c r="W80" s="161" t="b">
        <f t="shared" ref="W80:W86" si="16">SUM(A80:U80)=SUM(Y80:AS80)</f>
        <v>1</v>
      </c>
      <c r="Y80" s="64">
        <v>46113</v>
      </c>
      <c r="Z80" s="65" t="s">
        <v>43</v>
      </c>
      <c r="AA80" s="717">
        <v>18.457000000000001</v>
      </c>
      <c r="AB80" s="717">
        <v>21.885999999999999</v>
      </c>
      <c r="AC80" s="717">
        <v>16.763000000000002</v>
      </c>
      <c r="AD80" s="717">
        <v>19.759</v>
      </c>
      <c r="AE80" s="717">
        <v>19.988</v>
      </c>
      <c r="AF80" s="717">
        <v>25.559000000000001</v>
      </c>
      <c r="AG80" s="717">
        <v>23.777000000000001</v>
      </c>
      <c r="AH80" s="717">
        <v>25.420999999999999</v>
      </c>
      <c r="AI80" s="717">
        <v>13.441000000000001</v>
      </c>
      <c r="AJ80" s="717">
        <v>3.9790000000000001</v>
      </c>
      <c r="AK80" s="717">
        <v>0.68200000000000005</v>
      </c>
      <c r="AL80" s="717">
        <v>13.458</v>
      </c>
      <c r="AM80" s="717">
        <v>7.19</v>
      </c>
      <c r="AN80" s="717">
        <v>4.5309999999999997</v>
      </c>
      <c r="AO80" s="717">
        <v>14.109</v>
      </c>
      <c r="AP80" s="129" t="s">
        <v>227</v>
      </c>
      <c r="AQ80" s="64">
        <v>46113</v>
      </c>
      <c r="AR80" s="127">
        <v>46113</v>
      </c>
      <c r="AS80" s="127">
        <v>46122</v>
      </c>
    </row>
    <row r="81" spans="1:46" ht="15.75" x14ac:dyDescent="0.25">
      <c r="A81" s="64">
        <v>46113</v>
      </c>
      <c r="B81" s="65" t="s">
        <v>44</v>
      </c>
      <c r="C81" s="692">
        <v>236.41</v>
      </c>
      <c r="D81" s="692">
        <v>281.88</v>
      </c>
      <c r="E81" s="692">
        <v>215.24</v>
      </c>
      <c r="F81" s="692">
        <v>253.65</v>
      </c>
      <c r="G81" s="692">
        <v>256.58999999999997</v>
      </c>
      <c r="H81" s="692">
        <v>329.05</v>
      </c>
      <c r="I81" s="692">
        <v>305.87</v>
      </c>
      <c r="J81" s="692">
        <v>326.77999999999997</v>
      </c>
      <c r="K81" s="692">
        <v>173.17</v>
      </c>
      <c r="L81" s="692">
        <v>50.68</v>
      </c>
      <c r="M81" s="692">
        <v>8.7899999999999991</v>
      </c>
      <c r="N81" s="692">
        <v>173.29</v>
      </c>
      <c r="O81" s="692">
        <v>91.93</v>
      </c>
      <c r="P81" s="692">
        <v>58.51</v>
      </c>
      <c r="Q81" s="692">
        <v>181.86</v>
      </c>
      <c r="R81" s="129" t="s">
        <v>227</v>
      </c>
      <c r="S81" s="64">
        <f t="shared" si="15"/>
        <v>46113</v>
      </c>
      <c r="T81" s="127">
        <v>46113</v>
      </c>
      <c r="U81" s="127">
        <v>46122</v>
      </c>
      <c r="W81" s="161" t="b">
        <f t="shared" si="16"/>
        <v>1</v>
      </c>
      <c r="Y81" s="64">
        <v>46113</v>
      </c>
      <c r="Z81" s="65" t="s">
        <v>44</v>
      </c>
      <c r="AA81" s="692">
        <v>236.41</v>
      </c>
      <c r="AB81" s="692">
        <v>281.88</v>
      </c>
      <c r="AC81" s="692">
        <v>215.24</v>
      </c>
      <c r="AD81" s="692">
        <v>253.65</v>
      </c>
      <c r="AE81" s="692">
        <v>256.58999999999997</v>
      </c>
      <c r="AF81" s="692">
        <v>329.05</v>
      </c>
      <c r="AG81" s="692">
        <v>305.87</v>
      </c>
      <c r="AH81" s="692">
        <v>326.77999999999997</v>
      </c>
      <c r="AI81" s="692">
        <v>173.17</v>
      </c>
      <c r="AJ81" s="692">
        <v>50.68</v>
      </c>
      <c r="AK81" s="692">
        <v>8.7899999999999991</v>
      </c>
      <c r="AL81" s="692">
        <v>173.29</v>
      </c>
      <c r="AM81" s="692">
        <v>91.93</v>
      </c>
      <c r="AN81" s="692">
        <v>58.51</v>
      </c>
      <c r="AO81" s="692">
        <v>181.86</v>
      </c>
      <c r="AP81" s="129" t="s">
        <v>227</v>
      </c>
      <c r="AQ81" s="64">
        <v>46113</v>
      </c>
      <c r="AR81" s="127">
        <v>46113</v>
      </c>
      <c r="AS81" s="127">
        <v>46122</v>
      </c>
    </row>
    <row r="82" spans="1:46" ht="15.75" x14ac:dyDescent="0.25">
      <c r="A82" s="64">
        <v>46113</v>
      </c>
      <c r="B82" s="65" t="s">
        <v>45</v>
      </c>
      <c r="C82" s="693">
        <v>0</v>
      </c>
      <c r="D82" s="693">
        <v>0</v>
      </c>
      <c r="E82" s="693">
        <v>2.7410000000000001</v>
      </c>
      <c r="F82" s="693">
        <v>4.0590000000000002</v>
      </c>
      <c r="G82" s="693">
        <v>2.4289999999999998</v>
      </c>
      <c r="H82" s="693">
        <v>1.4139999999999999</v>
      </c>
      <c r="I82" s="693">
        <v>4.82</v>
      </c>
      <c r="J82" s="693">
        <v>1.2130000000000001</v>
      </c>
      <c r="K82" s="693">
        <v>1.0289999999999999</v>
      </c>
      <c r="L82" s="693">
        <v>0.58199999999999996</v>
      </c>
      <c r="M82" s="693">
        <v>0.13</v>
      </c>
      <c r="N82" s="693">
        <v>0.78500000000000003</v>
      </c>
      <c r="O82" s="693">
        <v>3.7610000000000001</v>
      </c>
      <c r="P82" s="693">
        <v>0.42299999999999999</v>
      </c>
      <c r="Q82" s="693">
        <v>2.44</v>
      </c>
      <c r="R82" s="129" t="s">
        <v>227</v>
      </c>
      <c r="S82" s="64">
        <f t="shared" si="15"/>
        <v>46113</v>
      </c>
      <c r="T82" s="127">
        <v>46113</v>
      </c>
      <c r="U82" s="127">
        <v>46122</v>
      </c>
      <c r="W82" s="161" t="b">
        <f t="shared" si="16"/>
        <v>1</v>
      </c>
      <c r="Y82" s="64">
        <v>46113</v>
      </c>
      <c r="Z82" s="65" t="s">
        <v>45</v>
      </c>
      <c r="AA82" s="693">
        <v>0</v>
      </c>
      <c r="AB82" s="693">
        <v>0</v>
      </c>
      <c r="AC82" s="693">
        <v>2.7410000000000001</v>
      </c>
      <c r="AD82" s="693">
        <v>4.0590000000000002</v>
      </c>
      <c r="AE82" s="693">
        <v>2.4289999999999998</v>
      </c>
      <c r="AF82" s="693">
        <v>1.4139999999999999</v>
      </c>
      <c r="AG82" s="693">
        <v>4.82</v>
      </c>
      <c r="AH82" s="693">
        <v>1.2130000000000001</v>
      </c>
      <c r="AI82" s="693">
        <v>1.0289999999999999</v>
      </c>
      <c r="AJ82" s="693">
        <v>0.58199999999999996</v>
      </c>
      <c r="AK82" s="693">
        <v>0.13</v>
      </c>
      <c r="AL82" s="693">
        <v>0.78500000000000003</v>
      </c>
      <c r="AM82" s="693">
        <v>3.7610000000000001</v>
      </c>
      <c r="AN82" s="693">
        <v>0.42299999999999999</v>
      </c>
      <c r="AO82" s="693">
        <v>2.44</v>
      </c>
      <c r="AP82" s="129" t="s">
        <v>227</v>
      </c>
      <c r="AQ82" s="64">
        <v>46113</v>
      </c>
      <c r="AR82" s="127">
        <v>46113</v>
      </c>
      <c r="AS82" s="127">
        <v>46122</v>
      </c>
    </row>
    <row r="83" spans="1:46" ht="15.75" x14ac:dyDescent="0.25">
      <c r="A83" s="64">
        <v>46113</v>
      </c>
      <c r="B83" s="65" t="s">
        <v>46</v>
      </c>
      <c r="C83" s="692">
        <v>0</v>
      </c>
      <c r="D83" s="692">
        <v>0</v>
      </c>
      <c r="E83" s="692">
        <v>103.82</v>
      </c>
      <c r="F83" s="692">
        <v>153.72999999999999</v>
      </c>
      <c r="G83" s="692">
        <v>92</v>
      </c>
      <c r="H83" s="692">
        <v>53.56</v>
      </c>
      <c r="I83" s="692">
        <v>182.56</v>
      </c>
      <c r="J83" s="692">
        <v>45.94</v>
      </c>
      <c r="K83" s="692">
        <v>38.97</v>
      </c>
      <c r="L83" s="692">
        <v>22.04</v>
      </c>
      <c r="M83" s="692">
        <v>4.92</v>
      </c>
      <c r="N83" s="692">
        <v>29.73</v>
      </c>
      <c r="O83" s="692">
        <v>142.44999999999999</v>
      </c>
      <c r="P83" s="692">
        <v>16.02</v>
      </c>
      <c r="Q83" s="692">
        <v>92.42</v>
      </c>
      <c r="R83" s="129" t="s">
        <v>227</v>
      </c>
      <c r="S83" s="64">
        <f t="shared" si="15"/>
        <v>46113</v>
      </c>
      <c r="T83" s="127">
        <v>46113</v>
      </c>
      <c r="U83" s="127">
        <v>46122</v>
      </c>
      <c r="W83" s="161" t="b">
        <f t="shared" si="16"/>
        <v>1</v>
      </c>
      <c r="Y83" s="64">
        <v>46113</v>
      </c>
      <c r="Z83" s="65" t="s">
        <v>46</v>
      </c>
      <c r="AA83" s="692">
        <v>0</v>
      </c>
      <c r="AB83" s="692">
        <v>0</v>
      </c>
      <c r="AC83" s="692">
        <v>103.82</v>
      </c>
      <c r="AD83" s="692">
        <v>153.72999999999999</v>
      </c>
      <c r="AE83" s="692">
        <v>92</v>
      </c>
      <c r="AF83" s="692">
        <v>53.56</v>
      </c>
      <c r="AG83" s="692">
        <v>182.56</v>
      </c>
      <c r="AH83" s="692">
        <v>45.94</v>
      </c>
      <c r="AI83" s="692">
        <v>38.97</v>
      </c>
      <c r="AJ83" s="692">
        <v>22.04</v>
      </c>
      <c r="AK83" s="692">
        <v>4.92</v>
      </c>
      <c r="AL83" s="692">
        <v>29.73</v>
      </c>
      <c r="AM83" s="692">
        <v>142.44999999999999</v>
      </c>
      <c r="AN83" s="692">
        <v>16.02</v>
      </c>
      <c r="AO83" s="692">
        <v>92.42</v>
      </c>
      <c r="AP83" s="129" t="s">
        <v>227</v>
      </c>
      <c r="AQ83" s="64">
        <v>46113</v>
      </c>
      <c r="AR83" s="127">
        <v>46113</v>
      </c>
      <c r="AS83" s="127">
        <v>46122</v>
      </c>
    </row>
    <row r="84" spans="1:46" ht="15.75" x14ac:dyDescent="0.25">
      <c r="A84" s="64">
        <v>46113</v>
      </c>
      <c r="B84" s="65" t="s">
        <v>47</v>
      </c>
      <c r="C84" s="692">
        <v>0</v>
      </c>
      <c r="D84" s="692">
        <v>462.74</v>
      </c>
      <c r="E84" s="692">
        <v>462.74</v>
      </c>
      <c r="F84" s="692">
        <v>462.74</v>
      </c>
      <c r="G84" s="692">
        <v>462.74</v>
      </c>
      <c r="H84" s="692">
        <v>462.74</v>
      </c>
      <c r="I84" s="692">
        <v>462.74</v>
      </c>
      <c r="J84" s="692">
        <v>462.74</v>
      </c>
      <c r="K84" s="692">
        <v>462.74</v>
      </c>
      <c r="L84" s="692">
        <v>462.74</v>
      </c>
      <c r="M84" s="692">
        <v>462.74</v>
      </c>
      <c r="N84" s="692">
        <v>462.74</v>
      </c>
      <c r="O84" s="692">
        <v>462.74</v>
      </c>
      <c r="P84" s="692">
        <v>462.74</v>
      </c>
      <c r="Q84" s="692">
        <v>462.74</v>
      </c>
      <c r="R84" s="129" t="s">
        <v>227</v>
      </c>
      <c r="S84" s="64">
        <f t="shared" si="15"/>
        <v>46113</v>
      </c>
      <c r="T84" s="127">
        <v>46113</v>
      </c>
      <c r="U84" s="127">
        <v>46122</v>
      </c>
      <c r="W84" s="161" t="b">
        <f t="shared" si="16"/>
        <v>1</v>
      </c>
      <c r="Y84" s="64">
        <v>46113</v>
      </c>
      <c r="Z84" s="65" t="s">
        <v>47</v>
      </c>
      <c r="AA84" s="692">
        <v>0</v>
      </c>
      <c r="AB84" s="692">
        <v>462.74</v>
      </c>
      <c r="AC84" s="692">
        <v>462.74</v>
      </c>
      <c r="AD84" s="692">
        <v>462.74</v>
      </c>
      <c r="AE84" s="692">
        <v>462.74</v>
      </c>
      <c r="AF84" s="692">
        <v>462.74</v>
      </c>
      <c r="AG84" s="692">
        <v>462.74</v>
      </c>
      <c r="AH84" s="692">
        <v>462.74</v>
      </c>
      <c r="AI84" s="692">
        <v>462.74</v>
      </c>
      <c r="AJ84" s="692">
        <v>462.74</v>
      </c>
      <c r="AK84" s="692">
        <v>462.74</v>
      </c>
      <c r="AL84" s="692">
        <v>462.74</v>
      </c>
      <c r="AM84" s="692">
        <v>462.74</v>
      </c>
      <c r="AN84" s="692">
        <v>462.74</v>
      </c>
      <c r="AO84" s="692">
        <v>462.74</v>
      </c>
      <c r="AP84" s="129" t="s">
        <v>227</v>
      </c>
      <c r="AQ84" s="64">
        <v>46113</v>
      </c>
      <c r="AR84" s="127">
        <v>46113</v>
      </c>
      <c r="AS84" s="127">
        <v>46122</v>
      </c>
    </row>
    <row r="85" spans="1:46" ht="15.75" x14ac:dyDescent="0.25">
      <c r="A85" s="64">
        <v>46113</v>
      </c>
      <c r="B85" s="65" t="s">
        <v>62</v>
      </c>
      <c r="C85" s="692">
        <v>0</v>
      </c>
      <c r="D85" s="692">
        <v>745</v>
      </c>
      <c r="E85" s="692">
        <v>782</v>
      </c>
      <c r="F85" s="692">
        <v>871</v>
      </c>
      <c r="G85" s="692">
        <v>812</v>
      </c>
      <c r="H85" s="692">
        <v>846</v>
      </c>
      <c r="I85" s="692">
        <v>952</v>
      </c>
      <c r="J85" s="692">
        <v>836</v>
      </c>
      <c r="K85" s="692">
        <v>675</v>
      </c>
      <c r="L85" s="692">
        <v>536</v>
      </c>
      <c r="M85" s="692">
        <v>477</v>
      </c>
      <c r="N85" s="692">
        <v>666</v>
      </c>
      <c r="O85" s="692">
        <v>698</v>
      </c>
      <c r="P85" s="692">
        <v>538</v>
      </c>
      <c r="Q85" s="719">
        <v>738</v>
      </c>
      <c r="R85" s="116">
        <f>SUM(C85:P85)+E105</f>
        <v>9584</v>
      </c>
      <c r="S85" s="64">
        <f t="shared" si="15"/>
        <v>46113</v>
      </c>
      <c r="T85" s="127">
        <v>46113</v>
      </c>
      <c r="U85" s="127">
        <v>46122</v>
      </c>
      <c r="W85" s="161" t="b">
        <f t="shared" si="16"/>
        <v>1</v>
      </c>
      <c r="Y85" s="64">
        <v>46113</v>
      </c>
      <c r="Z85" s="65" t="s">
        <v>62</v>
      </c>
      <c r="AA85" s="692">
        <v>0</v>
      </c>
      <c r="AB85" s="692">
        <v>745</v>
      </c>
      <c r="AC85" s="692">
        <v>782</v>
      </c>
      <c r="AD85" s="692">
        <v>871</v>
      </c>
      <c r="AE85" s="692">
        <v>812</v>
      </c>
      <c r="AF85" s="692">
        <v>846</v>
      </c>
      <c r="AG85" s="692">
        <v>952</v>
      </c>
      <c r="AH85" s="692">
        <v>836</v>
      </c>
      <c r="AI85" s="692">
        <v>675</v>
      </c>
      <c r="AJ85" s="692">
        <v>536</v>
      </c>
      <c r="AK85" s="692">
        <v>477</v>
      </c>
      <c r="AL85" s="692">
        <v>666</v>
      </c>
      <c r="AM85" s="692">
        <v>698</v>
      </c>
      <c r="AN85" s="692">
        <v>538</v>
      </c>
      <c r="AO85" s="719">
        <v>738</v>
      </c>
      <c r="AP85" s="116">
        <v>9584</v>
      </c>
      <c r="AQ85" s="64">
        <v>46113</v>
      </c>
      <c r="AR85" s="127">
        <v>46113</v>
      </c>
      <c r="AS85" s="127">
        <v>46122</v>
      </c>
    </row>
    <row r="86" spans="1:46" ht="15.75" x14ac:dyDescent="0.25">
      <c r="A86" s="83">
        <v>46113</v>
      </c>
      <c r="B86" s="84" t="s">
        <v>63</v>
      </c>
      <c r="C86" s="692">
        <v>0</v>
      </c>
      <c r="D86" s="692">
        <v>744.62</v>
      </c>
      <c r="E86" s="692">
        <v>781.8</v>
      </c>
      <c r="F86" s="692">
        <v>870.12</v>
      </c>
      <c r="G86" s="692">
        <v>811.32999999999993</v>
      </c>
      <c r="H86" s="692">
        <v>845.35</v>
      </c>
      <c r="I86" s="692">
        <v>951.17000000000007</v>
      </c>
      <c r="J86" s="692">
        <v>835.46</v>
      </c>
      <c r="K86" s="692">
        <v>674.88</v>
      </c>
      <c r="L86" s="692">
        <v>535.46</v>
      </c>
      <c r="M86" s="692">
        <v>476.45</v>
      </c>
      <c r="N86" s="692">
        <v>665.76</v>
      </c>
      <c r="O86" s="692">
        <v>697.12</v>
      </c>
      <c r="P86" s="692">
        <v>537.27</v>
      </c>
      <c r="Q86" s="719">
        <v>737.02</v>
      </c>
      <c r="R86" s="125">
        <f>SUM(C86:P86)+E105</f>
        <v>9576.7900000000009</v>
      </c>
      <c r="S86" s="83">
        <f t="shared" si="15"/>
        <v>46113</v>
      </c>
      <c r="T86" s="128">
        <v>46113</v>
      </c>
      <c r="U86" s="128">
        <v>46122</v>
      </c>
      <c r="W86" s="161" t="b">
        <f t="shared" si="16"/>
        <v>1</v>
      </c>
      <c r="Y86" s="83">
        <v>46113</v>
      </c>
      <c r="Z86" s="84" t="s">
        <v>63</v>
      </c>
      <c r="AA86" s="692">
        <v>0</v>
      </c>
      <c r="AB86" s="692">
        <v>744.62</v>
      </c>
      <c r="AC86" s="692">
        <v>781.8</v>
      </c>
      <c r="AD86" s="692">
        <v>870.12</v>
      </c>
      <c r="AE86" s="692">
        <v>811.32999999999993</v>
      </c>
      <c r="AF86" s="692">
        <v>845.35</v>
      </c>
      <c r="AG86" s="692">
        <v>951.17000000000007</v>
      </c>
      <c r="AH86" s="692">
        <v>835.46</v>
      </c>
      <c r="AI86" s="692">
        <v>674.88</v>
      </c>
      <c r="AJ86" s="692">
        <v>535.46</v>
      </c>
      <c r="AK86" s="692">
        <v>476.45</v>
      </c>
      <c r="AL86" s="692">
        <v>665.76</v>
      </c>
      <c r="AM86" s="692">
        <v>697.12</v>
      </c>
      <c r="AN86" s="692">
        <v>537.27</v>
      </c>
      <c r="AO86" s="719">
        <v>737.02</v>
      </c>
      <c r="AP86" s="125">
        <v>9576.7900000000009</v>
      </c>
      <c r="AQ86" s="83">
        <v>46113</v>
      </c>
      <c r="AR86" s="128">
        <v>46113</v>
      </c>
      <c r="AS86" s="128">
        <v>46122</v>
      </c>
    </row>
    <row r="87" spans="1:46" x14ac:dyDescent="0.25">
      <c r="F87" s="163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5" t="s">
        <v>398</v>
      </c>
      <c r="R87" s="207" t="b">
        <f>R85='MEDIÇÕES E TABELAS'!G161</f>
        <v>1</v>
      </c>
      <c r="W87" s="161" t="s">
        <v>536</v>
      </c>
      <c r="AD87" s="163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5" t="s">
        <v>547</v>
      </c>
      <c r="AP87" s="207" t="b">
        <v>1</v>
      </c>
    </row>
    <row r="88" spans="1:46" x14ac:dyDescent="0.25">
      <c r="F88" s="163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5" t="s">
        <v>397</v>
      </c>
      <c r="R88" s="207" t="b">
        <f>R86='MEDIÇÕES E TABELAS'!H161</f>
        <v>1</v>
      </c>
      <c r="W88" s="161" t="s">
        <v>536</v>
      </c>
      <c r="AD88" s="163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5" t="s">
        <v>548</v>
      </c>
      <c r="AP88" s="207" t="b">
        <v>1</v>
      </c>
    </row>
    <row r="89" spans="1:46" x14ac:dyDescent="0.25">
      <c r="A89" s="953" t="s">
        <v>539</v>
      </c>
      <c r="B89" s="986"/>
      <c r="C89" s="986"/>
      <c r="D89" s="986"/>
      <c r="E89" s="986"/>
      <c r="F89" s="986"/>
      <c r="G89" s="986"/>
      <c r="H89" s="986"/>
      <c r="I89" s="986"/>
      <c r="J89" s="986"/>
      <c r="K89" s="986"/>
      <c r="L89" s="986"/>
      <c r="M89" s="986"/>
      <c r="N89" s="986"/>
      <c r="O89" s="986"/>
      <c r="P89" s="986"/>
      <c r="Q89" s="988"/>
      <c r="R89" s="989"/>
      <c r="W89" s="161" t="s">
        <v>536</v>
      </c>
      <c r="AO89" s="162"/>
      <c r="AP89" s="161"/>
    </row>
    <row r="90" spans="1:46" x14ac:dyDescent="0.25">
      <c r="Q90" s="162"/>
      <c r="R90" s="220"/>
      <c r="W90" s="161" t="s">
        <v>536</v>
      </c>
      <c r="AO90" s="162"/>
      <c r="AP90" s="220"/>
    </row>
    <row r="91" spans="1:46" ht="15.75" x14ac:dyDescent="0.25">
      <c r="B91" s="170" t="s">
        <v>309</v>
      </c>
      <c r="C91" s="167"/>
      <c r="D91" s="167"/>
      <c r="E91" s="168"/>
      <c r="F91" s="171">
        <f>E105</f>
        <v>150</v>
      </c>
      <c r="R91" s="73"/>
      <c r="W91" s="161" t="b">
        <f>SUM(A91:U91)=SUM(Y91:AS91)</f>
        <v>1</v>
      </c>
      <c r="Z91" s="170" t="s">
        <v>309</v>
      </c>
      <c r="AA91" s="167"/>
      <c r="AB91" s="167"/>
      <c r="AC91" s="168"/>
      <c r="AD91" s="171">
        <v>150</v>
      </c>
      <c r="AP91" s="73"/>
    </row>
    <row r="92" spans="1:46" x14ac:dyDescent="0.25">
      <c r="A92" s="70" t="s">
        <v>223</v>
      </c>
      <c r="B92" s="71"/>
      <c r="C92" s="120"/>
      <c r="D92" s="71"/>
      <c r="E92" s="71"/>
      <c r="F92" s="71"/>
      <c r="W92" s="161" t="s">
        <v>536</v>
      </c>
      <c r="Y92" s="70" t="s">
        <v>223</v>
      </c>
      <c r="Z92" s="71"/>
      <c r="AA92" s="120"/>
      <c r="AB92" s="71"/>
      <c r="AC92" s="71"/>
      <c r="AD92" s="71"/>
    </row>
    <row r="93" spans="1:46" s="61" customFormat="1" ht="22.5" customHeight="1" x14ac:dyDescent="0.25">
      <c r="A93" s="102" t="s">
        <v>42</v>
      </c>
      <c r="B93" s="103" t="s">
        <v>10</v>
      </c>
      <c r="C93" s="102" t="s">
        <v>11</v>
      </c>
      <c r="D93" s="112" t="s">
        <v>33</v>
      </c>
      <c r="E93" s="113" t="s">
        <v>37</v>
      </c>
      <c r="F93" s="271" t="s">
        <v>12</v>
      </c>
      <c r="I93" s="952" t="s">
        <v>538</v>
      </c>
      <c r="J93" s="952"/>
      <c r="K93" s="952"/>
      <c r="L93" s="952"/>
      <c r="M93" s="952"/>
      <c r="N93" s="952"/>
      <c r="O93" s="952"/>
      <c r="P93" s="952"/>
      <c r="Q93" s="952"/>
      <c r="R93" s="952"/>
      <c r="S93" s="952"/>
      <c r="T93" s="952"/>
      <c r="U93" s="952"/>
      <c r="V93" s="410"/>
      <c r="W93" s="161" t="s">
        <v>536</v>
      </c>
      <c r="X93" s="410"/>
      <c r="Y93" s="102" t="s">
        <v>42</v>
      </c>
      <c r="Z93" s="103" t="s">
        <v>10</v>
      </c>
      <c r="AA93" s="102" t="s">
        <v>11</v>
      </c>
      <c r="AB93" s="112" t="s">
        <v>33</v>
      </c>
      <c r="AC93" s="113" t="s">
        <v>37</v>
      </c>
      <c r="AD93" s="271" t="s">
        <v>12</v>
      </c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 spans="1:46" ht="15.75" x14ac:dyDescent="0.25">
      <c r="A94" s="64">
        <f>LANÇTºS!B34</f>
        <v>45778</v>
      </c>
      <c r="B94" s="26">
        <f>LANÇTºS!C37</f>
        <v>4063.7400000000002</v>
      </c>
      <c r="C94" s="26">
        <f>ROUND(B94/14,2)</f>
        <v>290.27</v>
      </c>
      <c r="D94" s="26">
        <f>ROUND(C94/13,2)</f>
        <v>22.33</v>
      </c>
      <c r="E94" s="26">
        <f>LANÇTºS!C34</f>
        <v>150</v>
      </c>
      <c r="F94" s="26">
        <f t="shared" ref="F94:F97" si="17">E94+D94+C94</f>
        <v>462.59999999999997</v>
      </c>
      <c r="H94" s="61"/>
      <c r="I94" s="953" t="s">
        <v>539</v>
      </c>
      <c r="J94" s="986"/>
      <c r="K94" s="986"/>
      <c r="L94" s="986"/>
      <c r="M94" s="986"/>
      <c r="N94" s="986"/>
      <c r="O94" s="986"/>
      <c r="P94" s="986"/>
      <c r="Q94" s="986"/>
      <c r="R94" s="986"/>
      <c r="S94" s="986"/>
      <c r="T94" s="986"/>
      <c r="U94" s="986"/>
      <c r="W94" s="161" t="b">
        <f t="shared" ref="W94:W102" si="18">SUM(A94:U94)=SUM(Y94:AS94)</f>
        <v>1</v>
      </c>
      <c r="Y94" s="64">
        <v>45778</v>
      </c>
      <c r="Z94" s="26">
        <v>4063.7400000000002</v>
      </c>
      <c r="AA94" s="26">
        <v>290.27</v>
      </c>
      <c r="AB94" s="26">
        <v>22.33</v>
      </c>
      <c r="AC94" s="26">
        <v>150</v>
      </c>
      <c r="AD94" s="26">
        <v>462.59999999999997</v>
      </c>
      <c r="AF94" s="61"/>
    </row>
    <row r="95" spans="1:46" ht="15.75" x14ac:dyDescent="0.25">
      <c r="A95" s="64">
        <f>LANÇTºS!F34</f>
        <v>45809</v>
      </c>
      <c r="B95" s="26">
        <f>LANÇTºS!G37</f>
        <v>4107.4300000000012</v>
      </c>
      <c r="C95" s="26">
        <f t="shared" ref="C95:C97" si="19">ROUND(B95/14,2)</f>
        <v>293.39</v>
      </c>
      <c r="D95" s="26">
        <f t="shared" ref="D95:D97" si="20">ROUND(C95/13,2)</f>
        <v>22.57</v>
      </c>
      <c r="E95" s="26">
        <f>LANÇTºS!G34</f>
        <v>150</v>
      </c>
      <c r="F95" s="26">
        <f t="shared" si="17"/>
        <v>465.96</v>
      </c>
      <c r="W95" s="161" t="b">
        <f t="shared" si="18"/>
        <v>1</v>
      </c>
      <c r="Y95" s="64">
        <v>45809</v>
      </c>
      <c r="Z95" s="26">
        <v>4107.4300000000012</v>
      </c>
      <c r="AA95" s="26">
        <v>293.39</v>
      </c>
      <c r="AB95" s="26">
        <v>22.57</v>
      </c>
      <c r="AC95" s="26">
        <v>150</v>
      </c>
      <c r="AD95" s="26">
        <v>465.96</v>
      </c>
    </row>
    <row r="96" spans="1:46" ht="15.75" x14ac:dyDescent="0.25">
      <c r="A96" s="64">
        <f>LANÇTºS!J34</f>
        <v>45839</v>
      </c>
      <c r="B96" s="26">
        <f>LANÇTºS!K37</f>
        <v>3994.1800000000003</v>
      </c>
      <c r="C96" s="26">
        <f t="shared" si="19"/>
        <v>285.3</v>
      </c>
      <c r="D96" s="26">
        <f t="shared" si="20"/>
        <v>21.95</v>
      </c>
      <c r="E96" s="26">
        <f>LANÇTºS!K34</f>
        <v>150</v>
      </c>
      <c r="F96" s="26">
        <f t="shared" si="17"/>
        <v>457.25</v>
      </c>
      <c r="W96" s="161" t="b">
        <f t="shared" si="18"/>
        <v>1</v>
      </c>
      <c r="Y96" s="64">
        <v>45839</v>
      </c>
      <c r="Z96" s="26">
        <v>3994.1800000000003</v>
      </c>
      <c r="AA96" s="26">
        <v>285.3</v>
      </c>
      <c r="AB96" s="26">
        <v>21.95</v>
      </c>
      <c r="AC96" s="26">
        <v>150</v>
      </c>
      <c r="AD96" s="26">
        <v>457.25</v>
      </c>
    </row>
    <row r="97" spans="1:45" ht="15.75" x14ac:dyDescent="0.25">
      <c r="A97" s="64">
        <f>LANÇTºS!N34</f>
        <v>45870</v>
      </c>
      <c r="B97" s="26">
        <f>LANÇTºS!O37</f>
        <v>3510.9200000000005</v>
      </c>
      <c r="C97" s="26">
        <f t="shared" si="19"/>
        <v>250.78</v>
      </c>
      <c r="D97" s="26">
        <f t="shared" si="20"/>
        <v>19.29</v>
      </c>
      <c r="E97" s="26">
        <f>LANÇTºS!O34</f>
        <v>150</v>
      </c>
      <c r="F97" s="26">
        <f t="shared" si="17"/>
        <v>420.07</v>
      </c>
      <c r="W97" s="161" t="b">
        <f t="shared" si="18"/>
        <v>1</v>
      </c>
      <c r="Y97" s="64">
        <v>45870</v>
      </c>
      <c r="Z97" s="26">
        <v>3510.9200000000005</v>
      </c>
      <c r="AA97" s="26">
        <v>250.78</v>
      </c>
      <c r="AB97" s="26">
        <v>19.29</v>
      </c>
      <c r="AC97" s="26">
        <v>150</v>
      </c>
      <c r="AD97" s="26">
        <v>420.07</v>
      </c>
    </row>
    <row r="98" spans="1:45" ht="15.75" x14ac:dyDescent="0.25">
      <c r="A98" s="64">
        <f>LANÇTºS!R34</f>
        <v>45901</v>
      </c>
      <c r="B98" s="26">
        <f>LANÇTºS!S37</f>
        <v>4306.49</v>
      </c>
      <c r="C98" s="26">
        <f t="shared" ref="C98" si="21">ROUND(B98/14,2)</f>
        <v>307.61</v>
      </c>
      <c r="D98" s="26">
        <f t="shared" ref="D98" si="22">ROUND(C98/13,2)</f>
        <v>23.66</v>
      </c>
      <c r="E98" s="26">
        <f>LANÇTºS!S34</f>
        <v>150</v>
      </c>
      <c r="F98" s="26">
        <f t="shared" ref="F98" si="23">E98+D98+C98</f>
        <v>481.27</v>
      </c>
      <c r="W98" s="161" t="b">
        <f t="shared" si="18"/>
        <v>1</v>
      </c>
      <c r="Y98" s="64">
        <v>45901</v>
      </c>
      <c r="Z98" s="26">
        <v>4306.49</v>
      </c>
      <c r="AA98" s="26">
        <v>307.61</v>
      </c>
      <c r="AB98" s="26">
        <v>23.66</v>
      </c>
      <c r="AC98" s="26">
        <v>150</v>
      </c>
      <c r="AD98" s="26">
        <v>481.27</v>
      </c>
    </row>
    <row r="99" spans="1:45" ht="15.75" x14ac:dyDescent="0.25">
      <c r="A99" s="64">
        <f>LANÇTºS!V34</f>
        <v>45931</v>
      </c>
      <c r="B99" s="26">
        <f>LANÇTºS!W37</f>
        <v>3985.15</v>
      </c>
      <c r="C99" s="26">
        <f t="shared" ref="C99" si="24">ROUND(B99/14,2)</f>
        <v>284.64999999999998</v>
      </c>
      <c r="D99" s="26">
        <f t="shared" ref="D99" si="25">ROUND(C99/13,2)</f>
        <v>21.9</v>
      </c>
      <c r="E99" s="26">
        <f>LANÇTºS!W34</f>
        <v>150</v>
      </c>
      <c r="F99" s="26">
        <f t="shared" ref="F99" si="26">E99+D99+C99</f>
        <v>456.54999999999995</v>
      </c>
      <c r="W99" s="161" t="b">
        <f t="shared" si="18"/>
        <v>1</v>
      </c>
      <c r="Y99" s="64">
        <v>45931</v>
      </c>
      <c r="Z99" s="26">
        <v>3985.15</v>
      </c>
      <c r="AA99" s="26">
        <v>284.64999999999998</v>
      </c>
      <c r="AB99" s="26">
        <v>21.9</v>
      </c>
      <c r="AC99" s="26">
        <v>150</v>
      </c>
      <c r="AD99" s="26">
        <v>456.54999999999995</v>
      </c>
    </row>
    <row r="100" spans="1:45" ht="15.75" x14ac:dyDescent="0.25">
      <c r="A100" s="64">
        <f>LANÇTºS!Z34</f>
        <v>45962</v>
      </c>
      <c r="B100" s="26">
        <f>LANÇTºS!AA37</f>
        <v>3844.0400000000004</v>
      </c>
      <c r="C100" s="26">
        <f t="shared" ref="C100" si="27">ROUND(B100/14,2)</f>
        <v>274.57</v>
      </c>
      <c r="D100" s="26">
        <f t="shared" ref="D100" si="28">ROUND(C100/13,2)</f>
        <v>21.12</v>
      </c>
      <c r="E100" s="26">
        <f>LANÇTºS!AA34</f>
        <v>150</v>
      </c>
      <c r="F100" s="26">
        <f t="shared" ref="F100" si="29">E100+D100+C100</f>
        <v>445.69</v>
      </c>
      <c r="W100" s="161" t="b">
        <f t="shared" si="18"/>
        <v>1</v>
      </c>
      <c r="Y100" s="64">
        <v>45962</v>
      </c>
      <c r="Z100" s="26">
        <v>3844.0400000000004</v>
      </c>
      <c r="AA100" s="26">
        <v>274.57</v>
      </c>
      <c r="AB100" s="26">
        <v>21.12</v>
      </c>
      <c r="AC100" s="26">
        <v>150</v>
      </c>
      <c r="AD100" s="26">
        <v>445.69</v>
      </c>
    </row>
    <row r="101" spans="1:45" ht="15.75" x14ac:dyDescent="0.25">
      <c r="A101" s="64">
        <f>LANÇTºS!AD34</f>
        <v>45992</v>
      </c>
      <c r="B101" s="26">
        <f>LANÇTºS!AE37</f>
        <v>4024.9400000000005</v>
      </c>
      <c r="C101" s="26">
        <f t="shared" ref="C101" si="30">ROUND(B101/14,2)</f>
        <v>287.5</v>
      </c>
      <c r="D101" s="26">
        <f t="shared" ref="D101" si="31">ROUND(C101/13,2)</f>
        <v>22.12</v>
      </c>
      <c r="E101" s="26">
        <f>LANÇTºS!AE34</f>
        <v>150</v>
      </c>
      <c r="F101" s="26">
        <f t="shared" ref="F101" si="32">E101+D101+C101</f>
        <v>459.62</v>
      </c>
      <c r="W101" s="161" t="b">
        <f t="shared" si="18"/>
        <v>1</v>
      </c>
      <c r="Y101" s="64">
        <v>45992</v>
      </c>
      <c r="Z101" s="26">
        <v>4024.9400000000005</v>
      </c>
      <c r="AA101" s="26">
        <v>287.5</v>
      </c>
      <c r="AB101" s="26">
        <v>22.12</v>
      </c>
      <c r="AC101" s="26">
        <v>150</v>
      </c>
      <c r="AD101" s="26">
        <v>459.62</v>
      </c>
    </row>
    <row r="102" spans="1:45" ht="15.75" x14ac:dyDescent="0.25">
      <c r="A102" s="64">
        <f>LANÇTºS!AH34</f>
        <v>46023</v>
      </c>
      <c r="B102" s="26">
        <f>LANÇTºS!AI37</f>
        <v>3750.3200000000006</v>
      </c>
      <c r="C102" s="26">
        <f t="shared" ref="C102" si="33">ROUND(B102/14,2)</f>
        <v>267.88</v>
      </c>
      <c r="D102" s="26">
        <f t="shared" ref="D102" si="34">ROUND(C102/13,2)</f>
        <v>20.61</v>
      </c>
      <c r="E102" s="26">
        <f>LANÇTºS!AI34</f>
        <v>150</v>
      </c>
      <c r="F102" s="26">
        <f t="shared" ref="F102" si="35">E102+D102+C102</f>
        <v>438.49</v>
      </c>
      <c r="W102" s="161" t="b">
        <f t="shared" si="18"/>
        <v>1</v>
      </c>
      <c r="Y102" s="64">
        <v>46023</v>
      </c>
      <c r="Z102" s="26">
        <v>3750.3200000000006</v>
      </c>
      <c r="AA102" s="26">
        <v>267.88</v>
      </c>
      <c r="AB102" s="26">
        <v>20.61</v>
      </c>
      <c r="AC102" s="26">
        <v>150</v>
      </c>
      <c r="AD102" s="26">
        <v>438.49</v>
      </c>
    </row>
    <row r="103" spans="1:45" ht="15.75" x14ac:dyDescent="0.25">
      <c r="A103" s="64">
        <f>LANÇTºS!AL34</f>
        <v>46054</v>
      </c>
      <c r="B103" s="26">
        <f>LANÇTºS!AM37</f>
        <v>3871.41</v>
      </c>
      <c r="C103" s="26">
        <f t="shared" ref="C103" si="36">ROUND(B103/14,2)</f>
        <v>276.52999999999997</v>
      </c>
      <c r="D103" s="26">
        <f t="shared" ref="D103" si="37">ROUND(C103/13,2)</f>
        <v>21.27</v>
      </c>
      <c r="E103" s="26">
        <f>LANÇTºS!AM34</f>
        <v>150</v>
      </c>
      <c r="F103" s="26">
        <f t="shared" ref="F103" si="38">E103+D103+C103</f>
        <v>447.79999999999995</v>
      </c>
      <c r="W103" s="161" t="b">
        <f t="shared" ref="W103" si="39">SUM(A103:U103)=SUM(Y103:AS103)</f>
        <v>1</v>
      </c>
      <c r="Y103" s="64">
        <v>46054</v>
      </c>
      <c r="Z103" s="26">
        <v>3871.41</v>
      </c>
      <c r="AA103" s="26">
        <v>276.52999999999997</v>
      </c>
      <c r="AB103" s="26">
        <v>21.27</v>
      </c>
      <c r="AC103" s="26">
        <v>150</v>
      </c>
      <c r="AD103" s="26">
        <v>447.79999999999995</v>
      </c>
    </row>
    <row r="104" spans="1:45" ht="15.75" x14ac:dyDescent="0.25">
      <c r="A104" s="64">
        <f>LANÇTºS!AP34</f>
        <v>46082</v>
      </c>
      <c r="B104" s="26">
        <f>LANÇTºS!AQ37</f>
        <v>3803.35</v>
      </c>
      <c r="C104" s="26">
        <f t="shared" ref="C104" si="40">ROUND(B104/14,2)</f>
        <v>271.67</v>
      </c>
      <c r="D104" s="26">
        <f t="shared" ref="D104" si="41">ROUND(C104/13,2)</f>
        <v>20.9</v>
      </c>
      <c r="E104" s="26">
        <f>LANÇTºS!AQ34</f>
        <v>150</v>
      </c>
      <c r="F104" s="26">
        <f t="shared" ref="F104" si="42">E104+D104+C104</f>
        <v>442.57000000000005</v>
      </c>
      <c r="W104" s="161" t="b">
        <f t="shared" ref="W104" si="43">SUM(A104:U104)=SUM(Y104:AS104)</f>
        <v>1</v>
      </c>
      <c r="Y104" s="64">
        <v>46082</v>
      </c>
      <c r="Z104" s="26">
        <v>3803.35</v>
      </c>
      <c r="AA104" s="26">
        <v>271.67</v>
      </c>
      <c r="AB104" s="26">
        <v>20.9</v>
      </c>
      <c r="AC104" s="169">
        <v>150</v>
      </c>
      <c r="AD104" s="26">
        <v>442.57000000000005</v>
      </c>
    </row>
    <row r="105" spans="1:45" ht="15.75" x14ac:dyDescent="0.25">
      <c r="A105" s="64">
        <f>LANÇTºS!AT34</f>
        <v>46113</v>
      </c>
      <c r="B105" s="26">
        <f>LANÇTºS!AU37</f>
        <v>4065.6499999999996</v>
      </c>
      <c r="C105" s="26">
        <f t="shared" ref="C105" si="44">ROUND(B105/14,2)</f>
        <v>290.39999999999998</v>
      </c>
      <c r="D105" s="26">
        <f t="shared" ref="D105" si="45">ROUND(C105/13,2)</f>
        <v>22.34</v>
      </c>
      <c r="E105" s="169">
        <f>LANÇTºS!AU34</f>
        <v>150</v>
      </c>
      <c r="F105" s="26">
        <f t="shared" ref="F105" si="46">E105+D105+C105</f>
        <v>462.74</v>
      </c>
      <c r="H105" s="264" t="s">
        <v>396</v>
      </c>
      <c r="I105" s="265"/>
      <c r="J105" s="265"/>
      <c r="K105" s="265"/>
      <c r="L105" s="266"/>
      <c r="M105" s="267"/>
      <c r="N105" s="207" t="b">
        <f>F105='PLAN P COND'!G31</f>
        <v>1</v>
      </c>
      <c r="W105" s="161" t="b">
        <f t="shared" ref="W105" si="47">SUM(A105:U105)=SUM(Y105:AS105)</f>
        <v>1</v>
      </c>
      <c r="Y105" s="64">
        <v>46113</v>
      </c>
      <c r="Z105" s="26">
        <v>4065.6499999999996</v>
      </c>
      <c r="AA105" s="26">
        <v>290.39999999999998</v>
      </c>
      <c r="AB105" s="26">
        <v>22.34</v>
      </c>
      <c r="AC105" s="169">
        <v>150</v>
      </c>
      <c r="AD105" s="26">
        <v>462.74</v>
      </c>
      <c r="AF105" s="264" t="s">
        <v>553</v>
      </c>
      <c r="AG105" s="265"/>
      <c r="AH105" s="265"/>
      <c r="AI105" s="265"/>
      <c r="AJ105" s="266"/>
      <c r="AK105" s="267"/>
      <c r="AL105" s="207" t="b">
        <v>1</v>
      </c>
    </row>
    <row r="106" spans="1:45" x14ac:dyDescent="0.25">
      <c r="W106" s="161" t="s">
        <v>536</v>
      </c>
    </row>
    <row r="107" spans="1:45" x14ac:dyDescent="0.25">
      <c r="W107" s="161" t="s">
        <v>536</v>
      </c>
    </row>
    <row r="108" spans="1:45" x14ac:dyDescent="0.25">
      <c r="W108" s="161" t="s">
        <v>536</v>
      </c>
    </row>
    <row r="109" spans="1:45" x14ac:dyDescent="0.25">
      <c r="B109" s="184"/>
      <c r="C109" s="185"/>
      <c r="D109" s="186"/>
      <c r="E109" s="186"/>
      <c r="F109" s="186"/>
      <c r="G109" s="187" t="s">
        <v>365</v>
      </c>
      <c r="H109" s="156" t="b">
        <f>G123='MEDIÇÕES E TABELAS'!X158</f>
        <v>1</v>
      </c>
      <c r="I109" s="203" t="s">
        <v>360</v>
      </c>
      <c r="J109" s="204"/>
      <c r="K109" s="205"/>
      <c r="L109" s="205"/>
      <c r="M109" s="205"/>
      <c r="N109" s="205"/>
      <c r="O109" s="205"/>
      <c r="P109" s="205"/>
      <c r="Q109" s="205"/>
      <c r="R109" s="205"/>
      <c r="S109" s="205"/>
      <c r="T109" s="206"/>
      <c r="U109" s="206"/>
      <c r="W109" s="161" t="s">
        <v>536</v>
      </c>
      <c r="Z109" s="184"/>
      <c r="AA109" s="185"/>
      <c r="AB109" s="186"/>
      <c r="AC109" s="186"/>
      <c r="AD109" s="186"/>
      <c r="AE109" s="187" t="s">
        <v>550</v>
      </c>
      <c r="AF109" s="156" t="b">
        <v>1</v>
      </c>
      <c r="AG109" s="203" t="s">
        <v>360</v>
      </c>
      <c r="AH109" s="204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6"/>
      <c r="AS109" s="206"/>
    </row>
    <row r="110" spans="1:45" ht="15" customHeight="1" x14ac:dyDescent="0.25">
      <c r="A110" s="70" t="s">
        <v>236</v>
      </c>
      <c r="B110" s="71"/>
      <c r="C110" s="120"/>
      <c r="D110" s="71"/>
      <c r="E110" s="71"/>
      <c r="F110" s="71"/>
      <c r="G110" s="71"/>
      <c r="H110" s="161"/>
      <c r="I110" s="1032" t="s">
        <v>494</v>
      </c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4"/>
      <c r="W110" s="161" t="s">
        <v>536</v>
      </c>
      <c r="Y110" s="70" t="s">
        <v>236</v>
      </c>
      <c r="Z110" s="71"/>
      <c r="AA110" s="120"/>
      <c r="AB110" s="71"/>
      <c r="AC110" s="71"/>
      <c r="AD110" s="71"/>
      <c r="AE110" s="71"/>
      <c r="AF110" s="161"/>
      <c r="AG110" s="1041" t="s">
        <v>494</v>
      </c>
      <c r="AH110" s="1042"/>
      <c r="AI110" s="1042"/>
      <c r="AJ110" s="1042"/>
      <c r="AK110" s="1042"/>
      <c r="AL110" s="1042"/>
      <c r="AM110" s="1042"/>
      <c r="AN110" s="1042"/>
      <c r="AO110" s="1042"/>
      <c r="AP110" s="1042"/>
      <c r="AQ110" s="1042"/>
      <c r="AR110" s="1042"/>
      <c r="AS110" s="1043"/>
    </row>
    <row r="111" spans="1:45" x14ac:dyDescent="0.25">
      <c r="A111" s="64" t="s">
        <v>42</v>
      </c>
      <c r="B111" s="67" t="s">
        <v>64</v>
      </c>
      <c r="C111" s="64" t="s">
        <v>65</v>
      </c>
      <c r="D111" s="157" t="s">
        <v>66</v>
      </c>
      <c r="E111" s="86" t="s">
        <v>67</v>
      </c>
      <c r="F111" s="86" t="s">
        <v>69</v>
      </c>
      <c r="G111" s="86" t="s">
        <v>68</v>
      </c>
      <c r="I111" s="1035"/>
      <c r="J111" s="1036"/>
      <c r="K111" s="1036"/>
      <c r="L111" s="1036"/>
      <c r="M111" s="1036"/>
      <c r="N111" s="1036"/>
      <c r="O111" s="1036"/>
      <c r="P111" s="1036"/>
      <c r="Q111" s="1036"/>
      <c r="R111" s="1036"/>
      <c r="S111" s="1036"/>
      <c r="T111" s="1036"/>
      <c r="U111" s="1037"/>
      <c r="W111" s="161" t="s">
        <v>536</v>
      </c>
      <c r="Y111" s="64" t="s">
        <v>42</v>
      </c>
      <c r="Z111" s="67" t="s">
        <v>64</v>
      </c>
      <c r="AA111" s="64" t="s">
        <v>65</v>
      </c>
      <c r="AB111" s="157" t="s">
        <v>66</v>
      </c>
      <c r="AC111" s="86" t="s">
        <v>67</v>
      </c>
      <c r="AD111" s="86" t="s">
        <v>69</v>
      </c>
      <c r="AE111" s="86" t="s">
        <v>68</v>
      </c>
      <c r="AG111" s="1035"/>
      <c r="AH111" s="1036"/>
      <c r="AI111" s="1036"/>
      <c r="AJ111" s="1036"/>
      <c r="AK111" s="1036"/>
      <c r="AL111" s="1036"/>
      <c r="AM111" s="1036"/>
      <c r="AN111" s="1036"/>
      <c r="AO111" s="1036"/>
      <c r="AP111" s="1036"/>
      <c r="AQ111" s="1036"/>
      <c r="AR111" s="1036"/>
      <c r="AS111" s="1037"/>
    </row>
    <row r="112" spans="1:45" ht="15.75" x14ac:dyDescent="0.25">
      <c r="A112" s="64">
        <f>A8</f>
        <v>45778</v>
      </c>
      <c r="B112" s="26">
        <v>883</v>
      </c>
      <c r="C112" s="26">
        <f>P8</f>
        <v>592</v>
      </c>
      <c r="D112" s="26">
        <f>B112-C112</f>
        <v>291</v>
      </c>
      <c r="E112" s="26">
        <v>1800</v>
      </c>
      <c r="F112" s="66">
        <v>45778</v>
      </c>
      <c r="G112" s="26">
        <f t="shared" ref="G112:G118" si="48">D112+E112</f>
        <v>2091</v>
      </c>
      <c r="I112" s="1035"/>
      <c r="J112" s="1036"/>
      <c r="K112" s="1036"/>
      <c r="L112" s="1036"/>
      <c r="M112" s="1036"/>
      <c r="N112" s="1036"/>
      <c r="O112" s="1036"/>
      <c r="P112" s="1036"/>
      <c r="Q112" s="1036"/>
      <c r="R112" s="1036"/>
      <c r="S112" s="1036"/>
      <c r="T112" s="1036"/>
      <c r="U112" s="1037"/>
      <c r="W112" s="161" t="b">
        <f t="shared" ref="W112:W120" si="49">SUM(A112:U112)=SUM(Y112:AS112)</f>
        <v>1</v>
      </c>
      <c r="Y112" s="64">
        <v>45778</v>
      </c>
      <c r="Z112" s="26">
        <v>883</v>
      </c>
      <c r="AA112" s="26">
        <v>592</v>
      </c>
      <c r="AB112" s="26">
        <v>291</v>
      </c>
      <c r="AC112" s="26">
        <v>1800</v>
      </c>
      <c r="AD112" s="66">
        <v>45778</v>
      </c>
      <c r="AE112" s="26">
        <v>2091</v>
      </c>
      <c r="AG112" s="1035"/>
      <c r="AH112" s="1036"/>
      <c r="AI112" s="1036"/>
      <c r="AJ112" s="1036"/>
      <c r="AK112" s="1036"/>
      <c r="AL112" s="1036"/>
      <c r="AM112" s="1036"/>
      <c r="AN112" s="1036"/>
      <c r="AO112" s="1036"/>
      <c r="AP112" s="1036"/>
      <c r="AQ112" s="1036"/>
      <c r="AR112" s="1036"/>
      <c r="AS112" s="1037"/>
    </row>
    <row r="113" spans="1:48" ht="15.75" x14ac:dyDescent="0.25">
      <c r="A113" s="64">
        <f>A15</f>
        <v>45809</v>
      </c>
      <c r="B113" s="26">
        <f t="shared" ref="B113:B117" si="50">G112</f>
        <v>2091</v>
      </c>
      <c r="C113" s="26">
        <f>P15</f>
        <v>628</v>
      </c>
      <c r="D113" s="26">
        <f t="shared" ref="D113:D115" si="51">B113-C113</f>
        <v>1463</v>
      </c>
      <c r="E113" s="26">
        <v>0</v>
      </c>
      <c r="F113" s="66" t="s">
        <v>51</v>
      </c>
      <c r="G113" s="26">
        <f t="shared" si="48"/>
        <v>1463</v>
      </c>
      <c r="I113" s="1035"/>
      <c r="J113" s="1036"/>
      <c r="K113" s="1036"/>
      <c r="L113" s="1036"/>
      <c r="M113" s="1036"/>
      <c r="N113" s="1036"/>
      <c r="O113" s="1036"/>
      <c r="P113" s="1036"/>
      <c r="Q113" s="1036"/>
      <c r="R113" s="1036"/>
      <c r="S113" s="1036"/>
      <c r="T113" s="1036"/>
      <c r="U113" s="1037"/>
      <c r="W113" s="161" t="b">
        <f t="shared" si="49"/>
        <v>1</v>
      </c>
      <c r="Y113" s="64">
        <v>45809</v>
      </c>
      <c r="Z113" s="26">
        <v>2091</v>
      </c>
      <c r="AA113" s="26">
        <v>628</v>
      </c>
      <c r="AB113" s="26">
        <v>1463</v>
      </c>
      <c r="AC113" s="26">
        <v>0</v>
      </c>
      <c r="AD113" s="66" t="s">
        <v>51</v>
      </c>
      <c r="AE113" s="26">
        <v>1463</v>
      </c>
      <c r="AG113" s="1035"/>
      <c r="AH113" s="1036"/>
      <c r="AI113" s="1036"/>
      <c r="AJ113" s="1036"/>
      <c r="AK113" s="1036"/>
      <c r="AL113" s="1036"/>
      <c r="AM113" s="1036"/>
      <c r="AN113" s="1036"/>
      <c r="AO113" s="1036"/>
      <c r="AP113" s="1036"/>
      <c r="AQ113" s="1036"/>
      <c r="AR113" s="1036"/>
      <c r="AS113" s="1037"/>
    </row>
    <row r="114" spans="1:48" ht="15.75" x14ac:dyDescent="0.25">
      <c r="A114" s="64">
        <f>A22</f>
        <v>45839</v>
      </c>
      <c r="B114" s="26">
        <f t="shared" si="50"/>
        <v>1463</v>
      </c>
      <c r="C114" s="26">
        <f>P22</f>
        <v>502</v>
      </c>
      <c r="D114" s="26">
        <f t="shared" si="51"/>
        <v>961</v>
      </c>
      <c r="E114" s="26">
        <v>0</v>
      </c>
      <c r="F114" s="66" t="s">
        <v>51</v>
      </c>
      <c r="G114" s="26">
        <f t="shared" si="48"/>
        <v>961</v>
      </c>
      <c r="I114" s="1035"/>
      <c r="J114" s="1036"/>
      <c r="K114" s="1036"/>
      <c r="L114" s="1036"/>
      <c r="M114" s="1036"/>
      <c r="N114" s="1036"/>
      <c r="O114" s="1036"/>
      <c r="P114" s="1036"/>
      <c r="Q114" s="1036"/>
      <c r="R114" s="1036"/>
      <c r="S114" s="1036"/>
      <c r="T114" s="1036"/>
      <c r="U114" s="1037"/>
      <c r="W114" s="161" t="b">
        <f t="shared" si="49"/>
        <v>1</v>
      </c>
      <c r="Y114" s="64">
        <v>45839</v>
      </c>
      <c r="Z114" s="26">
        <v>1463</v>
      </c>
      <c r="AA114" s="26">
        <v>502</v>
      </c>
      <c r="AB114" s="26">
        <v>961</v>
      </c>
      <c r="AC114" s="26">
        <v>0</v>
      </c>
      <c r="AD114" s="66" t="s">
        <v>51</v>
      </c>
      <c r="AE114" s="26">
        <v>961</v>
      </c>
      <c r="AG114" s="1035"/>
      <c r="AH114" s="1036"/>
      <c r="AI114" s="1036"/>
      <c r="AJ114" s="1036"/>
      <c r="AK114" s="1036"/>
      <c r="AL114" s="1036"/>
      <c r="AM114" s="1036"/>
      <c r="AN114" s="1036"/>
      <c r="AO114" s="1036"/>
      <c r="AP114" s="1036"/>
      <c r="AQ114" s="1036"/>
      <c r="AR114" s="1036"/>
      <c r="AS114" s="1037"/>
    </row>
    <row r="115" spans="1:48" ht="15.75" x14ac:dyDescent="0.25">
      <c r="A115" s="64">
        <f>A29</f>
        <v>45870</v>
      </c>
      <c r="B115" s="26">
        <f t="shared" si="50"/>
        <v>961</v>
      </c>
      <c r="C115" s="26">
        <f>P29</f>
        <v>499</v>
      </c>
      <c r="D115" s="26">
        <f t="shared" si="51"/>
        <v>462</v>
      </c>
      <c r="E115" s="26">
        <v>0</v>
      </c>
      <c r="F115" s="66" t="s">
        <v>51</v>
      </c>
      <c r="G115" s="26">
        <f t="shared" si="48"/>
        <v>462</v>
      </c>
      <c r="I115" s="1038"/>
      <c r="J115" s="1039"/>
      <c r="K115" s="1039"/>
      <c r="L115" s="1039"/>
      <c r="M115" s="1039"/>
      <c r="N115" s="1039"/>
      <c r="O115" s="1039"/>
      <c r="P115" s="1039"/>
      <c r="Q115" s="1039"/>
      <c r="R115" s="1039"/>
      <c r="S115" s="1039"/>
      <c r="T115" s="1039"/>
      <c r="U115" s="1040"/>
      <c r="W115" s="161" t="b">
        <f t="shared" si="49"/>
        <v>1</v>
      </c>
      <c r="Y115" s="64">
        <v>45870</v>
      </c>
      <c r="Z115" s="26">
        <v>961</v>
      </c>
      <c r="AA115" s="26">
        <v>499</v>
      </c>
      <c r="AB115" s="26">
        <v>462</v>
      </c>
      <c r="AC115" s="26">
        <v>0</v>
      </c>
      <c r="AD115" s="66" t="s">
        <v>51</v>
      </c>
      <c r="AE115" s="26">
        <v>462</v>
      </c>
      <c r="AG115" s="1038"/>
      <c r="AH115" s="1039"/>
      <c r="AI115" s="1039"/>
      <c r="AJ115" s="1039"/>
      <c r="AK115" s="1039"/>
      <c r="AL115" s="1039"/>
      <c r="AM115" s="1039"/>
      <c r="AN115" s="1039"/>
      <c r="AO115" s="1039"/>
      <c r="AP115" s="1039"/>
      <c r="AQ115" s="1039"/>
      <c r="AR115" s="1039"/>
      <c r="AS115" s="1040"/>
    </row>
    <row r="116" spans="1:48" ht="15.75" x14ac:dyDescent="0.25">
      <c r="A116" s="64">
        <f>A36</f>
        <v>45901</v>
      </c>
      <c r="B116" s="26">
        <f t="shared" si="50"/>
        <v>462</v>
      </c>
      <c r="C116" s="26">
        <f>P36</f>
        <v>551</v>
      </c>
      <c r="D116" s="26">
        <f t="shared" ref="D116:D117" si="52">B116-C116</f>
        <v>-89</v>
      </c>
      <c r="E116" s="26">
        <v>1200</v>
      </c>
      <c r="F116" s="66">
        <v>45901</v>
      </c>
      <c r="G116" s="26">
        <f t="shared" si="48"/>
        <v>1111</v>
      </c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W116" s="161" t="b">
        <f t="shared" si="49"/>
        <v>1</v>
      </c>
      <c r="Y116" s="64">
        <v>45901</v>
      </c>
      <c r="Z116" s="26">
        <v>462</v>
      </c>
      <c r="AA116" s="26">
        <v>551</v>
      </c>
      <c r="AB116" s="26">
        <v>-89</v>
      </c>
      <c r="AC116" s="26">
        <v>1200</v>
      </c>
      <c r="AD116" s="66">
        <v>45901</v>
      </c>
      <c r="AE116" s="26">
        <v>1111</v>
      </c>
      <c r="AG116" s="284"/>
      <c r="AH116" s="284"/>
      <c r="AI116" s="284"/>
      <c r="AJ116" s="284"/>
      <c r="AK116" s="284"/>
      <c r="AL116" s="284"/>
      <c r="AM116" s="284"/>
      <c r="AN116" s="284"/>
      <c r="AO116" s="284"/>
      <c r="AP116" s="284"/>
      <c r="AQ116" s="284"/>
      <c r="AR116" s="284"/>
      <c r="AS116" s="284"/>
    </row>
    <row r="117" spans="1:48" ht="15.75" x14ac:dyDescent="0.25">
      <c r="A117" s="292">
        <f>A43</f>
        <v>45931</v>
      </c>
      <c r="B117" s="26">
        <f t="shared" si="50"/>
        <v>1111</v>
      </c>
      <c r="C117" s="26">
        <f>P43</f>
        <v>514</v>
      </c>
      <c r="D117" s="26">
        <f t="shared" si="52"/>
        <v>597</v>
      </c>
      <c r="E117" s="26">
        <v>0</v>
      </c>
      <c r="F117" s="66" t="s">
        <v>51</v>
      </c>
      <c r="G117" s="26">
        <f t="shared" ref="G117" si="53">D117+E117</f>
        <v>597</v>
      </c>
      <c r="I117" s="952" t="s">
        <v>538</v>
      </c>
      <c r="J117" s="952"/>
      <c r="K117" s="952"/>
      <c r="L117" s="952"/>
      <c r="M117" s="952"/>
      <c r="N117" s="952"/>
      <c r="O117" s="952"/>
      <c r="P117" s="952"/>
      <c r="Q117" s="952"/>
      <c r="R117" s="952"/>
      <c r="S117" s="952"/>
      <c r="T117" s="952"/>
      <c r="U117" s="952"/>
      <c r="W117" s="161" t="b">
        <f t="shared" si="49"/>
        <v>1</v>
      </c>
      <c r="Y117" s="292">
        <v>45931</v>
      </c>
      <c r="Z117" s="26">
        <v>1111</v>
      </c>
      <c r="AA117" s="26">
        <v>514</v>
      </c>
      <c r="AB117" s="26">
        <v>597</v>
      </c>
      <c r="AC117" s="26">
        <v>0</v>
      </c>
      <c r="AD117" s="66" t="s">
        <v>51</v>
      </c>
      <c r="AE117" s="26">
        <v>597</v>
      </c>
      <c r="AG117" s="293"/>
      <c r="AH117" s="293"/>
      <c r="AI117" s="293"/>
      <c r="AJ117" s="293"/>
      <c r="AK117" s="293"/>
      <c r="AL117" s="293"/>
      <c r="AM117" s="293"/>
      <c r="AN117" s="293"/>
      <c r="AO117" s="293"/>
      <c r="AP117" s="293"/>
      <c r="AQ117" s="293"/>
      <c r="AR117" s="293"/>
      <c r="AS117" s="293"/>
    </row>
    <row r="118" spans="1:48" ht="15.75" x14ac:dyDescent="0.25">
      <c r="A118" s="64">
        <f>A50</f>
        <v>45962</v>
      </c>
      <c r="B118" s="26">
        <f t="shared" ref="B118:B123" si="54">G117</f>
        <v>597</v>
      </c>
      <c r="C118" s="26">
        <f>P50</f>
        <v>493</v>
      </c>
      <c r="D118" s="26">
        <f t="shared" ref="D118" si="55">B118-C118</f>
        <v>104</v>
      </c>
      <c r="E118" s="26">
        <v>0</v>
      </c>
      <c r="F118" s="66" t="s">
        <v>51</v>
      </c>
      <c r="G118" s="26">
        <f t="shared" si="48"/>
        <v>104</v>
      </c>
      <c r="I118" s="953" t="s">
        <v>539</v>
      </c>
      <c r="J118" s="986"/>
      <c r="K118" s="986"/>
      <c r="L118" s="986"/>
      <c r="M118" s="986"/>
      <c r="N118" s="986"/>
      <c r="O118" s="986"/>
      <c r="P118" s="986"/>
      <c r="Q118" s="986"/>
      <c r="R118" s="986"/>
      <c r="S118" s="986"/>
      <c r="T118" s="986"/>
      <c r="U118" s="986"/>
      <c r="W118" s="161" t="b">
        <f t="shared" si="49"/>
        <v>1</v>
      </c>
      <c r="Y118" s="64">
        <v>45962</v>
      </c>
      <c r="Z118" s="26">
        <v>597</v>
      </c>
      <c r="AA118" s="26">
        <v>493</v>
      </c>
      <c r="AB118" s="26">
        <v>104</v>
      </c>
      <c r="AC118" s="26">
        <v>0</v>
      </c>
      <c r="AD118" s="66" t="s">
        <v>51</v>
      </c>
      <c r="AE118" s="26">
        <v>104</v>
      </c>
      <c r="AG118" s="293"/>
      <c r="AH118" s="293"/>
      <c r="AI118" s="293"/>
      <c r="AJ118" s="293"/>
      <c r="AK118" s="293"/>
      <c r="AL118" s="293"/>
      <c r="AM118" s="293"/>
      <c r="AN118" s="293"/>
      <c r="AO118" s="293"/>
      <c r="AP118" s="293"/>
      <c r="AQ118" s="293"/>
      <c r="AR118" s="293"/>
      <c r="AS118" s="293"/>
    </row>
    <row r="119" spans="1:48" ht="15.75" x14ac:dyDescent="0.25">
      <c r="A119" s="64">
        <f>A57</f>
        <v>45992</v>
      </c>
      <c r="B119" s="26">
        <f t="shared" si="54"/>
        <v>104</v>
      </c>
      <c r="C119" s="26">
        <f>P57</f>
        <v>519</v>
      </c>
      <c r="D119" s="26">
        <f t="shared" ref="D119" si="56">B119-C119</f>
        <v>-415</v>
      </c>
      <c r="E119" s="26">
        <v>3000</v>
      </c>
      <c r="F119" s="66">
        <v>45994</v>
      </c>
      <c r="G119" s="26">
        <f t="shared" ref="G119" si="57">D119+E119</f>
        <v>2585</v>
      </c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W119" s="161" t="b">
        <f t="shared" si="49"/>
        <v>1</v>
      </c>
      <c r="Y119" s="64">
        <v>45992</v>
      </c>
      <c r="Z119" s="26">
        <v>104</v>
      </c>
      <c r="AA119" s="26">
        <v>519</v>
      </c>
      <c r="AB119" s="26">
        <v>-415</v>
      </c>
      <c r="AC119" s="26">
        <v>3000</v>
      </c>
      <c r="AD119" s="66">
        <v>45994</v>
      </c>
      <c r="AE119" s="26">
        <v>2585</v>
      </c>
      <c r="AG119" s="293"/>
      <c r="AH119" s="293"/>
      <c r="AI119" s="293"/>
      <c r="AJ119" s="293"/>
      <c r="AK119" s="293"/>
      <c r="AL119" s="293"/>
      <c r="AM119" s="293"/>
      <c r="AN119" s="293"/>
      <c r="AO119" s="293"/>
      <c r="AP119" s="293"/>
      <c r="AQ119" s="293"/>
      <c r="AR119" s="293"/>
      <c r="AS119" s="293"/>
    </row>
    <row r="120" spans="1:48" ht="15.75" x14ac:dyDescent="0.25">
      <c r="A120" s="64">
        <f>A64</f>
        <v>46023</v>
      </c>
      <c r="B120" s="26">
        <f t="shared" si="54"/>
        <v>2585</v>
      </c>
      <c r="C120" s="26">
        <f>P64</f>
        <v>517</v>
      </c>
      <c r="D120" s="26">
        <f t="shared" ref="D120" si="58">B120-C120</f>
        <v>2068</v>
      </c>
      <c r="E120" s="26">
        <v>0</v>
      </c>
      <c r="F120" s="66" t="s">
        <v>51</v>
      </c>
      <c r="G120" s="26">
        <f t="shared" ref="G120" si="59">D120+E120</f>
        <v>2068</v>
      </c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W120" s="161" t="b">
        <f t="shared" si="49"/>
        <v>1</v>
      </c>
      <c r="Y120" s="64">
        <v>46023</v>
      </c>
      <c r="Z120" s="26">
        <v>2585</v>
      </c>
      <c r="AA120" s="26">
        <v>517</v>
      </c>
      <c r="AB120" s="26">
        <v>2068</v>
      </c>
      <c r="AC120" s="26">
        <v>0</v>
      </c>
      <c r="AD120" s="66" t="s">
        <v>51</v>
      </c>
      <c r="AE120" s="26">
        <v>2068</v>
      </c>
      <c r="AG120" s="293"/>
      <c r="AH120" s="293"/>
      <c r="AI120" s="293"/>
      <c r="AJ120" s="293"/>
      <c r="AK120" s="293"/>
      <c r="AL120" s="293"/>
      <c r="AM120" s="293"/>
      <c r="AN120" s="293"/>
      <c r="AO120" s="293"/>
      <c r="AP120" s="293"/>
      <c r="AQ120" s="293"/>
      <c r="AR120" s="293"/>
      <c r="AS120" s="293"/>
    </row>
    <row r="121" spans="1:48" ht="15.75" x14ac:dyDescent="0.25">
      <c r="A121" s="64">
        <f>A71</f>
        <v>46054</v>
      </c>
      <c r="B121" s="26">
        <f t="shared" si="54"/>
        <v>2068</v>
      </c>
      <c r="C121" s="26">
        <f>P71</f>
        <v>502</v>
      </c>
      <c r="D121" s="26">
        <f t="shared" ref="D121" si="60">B121-C121</f>
        <v>1566</v>
      </c>
      <c r="E121" s="26">
        <v>0</v>
      </c>
      <c r="F121" s="66" t="s">
        <v>51</v>
      </c>
      <c r="G121" s="26">
        <f t="shared" ref="G121" si="61">D121+E121</f>
        <v>1566</v>
      </c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W121" s="161" t="b">
        <f t="shared" ref="W121" si="62">SUM(A121:U121)=SUM(Y121:AS121)</f>
        <v>1</v>
      </c>
      <c r="Y121" s="64">
        <v>46054</v>
      </c>
      <c r="Z121" s="26">
        <v>2068</v>
      </c>
      <c r="AA121" s="26">
        <v>502</v>
      </c>
      <c r="AB121" s="26">
        <v>1566</v>
      </c>
      <c r="AC121" s="26">
        <v>0</v>
      </c>
      <c r="AD121" s="66" t="s">
        <v>51</v>
      </c>
      <c r="AE121" s="26">
        <v>1566</v>
      </c>
      <c r="AG121" s="293"/>
      <c r="AH121" s="293"/>
      <c r="AI121" s="293"/>
      <c r="AJ121" s="293"/>
      <c r="AK121" s="293"/>
      <c r="AL121" s="293"/>
      <c r="AM121" s="293"/>
      <c r="AN121" s="293"/>
      <c r="AO121" s="293"/>
      <c r="AP121" s="293"/>
      <c r="AQ121" s="293"/>
      <c r="AR121" s="293"/>
      <c r="AS121" s="293"/>
    </row>
    <row r="122" spans="1:48" ht="15.75" x14ac:dyDescent="0.25">
      <c r="A122" s="64">
        <f>A78</f>
        <v>46082</v>
      </c>
      <c r="B122" s="26">
        <f t="shared" si="54"/>
        <v>1566</v>
      </c>
      <c r="C122" s="26">
        <f>P78</f>
        <v>501</v>
      </c>
      <c r="D122" s="26">
        <f t="shared" ref="D122" si="63">B122-C122</f>
        <v>1065</v>
      </c>
      <c r="E122" s="26">
        <v>0</v>
      </c>
      <c r="F122" s="66" t="s">
        <v>51</v>
      </c>
      <c r="G122" s="26">
        <f t="shared" ref="G122" si="64">D122+E122</f>
        <v>1065</v>
      </c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W122" s="161" t="b">
        <f t="shared" ref="W122" si="65">SUM(A122:U122)=SUM(Y122:AS122)</f>
        <v>1</v>
      </c>
      <c r="Y122" s="64">
        <v>46082</v>
      </c>
      <c r="Z122" s="26">
        <v>1566</v>
      </c>
      <c r="AA122" s="26">
        <v>501</v>
      </c>
      <c r="AB122" s="26">
        <v>1065</v>
      </c>
      <c r="AC122" s="26">
        <v>0</v>
      </c>
      <c r="AD122" s="66" t="s">
        <v>51</v>
      </c>
      <c r="AE122" s="26">
        <v>1065</v>
      </c>
      <c r="AG122" s="293"/>
      <c r="AH122" s="293"/>
      <c r="AI122" s="293"/>
      <c r="AJ122" s="293"/>
      <c r="AK122" s="293"/>
      <c r="AL122" s="293"/>
      <c r="AM122" s="293"/>
      <c r="AN122" s="293"/>
      <c r="AO122" s="293"/>
      <c r="AP122" s="293"/>
      <c r="AQ122" s="293"/>
      <c r="AR122" s="293"/>
      <c r="AS122" s="293"/>
    </row>
    <row r="123" spans="1:48" ht="15.75" x14ac:dyDescent="0.25">
      <c r="A123" s="64">
        <f>A85</f>
        <v>46113</v>
      </c>
      <c r="B123" s="26">
        <f t="shared" si="54"/>
        <v>1065</v>
      </c>
      <c r="C123" s="26">
        <f>P85</f>
        <v>538</v>
      </c>
      <c r="D123" s="26">
        <f t="shared" ref="D123" si="66">B123-C123</f>
        <v>527</v>
      </c>
      <c r="E123" s="26">
        <v>0</v>
      </c>
      <c r="F123" s="66" t="s">
        <v>51</v>
      </c>
      <c r="G123" s="26">
        <f t="shared" ref="G123" si="67">D123+E123</f>
        <v>527</v>
      </c>
      <c r="H123" s="404" t="s">
        <v>448</v>
      </c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W123" s="161" t="b">
        <f t="shared" ref="W123" si="68">SUM(A123:U123)=SUM(Y123:AS123)</f>
        <v>1</v>
      </c>
      <c r="Y123" s="64">
        <v>46113</v>
      </c>
      <c r="Z123" s="26">
        <v>1065</v>
      </c>
      <c r="AA123" s="26">
        <v>538</v>
      </c>
      <c r="AB123" s="26">
        <v>527</v>
      </c>
      <c r="AC123" s="26">
        <v>0</v>
      </c>
      <c r="AD123" s="66" t="s">
        <v>51</v>
      </c>
      <c r="AE123" s="26">
        <v>527</v>
      </c>
      <c r="AF123" s="404" t="s">
        <v>448</v>
      </c>
      <c r="AG123" s="294"/>
      <c r="AH123" s="294"/>
      <c r="AI123" s="294"/>
      <c r="AJ123" s="294"/>
      <c r="AK123" s="294"/>
      <c r="AL123" s="294"/>
      <c r="AM123" s="294"/>
      <c r="AN123" s="294"/>
      <c r="AO123" s="294"/>
      <c r="AP123" s="294"/>
      <c r="AQ123" s="294"/>
      <c r="AR123" s="294"/>
      <c r="AS123" s="294"/>
    </row>
    <row r="124" spans="1:48" x14ac:dyDescent="0.25">
      <c r="W124" s="161" t="s">
        <v>536</v>
      </c>
    </row>
    <row r="125" spans="1:48" x14ac:dyDescent="0.25">
      <c r="W125" s="161" t="s">
        <v>536</v>
      </c>
    </row>
    <row r="126" spans="1:48" x14ac:dyDescent="0.25">
      <c r="A126" s="952" t="s">
        <v>531</v>
      </c>
      <c r="B126" s="952"/>
      <c r="C126" s="952"/>
      <c r="D126" s="952"/>
      <c r="E126" s="952"/>
      <c r="F126" s="952"/>
      <c r="G126" s="952"/>
      <c r="H126" s="952"/>
      <c r="I126" s="952"/>
      <c r="J126" s="952"/>
      <c r="K126" s="952"/>
      <c r="L126" s="952"/>
      <c r="M126" s="952"/>
      <c r="W126" s="161" t="s">
        <v>536</v>
      </c>
    </row>
    <row r="127" spans="1:48" x14ac:dyDescent="0.25">
      <c r="A127" s="70" t="s">
        <v>237</v>
      </c>
      <c r="B127" s="71"/>
      <c r="C127" s="120"/>
      <c r="D127" s="71"/>
      <c r="F127" s="70" t="s">
        <v>238</v>
      </c>
      <c r="G127" s="71"/>
      <c r="H127" s="120"/>
      <c r="I127" s="71"/>
      <c r="J127" s="71"/>
      <c r="W127" s="161" t="s">
        <v>536</v>
      </c>
      <c r="Y127" s="70" t="s">
        <v>237</v>
      </c>
      <c r="Z127" s="71"/>
      <c r="AA127" s="120"/>
      <c r="AB127" s="71"/>
      <c r="AD127" s="70" t="s">
        <v>238</v>
      </c>
      <c r="AE127" s="71"/>
      <c r="AF127" s="120"/>
      <c r="AG127" s="71"/>
      <c r="AH127" s="71"/>
    </row>
    <row r="128" spans="1:48" s="61" customFormat="1" ht="45" x14ac:dyDescent="0.25">
      <c r="A128" s="102" t="s">
        <v>42</v>
      </c>
      <c r="B128" s="103" t="s">
        <v>70</v>
      </c>
      <c r="C128" s="159" t="s">
        <v>198</v>
      </c>
      <c r="D128" s="160" t="s">
        <v>71</v>
      </c>
      <c r="F128" s="102" t="s">
        <v>42</v>
      </c>
      <c r="G128" s="104" t="s">
        <v>70</v>
      </c>
      <c r="H128" s="105" t="s">
        <v>218</v>
      </c>
      <c r="I128" s="105" t="s">
        <v>219</v>
      </c>
      <c r="J128" s="106" t="s">
        <v>71</v>
      </c>
      <c r="L128" s="952" t="s">
        <v>538</v>
      </c>
      <c r="M128" s="952"/>
      <c r="N128" s="952"/>
      <c r="O128" s="952"/>
      <c r="P128" s="952"/>
      <c r="Q128" s="952"/>
      <c r="R128" s="952"/>
      <c r="S128" s="952"/>
      <c r="T128" s="952"/>
      <c r="U128" s="952"/>
      <c r="V128" s="955"/>
      <c r="W128" s="161" t="s">
        <v>536</v>
      </c>
      <c r="X128" s="161"/>
      <c r="Y128" s="102" t="s">
        <v>42</v>
      </c>
      <c r="Z128" s="103" t="s">
        <v>70</v>
      </c>
      <c r="AA128" s="159" t="s">
        <v>198</v>
      </c>
      <c r="AB128" s="160" t="s">
        <v>71</v>
      </c>
      <c r="AD128" s="102" t="s">
        <v>42</v>
      </c>
      <c r="AE128" s="104" t="s">
        <v>70</v>
      </c>
      <c r="AF128" s="105" t="s">
        <v>218</v>
      </c>
      <c r="AG128" s="105" t="s">
        <v>219</v>
      </c>
      <c r="AH128" s="106" t="s">
        <v>71</v>
      </c>
      <c r="AJ128"/>
      <c r="AK128"/>
      <c r="AL128" s="63"/>
      <c r="AM128"/>
      <c r="AN128"/>
      <c r="AO128"/>
      <c r="AP128"/>
      <c r="AQ128"/>
      <c r="AR128"/>
      <c r="AS128"/>
      <c r="AT128"/>
      <c r="AU128"/>
      <c r="AV128"/>
    </row>
    <row r="129" spans="1:34" ht="15.75" x14ac:dyDescent="0.25">
      <c r="A129" s="64">
        <f>A8</f>
        <v>45778</v>
      </c>
      <c r="B129" s="26">
        <f>L8</f>
        <v>610</v>
      </c>
      <c r="C129" s="26">
        <f t="shared" ref="C129:C140" si="69">E94</f>
        <v>150</v>
      </c>
      <c r="D129" s="26">
        <f t="shared" ref="D129:D134" si="70">B129-C129</f>
        <v>460</v>
      </c>
      <c r="F129" s="64">
        <f>A8</f>
        <v>45778</v>
      </c>
      <c r="G129" s="26">
        <f>D8</f>
        <v>722</v>
      </c>
      <c r="H129" s="26">
        <f>LANÇTºS!C11</f>
        <v>65</v>
      </c>
      <c r="I129" s="26">
        <v>0</v>
      </c>
      <c r="J129" s="26">
        <f>G129-H129-I129</f>
        <v>657</v>
      </c>
      <c r="L129" s="953" t="s">
        <v>539</v>
      </c>
      <c r="M129" s="986"/>
      <c r="N129" s="986"/>
      <c r="O129" s="986"/>
      <c r="P129" s="986"/>
      <c r="Q129" s="986"/>
      <c r="R129" s="986"/>
      <c r="S129" s="986"/>
      <c r="T129" s="986"/>
      <c r="U129" s="986"/>
      <c r="V129" s="986"/>
      <c r="W129" s="161" t="b">
        <f t="shared" ref="W129:W137" si="71">SUM(A129:U129)=SUM(Y129:AS129)</f>
        <v>1</v>
      </c>
      <c r="Y129" s="64">
        <v>45778</v>
      </c>
      <c r="Z129" s="26">
        <v>610</v>
      </c>
      <c r="AA129" s="26">
        <v>150</v>
      </c>
      <c r="AB129" s="26">
        <v>460</v>
      </c>
      <c r="AD129" s="64">
        <v>45778</v>
      </c>
      <c r="AE129" s="26">
        <v>722</v>
      </c>
      <c r="AF129" s="26">
        <v>65</v>
      </c>
      <c r="AG129" s="26">
        <v>0</v>
      </c>
      <c r="AH129" s="26">
        <v>657</v>
      </c>
    </row>
    <row r="130" spans="1:34" ht="15.75" x14ac:dyDescent="0.25">
      <c r="A130" s="64">
        <f>A15</f>
        <v>45809</v>
      </c>
      <c r="B130" s="26">
        <f>L15</f>
        <v>647</v>
      </c>
      <c r="C130" s="26">
        <f t="shared" si="69"/>
        <v>150</v>
      </c>
      <c r="D130" s="26">
        <f t="shared" si="70"/>
        <v>497</v>
      </c>
      <c r="F130" s="64">
        <f>A15</f>
        <v>45809</v>
      </c>
      <c r="G130" s="26">
        <f>D15</f>
        <v>806</v>
      </c>
      <c r="H130" s="26">
        <f>LANÇTºS!G11</f>
        <v>65</v>
      </c>
      <c r="I130" s="26">
        <f>LANÇTºS!G26</f>
        <v>638.94000000000005</v>
      </c>
      <c r="J130" s="26">
        <f t="shared" ref="J130:J132" si="72">G130-H130-I130</f>
        <v>102.05999999999995</v>
      </c>
      <c r="W130" s="161" t="b">
        <f t="shared" si="71"/>
        <v>1</v>
      </c>
      <c r="Y130" s="64">
        <v>45809</v>
      </c>
      <c r="Z130" s="26">
        <v>647</v>
      </c>
      <c r="AA130" s="26">
        <v>150</v>
      </c>
      <c r="AB130" s="26">
        <v>497</v>
      </c>
      <c r="AD130" s="64">
        <v>45809</v>
      </c>
      <c r="AE130" s="26">
        <v>806</v>
      </c>
      <c r="AF130" s="26">
        <v>65</v>
      </c>
      <c r="AG130" s="26">
        <v>638.94000000000005</v>
      </c>
      <c r="AH130" s="26">
        <v>102.05999999999995</v>
      </c>
    </row>
    <row r="131" spans="1:34" ht="15.75" x14ac:dyDescent="0.25">
      <c r="A131" s="64">
        <f>A22</f>
        <v>45839</v>
      </c>
      <c r="B131" s="26">
        <f>L22</f>
        <v>561</v>
      </c>
      <c r="C131" s="26">
        <f t="shared" si="69"/>
        <v>150</v>
      </c>
      <c r="D131" s="26">
        <f t="shared" si="70"/>
        <v>411</v>
      </c>
      <c r="F131" s="64">
        <f>A22</f>
        <v>45839</v>
      </c>
      <c r="G131" s="26">
        <f>D22</f>
        <v>806</v>
      </c>
      <c r="H131" s="26">
        <f>LANÇTºS!K11</f>
        <v>65</v>
      </c>
      <c r="I131" s="26">
        <v>0</v>
      </c>
      <c r="J131" s="26">
        <f t="shared" si="72"/>
        <v>741</v>
      </c>
      <c r="W131" s="161" t="b">
        <f t="shared" si="71"/>
        <v>1</v>
      </c>
      <c r="Y131" s="64">
        <v>45839</v>
      </c>
      <c r="Z131" s="26">
        <v>561</v>
      </c>
      <c r="AA131" s="26">
        <v>150</v>
      </c>
      <c r="AB131" s="26">
        <v>411</v>
      </c>
      <c r="AD131" s="64">
        <v>45839</v>
      </c>
      <c r="AE131" s="26">
        <v>806</v>
      </c>
      <c r="AF131" s="26">
        <v>65</v>
      </c>
      <c r="AG131" s="26">
        <v>0</v>
      </c>
      <c r="AH131" s="26">
        <v>741</v>
      </c>
    </row>
    <row r="132" spans="1:34" ht="15.75" x14ac:dyDescent="0.25">
      <c r="A132" s="64">
        <f>A29</f>
        <v>45870</v>
      </c>
      <c r="B132" s="26">
        <f>L29</f>
        <v>487</v>
      </c>
      <c r="C132" s="26">
        <f t="shared" si="69"/>
        <v>150</v>
      </c>
      <c r="D132" s="26">
        <f t="shared" si="70"/>
        <v>337</v>
      </c>
      <c r="F132" s="64">
        <f>A29</f>
        <v>45870</v>
      </c>
      <c r="G132" s="26">
        <f>D29</f>
        <v>618</v>
      </c>
      <c r="H132" s="26">
        <f>LANÇTºS!O11</f>
        <v>65</v>
      </c>
      <c r="I132" s="26">
        <v>0</v>
      </c>
      <c r="J132" s="26">
        <f t="shared" si="72"/>
        <v>553</v>
      </c>
      <c r="W132" s="161" t="b">
        <f t="shared" si="71"/>
        <v>1</v>
      </c>
      <c r="Y132" s="64">
        <v>45870</v>
      </c>
      <c r="Z132" s="26">
        <v>487</v>
      </c>
      <c r="AA132" s="26">
        <v>150</v>
      </c>
      <c r="AB132" s="26">
        <v>337</v>
      </c>
      <c r="AD132" s="64">
        <v>45870</v>
      </c>
      <c r="AE132" s="26">
        <v>618</v>
      </c>
      <c r="AF132" s="26">
        <v>65</v>
      </c>
      <c r="AG132" s="26">
        <v>0</v>
      </c>
      <c r="AH132" s="26">
        <v>553</v>
      </c>
    </row>
    <row r="133" spans="1:34" ht="15.75" x14ac:dyDescent="0.25">
      <c r="A133" s="64">
        <f>A36</f>
        <v>45901</v>
      </c>
      <c r="B133" s="26">
        <f>L36</f>
        <v>581</v>
      </c>
      <c r="C133" s="26">
        <f t="shared" si="69"/>
        <v>150</v>
      </c>
      <c r="D133" s="26">
        <f t="shared" si="70"/>
        <v>431</v>
      </c>
      <c r="F133" s="64">
        <f>A36</f>
        <v>45901</v>
      </c>
      <c r="G133" s="26">
        <f>D36</f>
        <v>780</v>
      </c>
      <c r="H133" s="26">
        <f>LANÇTºS!S11</f>
        <v>65</v>
      </c>
      <c r="I133" s="26">
        <v>0</v>
      </c>
      <c r="J133" s="26">
        <f t="shared" ref="J133" si="73">G133-H133-I133</f>
        <v>715</v>
      </c>
      <c r="W133" s="161" t="b">
        <f t="shared" si="71"/>
        <v>1</v>
      </c>
      <c r="Y133" s="64">
        <v>45901</v>
      </c>
      <c r="Z133" s="26">
        <v>581</v>
      </c>
      <c r="AA133" s="26">
        <v>150</v>
      </c>
      <c r="AB133" s="26">
        <v>431</v>
      </c>
      <c r="AD133" s="64">
        <v>45901</v>
      </c>
      <c r="AE133" s="26">
        <v>780</v>
      </c>
      <c r="AF133" s="26">
        <v>65</v>
      </c>
      <c r="AG133" s="26">
        <v>0</v>
      </c>
      <c r="AH133" s="26">
        <v>715</v>
      </c>
    </row>
    <row r="134" spans="1:34" ht="15.75" x14ac:dyDescent="0.25">
      <c r="A134" s="64">
        <f>A43</f>
        <v>45931</v>
      </c>
      <c r="B134" s="26">
        <f>L43</f>
        <v>534</v>
      </c>
      <c r="C134" s="26">
        <f t="shared" si="69"/>
        <v>150</v>
      </c>
      <c r="D134" s="26">
        <f t="shared" si="70"/>
        <v>384</v>
      </c>
      <c r="F134" s="64">
        <f>A43</f>
        <v>45931</v>
      </c>
      <c r="G134" s="26">
        <f>D43</f>
        <v>729</v>
      </c>
      <c r="H134" s="26">
        <f>LANÇTºS!W11</f>
        <v>65</v>
      </c>
      <c r="I134" s="26">
        <v>0</v>
      </c>
      <c r="J134" s="26">
        <f t="shared" ref="J134" si="74">G134-H134-I134</f>
        <v>664</v>
      </c>
      <c r="W134" s="161" t="b">
        <f t="shared" si="71"/>
        <v>1</v>
      </c>
      <c r="Y134" s="64">
        <v>45931</v>
      </c>
      <c r="Z134" s="26">
        <v>534</v>
      </c>
      <c r="AA134" s="26">
        <v>150</v>
      </c>
      <c r="AB134" s="26">
        <v>384</v>
      </c>
      <c r="AD134" s="64">
        <v>45931</v>
      </c>
      <c r="AE134" s="26">
        <v>729</v>
      </c>
      <c r="AF134" s="26">
        <v>65</v>
      </c>
      <c r="AG134" s="26">
        <v>0</v>
      </c>
      <c r="AH134" s="26">
        <v>664</v>
      </c>
    </row>
    <row r="135" spans="1:34" ht="15.75" x14ac:dyDescent="0.25">
      <c r="A135" s="64">
        <f>A50</f>
        <v>45962</v>
      </c>
      <c r="B135" s="26">
        <f>L50</f>
        <v>496</v>
      </c>
      <c r="C135" s="26">
        <f t="shared" si="69"/>
        <v>150</v>
      </c>
      <c r="D135" s="26">
        <f t="shared" ref="D135" si="75">B135-C135</f>
        <v>346</v>
      </c>
      <c r="F135" s="64">
        <f>A50</f>
        <v>45962</v>
      </c>
      <c r="G135" s="26">
        <f>D50</f>
        <v>679</v>
      </c>
      <c r="H135" s="26">
        <f>LANÇTºS!AA11</f>
        <v>65</v>
      </c>
      <c r="I135" s="26">
        <v>0</v>
      </c>
      <c r="J135" s="26">
        <f t="shared" ref="J135" si="76">G135-H135-I135</f>
        <v>614</v>
      </c>
      <c r="W135" s="161" t="b">
        <f t="shared" si="71"/>
        <v>1</v>
      </c>
      <c r="Y135" s="64">
        <v>45962</v>
      </c>
      <c r="Z135" s="26">
        <v>496</v>
      </c>
      <c r="AA135" s="26">
        <v>150</v>
      </c>
      <c r="AB135" s="26">
        <v>346</v>
      </c>
      <c r="AD135" s="64">
        <v>45962</v>
      </c>
      <c r="AE135" s="26">
        <v>679</v>
      </c>
      <c r="AF135" s="26">
        <v>65</v>
      </c>
      <c r="AG135" s="26">
        <v>0</v>
      </c>
      <c r="AH135" s="26">
        <v>614</v>
      </c>
    </row>
    <row r="136" spans="1:34" ht="15.75" x14ac:dyDescent="0.25">
      <c r="A136" s="64">
        <f>A57</f>
        <v>45992</v>
      </c>
      <c r="B136" s="26">
        <f>L57</f>
        <v>516</v>
      </c>
      <c r="C136" s="26">
        <f t="shared" si="69"/>
        <v>150</v>
      </c>
      <c r="D136" s="26">
        <f t="shared" ref="D136" si="77">B136-C136</f>
        <v>366</v>
      </c>
      <c r="F136" s="64">
        <f>A57</f>
        <v>45992</v>
      </c>
      <c r="G136" s="26">
        <f>D57</f>
        <v>725</v>
      </c>
      <c r="H136" s="26">
        <f>LANÇTºS!AE11</f>
        <v>65</v>
      </c>
      <c r="I136" s="26">
        <v>0</v>
      </c>
      <c r="J136" s="26">
        <f t="shared" ref="J136" si="78">G136-H136-I136</f>
        <v>660</v>
      </c>
      <c r="W136" s="161" t="b">
        <f t="shared" si="71"/>
        <v>1</v>
      </c>
      <c r="Y136" s="64">
        <v>45992</v>
      </c>
      <c r="Z136" s="26">
        <v>516</v>
      </c>
      <c r="AA136" s="26">
        <v>150</v>
      </c>
      <c r="AB136" s="26">
        <v>366</v>
      </c>
      <c r="AD136" s="64">
        <v>45992</v>
      </c>
      <c r="AE136" s="26">
        <v>725</v>
      </c>
      <c r="AF136" s="26">
        <v>65</v>
      </c>
      <c r="AG136" s="26">
        <v>0</v>
      </c>
      <c r="AH136" s="26">
        <v>660</v>
      </c>
    </row>
    <row r="137" spans="1:34" ht="15.75" x14ac:dyDescent="0.25">
      <c r="A137" s="64">
        <f>A64</f>
        <v>46023</v>
      </c>
      <c r="B137" s="26">
        <f>L64</f>
        <v>532</v>
      </c>
      <c r="C137" s="26">
        <f t="shared" si="69"/>
        <v>150</v>
      </c>
      <c r="D137" s="26">
        <f t="shared" ref="D137" si="79">B137-C137</f>
        <v>382</v>
      </c>
      <c r="F137" s="64">
        <f>A64</f>
        <v>46023</v>
      </c>
      <c r="G137" s="26">
        <f>D64</f>
        <v>655</v>
      </c>
      <c r="H137" s="26">
        <f>LANÇTºS!AI11</f>
        <v>65</v>
      </c>
      <c r="I137" s="26">
        <v>0</v>
      </c>
      <c r="J137" s="26">
        <f t="shared" ref="J137" si="80">G137-H137-I137</f>
        <v>590</v>
      </c>
      <c r="W137" s="161" t="b">
        <f t="shared" si="71"/>
        <v>1</v>
      </c>
      <c r="Y137" s="64">
        <v>46023</v>
      </c>
      <c r="Z137" s="26">
        <v>532</v>
      </c>
      <c r="AA137" s="26">
        <v>150</v>
      </c>
      <c r="AB137" s="26">
        <v>382</v>
      </c>
      <c r="AD137" s="64">
        <v>46023</v>
      </c>
      <c r="AE137" s="26">
        <v>655</v>
      </c>
      <c r="AF137" s="26">
        <v>65</v>
      </c>
      <c r="AG137" s="26">
        <v>0</v>
      </c>
      <c r="AH137" s="26">
        <v>590</v>
      </c>
    </row>
    <row r="138" spans="1:34" ht="15.75" x14ac:dyDescent="0.25">
      <c r="A138" s="64">
        <f>A71</f>
        <v>46054</v>
      </c>
      <c r="B138" s="26">
        <f>L71</f>
        <v>515</v>
      </c>
      <c r="C138" s="26">
        <f t="shared" si="69"/>
        <v>150</v>
      </c>
      <c r="D138" s="26">
        <f t="shared" ref="D138" si="81">B138-C138</f>
        <v>365</v>
      </c>
      <c r="F138" s="64">
        <f>A71</f>
        <v>46054</v>
      </c>
      <c r="G138" s="26">
        <f>D71</f>
        <v>602</v>
      </c>
      <c r="H138" s="26">
        <f>LANÇTºS!AM11</f>
        <v>65</v>
      </c>
      <c r="I138" s="26">
        <v>0</v>
      </c>
      <c r="J138" s="26">
        <f t="shared" ref="J138" si="82">G138-H138-I138</f>
        <v>537</v>
      </c>
      <c r="W138" s="161" t="b">
        <f t="shared" ref="W138" si="83">SUM(A138:U138)=SUM(Y138:AS138)</f>
        <v>1</v>
      </c>
      <c r="Y138" s="64">
        <v>46054</v>
      </c>
      <c r="Z138" s="26">
        <v>515</v>
      </c>
      <c r="AA138" s="26">
        <v>150</v>
      </c>
      <c r="AB138" s="26">
        <v>365</v>
      </c>
      <c r="AD138" s="64">
        <v>46054</v>
      </c>
      <c r="AE138" s="26">
        <v>602</v>
      </c>
      <c r="AF138" s="26">
        <v>65</v>
      </c>
      <c r="AG138" s="26">
        <v>0</v>
      </c>
      <c r="AH138" s="26">
        <v>537</v>
      </c>
    </row>
    <row r="139" spans="1:34" ht="15.75" x14ac:dyDescent="0.25">
      <c r="A139" s="64">
        <f>A78</f>
        <v>46082</v>
      </c>
      <c r="B139" s="26">
        <f>L78</f>
        <v>497</v>
      </c>
      <c r="C139" s="26">
        <f t="shared" si="69"/>
        <v>150</v>
      </c>
      <c r="D139" s="26">
        <f t="shared" ref="D139" si="84">B139-C139</f>
        <v>347</v>
      </c>
      <c r="F139" s="64">
        <f>A78</f>
        <v>46082</v>
      </c>
      <c r="G139" s="26">
        <f>D78</f>
        <v>626</v>
      </c>
      <c r="H139" s="26">
        <f>LANÇTºS!AQ11</f>
        <v>65</v>
      </c>
      <c r="I139" s="26">
        <v>0</v>
      </c>
      <c r="J139" s="26">
        <f t="shared" ref="J139" si="85">G139-H139-I139</f>
        <v>561</v>
      </c>
      <c r="W139" s="161" t="b">
        <f t="shared" ref="W139" si="86">SUM(A139:U139)=SUM(Y139:AS139)</f>
        <v>1</v>
      </c>
      <c r="Y139" s="64">
        <v>46082</v>
      </c>
      <c r="Z139" s="26">
        <v>497</v>
      </c>
      <c r="AA139" s="26">
        <v>150</v>
      </c>
      <c r="AB139" s="26">
        <v>347</v>
      </c>
      <c r="AD139" s="64">
        <v>46082</v>
      </c>
      <c r="AE139" s="26">
        <v>626</v>
      </c>
      <c r="AF139" s="26">
        <v>65</v>
      </c>
      <c r="AG139" s="26">
        <v>0</v>
      </c>
      <c r="AH139" s="26">
        <v>561</v>
      </c>
    </row>
    <row r="140" spans="1:34" ht="15.75" x14ac:dyDescent="0.25">
      <c r="A140" s="64">
        <f>A85</f>
        <v>46113</v>
      </c>
      <c r="B140" s="26">
        <f>L85</f>
        <v>536</v>
      </c>
      <c r="C140" s="26">
        <f t="shared" si="69"/>
        <v>150</v>
      </c>
      <c r="D140" s="26">
        <f t="shared" ref="D140" si="87">B140-C140</f>
        <v>386</v>
      </c>
      <c r="F140" s="64">
        <f>A85</f>
        <v>46113</v>
      </c>
      <c r="G140" s="26">
        <f>D85</f>
        <v>745</v>
      </c>
      <c r="H140" s="26">
        <f>LANÇTºS!AU11</f>
        <v>65</v>
      </c>
      <c r="I140" s="26">
        <v>0</v>
      </c>
      <c r="J140" s="26">
        <f t="shared" ref="J140" si="88">G140-H140-I140</f>
        <v>680</v>
      </c>
      <c r="W140" s="161" t="b">
        <f t="shared" ref="W140" si="89">SUM(A140:U140)=SUM(Y140:AS140)</f>
        <v>1</v>
      </c>
      <c r="Y140" s="64">
        <v>46113</v>
      </c>
      <c r="Z140" s="26">
        <v>536</v>
      </c>
      <c r="AA140" s="26">
        <v>150</v>
      </c>
      <c r="AB140" s="26">
        <v>386</v>
      </c>
      <c r="AD140" s="64">
        <v>46113</v>
      </c>
      <c r="AE140" s="26">
        <v>745</v>
      </c>
      <c r="AF140" s="26">
        <v>65</v>
      </c>
      <c r="AG140" s="26">
        <v>0</v>
      </c>
      <c r="AH140" s="26">
        <v>680</v>
      </c>
    </row>
    <row r="144" spans="1:34" x14ac:dyDescent="0.25">
      <c r="A144" s="110" t="s">
        <v>346</v>
      </c>
    </row>
    <row r="145" spans="1:42" x14ac:dyDescent="0.25">
      <c r="A145" s="6"/>
      <c r="B145" s="6"/>
      <c r="C145" s="188"/>
      <c r="D145" s="6"/>
      <c r="E145" s="6"/>
      <c r="F145" s="6"/>
      <c r="G145" s="6"/>
    </row>
    <row r="146" spans="1:42" x14ac:dyDescent="0.25">
      <c r="A146" s="107" t="s">
        <v>220</v>
      </c>
      <c r="B146" s="69"/>
      <c r="C146" s="69"/>
      <c r="D146" s="189">
        <f>H140</f>
        <v>65</v>
      </c>
      <c r="E146" s="69"/>
      <c r="F146" s="69"/>
      <c r="G146" s="108"/>
    </row>
    <row r="147" spans="1:42" x14ac:dyDescent="0.25">
      <c r="A147" s="82"/>
      <c r="B147" s="82"/>
      <c r="C147" s="153"/>
      <c r="D147" s="82"/>
      <c r="E147" s="82"/>
      <c r="F147" s="82"/>
      <c r="G147" s="82"/>
    </row>
    <row r="149" spans="1:42" x14ac:dyDescent="0.25">
      <c r="A149" s="154"/>
      <c r="B149" s="154"/>
      <c r="C149" s="155"/>
      <c r="D149" s="154"/>
      <c r="E149" s="154"/>
      <c r="F149" s="154"/>
      <c r="G149" s="154"/>
    </row>
    <row r="151" spans="1:42" x14ac:dyDescent="0.25">
      <c r="A151" s="110" t="s">
        <v>347</v>
      </c>
    </row>
    <row r="152" spans="1:42" x14ac:dyDescent="0.25">
      <c r="A152" s="154"/>
      <c r="B152" s="154"/>
      <c r="C152" s="155"/>
      <c r="D152" s="154"/>
      <c r="E152" s="154"/>
      <c r="F152" s="154"/>
      <c r="G152" s="154"/>
    </row>
    <row r="153" spans="1:42" x14ac:dyDescent="0.25">
      <c r="A153" s="74" t="s">
        <v>221</v>
      </c>
      <c r="B153" s="75"/>
      <c r="C153" s="75"/>
      <c r="D153" s="75"/>
      <c r="E153" s="190">
        <f>C140</f>
        <v>150</v>
      </c>
      <c r="F153" s="75"/>
      <c r="G153" s="76"/>
    </row>
    <row r="154" spans="1:42" x14ac:dyDescent="0.25">
      <c r="A154" s="77" t="s">
        <v>215</v>
      </c>
      <c r="B154" s="109"/>
      <c r="C154" s="78"/>
      <c r="D154" s="191">
        <f>D140</f>
        <v>386</v>
      </c>
      <c r="E154" s="78"/>
      <c r="F154" s="78"/>
      <c r="G154" s="79"/>
    </row>
    <row r="156" spans="1:42" x14ac:dyDescent="0.25">
      <c r="A156" s="952" t="s">
        <v>538</v>
      </c>
      <c r="B156" s="986"/>
      <c r="C156" s="987"/>
      <c r="D156" s="986"/>
      <c r="E156" s="986"/>
      <c r="F156" s="986"/>
      <c r="G156" s="986"/>
      <c r="H156" s="986"/>
      <c r="I156" s="986"/>
      <c r="J156" s="986"/>
      <c r="K156" s="986"/>
      <c r="L156" s="986"/>
      <c r="M156" s="986"/>
      <c r="N156" s="986"/>
      <c r="P156" s="221" t="s">
        <v>390</v>
      </c>
      <c r="Q156" s="221"/>
      <c r="R156" s="221"/>
      <c r="S156" s="221"/>
      <c r="T156" s="221"/>
      <c r="U156" s="221"/>
      <c r="V156" s="956"/>
      <c r="W156" s="956"/>
      <c r="X156" s="956"/>
      <c r="AP156" s="63"/>
    </row>
    <row r="157" spans="1:42" x14ac:dyDescent="0.25">
      <c r="A157" s="953" t="s">
        <v>539</v>
      </c>
      <c r="B157" s="952"/>
      <c r="C157" s="952"/>
      <c r="D157" s="952"/>
      <c r="E157" s="952"/>
      <c r="F157" s="952"/>
      <c r="G157" s="952"/>
      <c r="H157" s="952"/>
      <c r="I157" s="952"/>
      <c r="J157" s="952"/>
      <c r="K157" s="952"/>
      <c r="L157" s="952"/>
      <c r="M157" s="952"/>
      <c r="N157" s="986"/>
    </row>
    <row r="158" spans="1:42" x14ac:dyDescent="0.25">
      <c r="A158" s="70" t="s">
        <v>37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Y158" s="70" t="s">
        <v>37</v>
      </c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</row>
    <row r="159" spans="1:42" x14ac:dyDescent="0.25">
      <c r="A159" s="198" t="s">
        <v>354</v>
      </c>
      <c r="B159" s="199" t="s">
        <v>348</v>
      </c>
      <c r="C159" s="196"/>
      <c r="D159" s="199" t="s">
        <v>350</v>
      </c>
      <c r="E159" s="196"/>
      <c r="F159" s="199" t="s">
        <v>54</v>
      </c>
      <c r="G159" s="197"/>
      <c r="H159" s="196"/>
      <c r="I159" s="268" t="s">
        <v>225</v>
      </c>
      <c r="J159" s="269"/>
      <c r="K159" s="200" t="s">
        <v>353</v>
      </c>
      <c r="Y159" s="198" t="s">
        <v>354</v>
      </c>
      <c r="Z159" s="199" t="s">
        <v>348</v>
      </c>
      <c r="AA159" s="196"/>
      <c r="AB159" s="199" t="s">
        <v>350</v>
      </c>
      <c r="AC159" s="196"/>
      <c r="AD159" s="199" t="s">
        <v>54</v>
      </c>
      <c r="AE159" s="197"/>
      <c r="AF159" s="196"/>
      <c r="AG159" s="268" t="s">
        <v>225</v>
      </c>
      <c r="AH159" s="269"/>
      <c r="AI159" s="200" t="s">
        <v>353</v>
      </c>
    </row>
    <row r="160" spans="1:42" ht="45" x14ac:dyDescent="0.25">
      <c r="A160" s="195" t="s">
        <v>355</v>
      </c>
      <c r="B160" s="194" t="s">
        <v>349</v>
      </c>
      <c r="C160" s="103" t="s">
        <v>22</v>
      </c>
      <c r="D160" s="124" t="s">
        <v>351</v>
      </c>
      <c r="E160" s="103" t="s">
        <v>22</v>
      </c>
      <c r="F160" s="115" t="s">
        <v>22</v>
      </c>
      <c r="G160" s="115" t="s">
        <v>0</v>
      </c>
      <c r="H160" s="103" t="s">
        <v>352</v>
      </c>
      <c r="I160" s="115" t="s">
        <v>349</v>
      </c>
      <c r="J160" s="192" t="s">
        <v>22</v>
      </c>
      <c r="K160" s="193" t="s">
        <v>200</v>
      </c>
      <c r="Y160" s="195" t="s">
        <v>355</v>
      </c>
      <c r="Z160" s="194" t="s">
        <v>349</v>
      </c>
      <c r="AA160" s="103" t="s">
        <v>22</v>
      </c>
      <c r="AB160" s="124" t="s">
        <v>351</v>
      </c>
      <c r="AC160" s="103" t="s">
        <v>22</v>
      </c>
      <c r="AD160" s="115" t="s">
        <v>22</v>
      </c>
      <c r="AE160" s="115" t="s">
        <v>0</v>
      </c>
      <c r="AF160" s="103" t="s">
        <v>352</v>
      </c>
      <c r="AG160" s="115" t="s">
        <v>349</v>
      </c>
      <c r="AH160" s="192" t="s">
        <v>22</v>
      </c>
      <c r="AI160" s="193" t="s">
        <v>200</v>
      </c>
    </row>
    <row r="161" spans="1:45" x14ac:dyDescent="0.25">
      <c r="A161" s="64">
        <v>45778</v>
      </c>
      <c r="B161" s="66">
        <v>45747</v>
      </c>
      <c r="C161" s="68">
        <v>34179.22</v>
      </c>
      <c r="D161" s="64">
        <v>45748</v>
      </c>
      <c r="E161" s="68">
        <f>150*14</f>
        <v>2100</v>
      </c>
      <c r="F161" s="68">
        <v>0</v>
      </c>
      <c r="G161" s="66" t="s">
        <v>51</v>
      </c>
      <c r="H161" s="66" t="s">
        <v>51</v>
      </c>
      <c r="I161" s="66">
        <v>45777</v>
      </c>
      <c r="J161" s="68">
        <f>C161+E161-F161</f>
        <v>36279.22</v>
      </c>
      <c r="K161" s="116">
        <f>58066.04-J161</f>
        <v>21786.82</v>
      </c>
      <c r="W161" s="161" t="b">
        <f t="shared" ref="W161:W169" si="90">SUM(A161:U161)=SUM(Y161:AS161)</f>
        <v>1</v>
      </c>
      <c r="Y161" s="64">
        <v>45778</v>
      </c>
      <c r="Z161" s="66">
        <v>45747</v>
      </c>
      <c r="AA161" s="68">
        <v>34179.22</v>
      </c>
      <c r="AB161" s="64">
        <v>45748</v>
      </c>
      <c r="AC161" s="68">
        <v>2100</v>
      </c>
      <c r="AD161" s="68">
        <v>0</v>
      </c>
      <c r="AE161" s="66" t="s">
        <v>51</v>
      </c>
      <c r="AF161" s="66" t="s">
        <v>51</v>
      </c>
      <c r="AG161" s="66">
        <v>45777</v>
      </c>
      <c r="AH161" s="68">
        <v>36279.22</v>
      </c>
      <c r="AI161" s="116">
        <v>21786.82</v>
      </c>
    </row>
    <row r="162" spans="1:45" x14ac:dyDescent="0.25">
      <c r="A162" s="64">
        <v>45809</v>
      </c>
      <c r="B162" s="66">
        <v>45777</v>
      </c>
      <c r="C162" s="68">
        <f t="shared" ref="C162:C167" si="91">J161</f>
        <v>36279.22</v>
      </c>
      <c r="D162" s="64">
        <v>45778</v>
      </c>
      <c r="E162" s="68">
        <f>E94*14</f>
        <v>2100</v>
      </c>
      <c r="F162" s="68">
        <f>LANÇTºS!G26</f>
        <v>638.94000000000005</v>
      </c>
      <c r="G162" s="66">
        <f>LANÇTºS!H26</f>
        <v>45810</v>
      </c>
      <c r="H162" s="117" t="s">
        <v>551</v>
      </c>
      <c r="I162" s="66">
        <v>45808</v>
      </c>
      <c r="J162" s="68">
        <f t="shared" ref="J162:J164" si="92">C162+E162-F162</f>
        <v>37740.28</v>
      </c>
      <c r="K162" s="116">
        <f>61866.23-J162</f>
        <v>24125.950000000004</v>
      </c>
      <c r="W162" s="161" t="b">
        <f t="shared" si="90"/>
        <v>1</v>
      </c>
      <c r="Y162" s="64">
        <v>45809</v>
      </c>
      <c r="Z162" s="66">
        <v>45777</v>
      </c>
      <c r="AA162" s="68">
        <v>36279.22</v>
      </c>
      <c r="AB162" s="64">
        <v>45778</v>
      </c>
      <c r="AC162" s="68">
        <v>2100</v>
      </c>
      <c r="AD162" s="68">
        <v>638.94000000000005</v>
      </c>
      <c r="AE162" s="66">
        <v>45810</v>
      </c>
      <c r="AF162" s="117" t="s">
        <v>551</v>
      </c>
      <c r="AG162" s="66">
        <v>45808</v>
      </c>
      <c r="AH162" s="68">
        <v>37740.28</v>
      </c>
      <c r="AI162" s="116">
        <v>24125.950000000004</v>
      </c>
    </row>
    <row r="163" spans="1:45" x14ac:dyDescent="0.25">
      <c r="A163" s="64">
        <v>45839</v>
      </c>
      <c r="B163" s="66">
        <v>45808</v>
      </c>
      <c r="C163" s="68">
        <f t="shared" si="91"/>
        <v>37740.28</v>
      </c>
      <c r="D163" s="64">
        <v>45809</v>
      </c>
      <c r="E163" s="68">
        <f>E95*14</f>
        <v>2100</v>
      </c>
      <c r="F163" s="68">
        <f>LANÇTºS!G27</f>
        <v>5800</v>
      </c>
      <c r="G163" s="66">
        <f>LANÇTºS!H27</f>
        <v>45820</v>
      </c>
      <c r="H163" s="117" t="s">
        <v>41</v>
      </c>
      <c r="I163" s="66">
        <v>45838</v>
      </c>
      <c r="J163" s="68">
        <f t="shared" si="92"/>
        <v>34040.28</v>
      </c>
      <c r="K163" s="116">
        <f>56009.36-J163</f>
        <v>21969.08</v>
      </c>
      <c r="W163" s="161" t="b">
        <f t="shared" si="90"/>
        <v>1</v>
      </c>
      <c r="Y163" s="64">
        <v>45839</v>
      </c>
      <c r="Z163" s="66">
        <v>45808</v>
      </c>
      <c r="AA163" s="68">
        <v>37740.28</v>
      </c>
      <c r="AB163" s="64">
        <v>45809</v>
      </c>
      <c r="AC163" s="68">
        <v>2100</v>
      </c>
      <c r="AD163" s="68">
        <v>5800</v>
      </c>
      <c r="AE163" s="66">
        <v>45820</v>
      </c>
      <c r="AF163" s="117" t="s">
        <v>41</v>
      </c>
      <c r="AG163" s="66">
        <v>45838</v>
      </c>
      <c r="AH163" s="68">
        <v>34040.28</v>
      </c>
      <c r="AI163" s="116">
        <v>21969.08</v>
      </c>
    </row>
    <row r="164" spans="1:45" x14ac:dyDescent="0.25">
      <c r="A164" s="64">
        <v>45870</v>
      </c>
      <c r="B164" s="66">
        <v>45838</v>
      </c>
      <c r="C164" s="68">
        <f t="shared" si="91"/>
        <v>34040.28</v>
      </c>
      <c r="D164" s="64">
        <v>45839</v>
      </c>
      <c r="E164" s="68">
        <f>E96*14</f>
        <v>2100</v>
      </c>
      <c r="F164" s="68">
        <f>LANÇTºS!O27</f>
        <v>9982.5400000000009</v>
      </c>
      <c r="G164" s="150" t="str">
        <f>LANÇTºS!P27</f>
        <v>07 E 11/07, 11/08/25</v>
      </c>
      <c r="H164" s="117" t="s">
        <v>41</v>
      </c>
      <c r="I164" s="66">
        <v>45869</v>
      </c>
      <c r="J164" s="68">
        <f t="shared" si="92"/>
        <v>26157.739999999998</v>
      </c>
      <c r="K164" s="116">
        <f>49157.49-J164</f>
        <v>22999.75</v>
      </c>
      <c r="W164" s="161" t="b">
        <f t="shared" si="90"/>
        <v>1</v>
      </c>
      <c r="Y164" s="64">
        <v>45870</v>
      </c>
      <c r="Z164" s="66">
        <v>45838</v>
      </c>
      <c r="AA164" s="68">
        <v>34040.28</v>
      </c>
      <c r="AB164" s="64">
        <v>45839</v>
      </c>
      <c r="AC164" s="68">
        <v>2100</v>
      </c>
      <c r="AD164" s="68">
        <v>9982.5400000000009</v>
      </c>
      <c r="AE164" s="150" t="s">
        <v>267</v>
      </c>
      <c r="AF164" s="117" t="s">
        <v>41</v>
      </c>
      <c r="AG164" s="66">
        <v>45869</v>
      </c>
      <c r="AH164" s="68">
        <v>26157.739999999998</v>
      </c>
      <c r="AI164" s="116">
        <v>22999.75</v>
      </c>
    </row>
    <row r="165" spans="1:45" x14ac:dyDescent="0.25">
      <c r="A165" s="64">
        <v>45901</v>
      </c>
      <c r="B165" s="66">
        <v>45869</v>
      </c>
      <c r="C165" s="68">
        <f t="shared" si="91"/>
        <v>26157.739999999998</v>
      </c>
      <c r="D165" s="64">
        <v>45870</v>
      </c>
      <c r="E165" s="68">
        <f>E97*14</f>
        <v>2100</v>
      </c>
      <c r="F165" s="68">
        <v>0</v>
      </c>
      <c r="G165" s="66" t="s">
        <v>51</v>
      </c>
      <c r="H165" s="66" t="s">
        <v>51</v>
      </c>
      <c r="I165" s="66">
        <v>45900</v>
      </c>
      <c r="J165" s="68">
        <f t="shared" ref="J165" si="93">C165+E165-F165</f>
        <v>28257.739999999998</v>
      </c>
      <c r="K165" s="116">
        <f>49722.29-J165</f>
        <v>21464.550000000003</v>
      </c>
      <c r="N165" s="952" t="s">
        <v>538</v>
      </c>
      <c r="O165" s="952"/>
      <c r="P165" s="952"/>
      <c r="Q165" s="952"/>
      <c r="R165" s="952"/>
      <c r="S165" s="952"/>
      <c r="T165" s="952"/>
      <c r="U165" s="952"/>
      <c r="V165" s="955"/>
      <c r="W165" s="161" t="b">
        <f t="shared" si="90"/>
        <v>1</v>
      </c>
      <c r="X165" s="955"/>
      <c r="Y165" s="64">
        <v>45901</v>
      </c>
      <c r="Z165" s="66">
        <v>45869</v>
      </c>
      <c r="AA165" s="68">
        <v>26157.739999999998</v>
      </c>
      <c r="AB165" s="64">
        <v>45870</v>
      </c>
      <c r="AC165" s="68">
        <v>2100</v>
      </c>
      <c r="AD165" s="68">
        <v>0</v>
      </c>
      <c r="AE165" s="66" t="s">
        <v>51</v>
      </c>
      <c r="AF165" s="66" t="s">
        <v>51</v>
      </c>
      <c r="AG165" s="66">
        <v>45900</v>
      </c>
      <c r="AH165" s="68">
        <v>28257.739999999998</v>
      </c>
      <c r="AI165" s="116">
        <v>21464.550000000003</v>
      </c>
      <c r="AN165" s="63"/>
    </row>
    <row r="166" spans="1:45" x14ac:dyDescent="0.25">
      <c r="A166" s="64">
        <v>45931</v>
      </c>
      <c r="B166" s="66">
        <v>45900</v>
      </c>
      <c r="C166" s="68">
        <f t="shared" si="91"/>
        <v>28257.739999999998</v>
      </c>
      <c r="D166" s="64">
        <v>45901</v>
      </c>
      <c r="E166" s="68">
        <f>E98*14</f>
        <v>2100</v>
      </c>
      <c r="F166" s="68">
        <f>LANÇTºS!W28</f>
        <v>509.11</v>
      </c>
      <c r="G166" s="66">
        <f>LANÇTºS!X28</f>
        <v>45919</v>
      </c>
      <c r="H166" s="117" t="s">
        <v>362</v>
      </c>
      <c r="I166" s="66">
        <v>45930</v>
      </c>
      <c r="J166" s="68">
        <f t="shared" ref="J166" si="94">C166+E166-F166</f>
        <v>29848.629999999997</v>
      </c>
      <c r="K166" s="116">
        <f>53564.82-J166</f>
        <v>23716.190000000002</v>
      </c>
      <c r="W166" s="161" t="b">
        <f t="shared" si="90"/>
        <v>1</v>
      </c>
      <c r="Y166" s="64">
        <v>45931</v>
      </c>
      <c r="Z166" s="66">
        <v>45900</v>
      </c>
      <c r="AA166" s="68">
        <v>28257.739999999998</v>
      </c>
      <c r="AB166" s="64">
        <v>45901</v>
      </c>
      <c r="AC166" s="68">
        <v>2100</v>
      </c>
      <c r="AD166" s="68">
        <v>509.11</v>
      </c>
      <c r="AE166" s="66">
        <v>45919</v>
      </c>
      <c r="AF166" s="117" t="s">
        <v>362</v>
      </c>
      <c r="AG166" s="66">
        <v>45930</v>
      </c>
      <c r="AH166" s="68">
        <v>29848.629999999997</v>
      </c>
      <c r="AI166" s="116">
        <v>23716.190000000002</v>
      </c>
    </row>
    <row r="167" spans="1:45" x14ac:dyDescent="0.25">
      <c r="A167" s="64">
        <v>45962</v>
      </c>
      <c r="B167" s="66">
        <v>45930</v>
      </c>
      <c r="C167" s="68">
        <f t="shared" si="91"/>
        <v>29848.629999999997</v>
      </c>
      <c r="D167" s="64">
        <v>45931</v>
      </c>
      <c r="E167" s="68">
        <f t="shared" ref="E167:E172" si="95">E100*14</f>
        <v>2100</v>
      </c>
      <c r="F167" s="68">
        <f>LANÇTºS!AA29</f>
        <v>803.03</v>
      </c>
      <c r="G167" s="66" t="str">
        <f>LANÇTºS!AB29</f>
        <v>15 E 24/10/25</v>
      </c>
      <c r="H167" s="117" t="s">
        <v>425</v>
      </c>
      <c r="I167" s="66">
        <v>45961</v>
      </c>
      <c r="J167" s="68">
        <f t="shared" ref="J167" si="96">C167+E167-F167</f>
        <v>31145.599999999999</v>
      </c>
      <c r="K167" s="116">
        <f>49438.57-J167</f>
        <v>18292.97</v>
      </c>
      <c r="W167" s="161" t="b">
        <f t="shared" si="90"/>
        <v>1</v>
      </c>
      <c r="Y167" s="64">
        <v>45962</v>
      </c>
      <c r="Z167" s="66">
        <v>45930</v>
      </c>
      <c r="AA167" s="68">
        <v>29848.629999999997</v>
      </c>
      <c r="AB167" s="64">
        <v>45931</v>
      </c>
      <c r="AC167" s="68">
        <v>2100</v>
      </c>
      <c r="AD167" s="68">
        <v>803.03</v>
      </c>
      <c r="AE167" s="66" t="s">
        <v>426</v>
      </c>
      <c r="AF167" s="117" t="s">
        <v>425</v>
      </c>
      <c r="AG167" s="66">
        <v>45961</v>
      </c>
      <c r="AH167" s="68">
        <v>31145.599999999999</v>
      </c>
      <c r="AI167" s="116">
        <v>18292.97</v>
      </c>
    </row>
    <row r="168" spans="1:45" x14ac:dyDescent="0.25">
      <c r="A168" s="64">
        <v>45992</v>
      </c>
      <c r="B168" s="66">
        <v>45961</v>
      </c>
      <c r="C168" s="68">
        <f t="shared" ref="C168" si="97">J167</f>
        <v>31145.599999999999</v>
      </c>
      <c r="D168" s="64">
        <v>45962</v>
      </c>
      <c r="E168" s="68">
        <f t="shared" si="95"/>
        <v>2100</v>
      </c>
      <c r="F168" s="68">
        <f>LANÇTºS!AE30</f>
        <v>660</v>
      </c>
      <c r="G168" s="66">
        <f>LANÇTºS!AF30</f>
        <v>45995</v>
      </c>
      <c r="H168" s="117" t="s">
        <v>483</v>
      </c>
      <c r="I168" s="66">
        <v>45991</v>
      </c>
      <c r="J168" s="68">
        <f t="shared" ref="J168" si="98">C168+E168-F168</f>
        <v>32585.599999999999</v>
      </c>
      <c r="K168" s="116">
        <f>46688.85-J168</f>
        <v>14103.25</v>
      </c>
      <c r="W168" s="161" t="b">
        <f t="shared" si="90"/>
        <v>1</v>
      </c>
      <c r="Y168" s="64">
        <v>45992</v>
      </c>
      <c r="Z168" s="66">
        <v>45961</v>
      </c>
      <c r="AA168" s="68">
        <v>31145.599999999999</v>
      </c>
      <c r="AB168" s="64">
        <v>45962</v>
      </c>
      <c r="AC168" s="68">
        <v>2100</v>
      </c>
      <c r="AD168" s="68">
        <v>660</v>
      </c>
      <c r="AE168" s="66">
        <v>45995</v>
      </c>
      <c r="AF168" s="117" t="s">
        <v>483</v>
      </c>
      <c r="AG168" s="66">
        <v>45991</v>
      </c>
      <c r="AH168" s="68">
        <v>32585.599999999999</v>
      </c>
      <c r="AI168" s="116">
        <v>14103.25</v>
      </c>
    </row>
    <row r="169" spans="1:45" x14ac:dyDescent="0.25">
      <c r="A169" s="64">
        <v>46023</v>
      </c>
      <c r="B169" s="66">
        <v>45991</v>
      </c>
      <c r="C169" s="68">
        <f t="shared" ref="C169" si="99">J168</f>
        <v>32585.599999999999</v>
      </c>
      <c r="D169" s="64">
        <v>45992</v>
      </c>
      <c r="E169" s="68">
        <f t="shared" si="95"/>
        <v>2100</v>
      </c>
      <c r="F169" s="68">
        <f>LANÇTºS!AI31</f>
        <v>855</v>
      </c>
      <c r="G169" s="66">
        <f>LANÇTºS!AJ31</f>
        <v>46008</v>
      </c>
      <c r="H169" s="117" t="s">
        <v>515</v>
      </c>
      <c r="I169" s="66">
        <v>46022</v>
      </c>
      <c r="J169" s="68">
        <f t="shared" ref="J169" si="100">C169+E169-F169</f>
        <v>33830.6</v>
      </c>
      <c r="K169" s="116">
        <f>51040.42-J169</f>
        <v>17209.82</v>
      </c>
      <c r="W169" s="161" t="b">
        <f t="shared" si="90"/>
        <v>1</v>
      </c>
      <c r="Y169" s="64">
        <v>46023</v>
      </c>
      <c r="Z169" s="66">
        <v>45991</v>
      </c>
      <c r="AA169" s="68">
        <v>32585.599999999999</v>
      </c>
      <c r="AB169" s="64">
        <v>45992</v>
      </c>
      <c r="AC169" s="68">
        <v>2100</v>
      </c>
      <c r="AD169" s="68">
        <v>855</v>
      </c>
      <c r="AE169" s="66">
        <v>46008</v>
      </c>
      <c r="AF169" s="117" t="s">
        <v>515</v>
      </c>
      <c r="AG169" s="66">
        <v>46022</v>
      </c>
      <c r="AH169" s="68">
        <v>33830.6</v>
      </c>
      <c r="AI169" s="116">
        <v>17209.82</v>
      </c>
    </row>
    <row r="170" spans="1:45" x14ac:dyDescent="0.25">
      <c r="A170" s="64">
        <v>46054</v>
      </c>
      <c r="B170" s="66">
        <v>46022</v>
      </c>
      <c r="C170" s="68">
        <f t="shared" ref="C170" si="101">J169</f>
        <v>33830.6</v>
      </c>
      <c r="D170" s="64">
        <v>46023</v>
      </c>
      <c r="E170" s="68">
        <f t="shared" si="95"/>
        <v>2100</v>
      </c>
      <c r="F170" s="68">
        <v>0</v>
      </c>
      <c r="G170" s="66" t="s">
        <v>51</v>
      </c>
      <c r="H170" s="117" t="s">
        <v>552</v>
      </c>
      <c r="I170" s="66">
        <v>46053</v>
      </c>
      <c r="J170" s="68">
        <f t="shared" ref="J170" si="102">C170+E170-F170</f>
        <v>35930.6</v>
      </c>
      <c r="K170" s="993">
        <f>51040.42-J170</f>
        <v>15109.82</v>
      </c>
      <c r="W170" s="161" t="b">
        <f t="shared" ref="W170" si="103">SUM(A170:U170)=SUM(Y170:AS170)</f>
        <v>1</v>
      </c>
      <c r="Y170" s="64">
        <v>46054</v>
      </c>
      <c r="Z170" s="66">
        <v>46022</v>
      </c>
      <c r="AA170" s="68">
        <v>33830.6</v>
      </c>
      <c r="AB170" s="64">
        <v>46023</v>
      </c>
      <c r="AC170" s="68">
        <v>2100</v>
      </c>
      <c r="AD170" s="68">
        <v>0</v>
      </c>
      <c r="AE170" s="66" t="s">
        <v>51</v>
      </c>
      <c r="AF170" s="117" t="s">
        <v>552</v>
      </c>
      <c r="AG170" s="66">
        <v>46053</v>
      </c>
      <c r="AH170" s="68">
        <v>35930.6</v>
      </c>
      <c r="AI170" s="993">
        <v>15109.82</v>
      </c>
    </row>
    <row r="171" spans="1:45" x14ac:dyDescent="0.25">
      <c r="A171" s="64">
        <v>46082</v>
      </c>
      <c r="B171" s="66">
        <v>46053</v>
      </c>
      <c r="C171" s="68">
        <f t="shared" ref="C171" si="104">J170</f>
        <v>35930.6</v>
      </c>
      <c r="D171" s="64">
        <v>46054</v>
      </c>
      <c r="E171" s="68">
        <f t="shared" si="95"/>
        <v>2100</v>
      </c>
      <c r="F171" s="68">
        <v>0</v>
      </c>
      <c r="G171" s="66" t="s">
        <v>51</v>
      </c>
      <c r="H171" s="66" t="s">
        <v>51</v>
      </c>
      <c r="I171" s="66">
        <v>46081</v>
      </c>
      <c r="J171" s="68">
        <f t="shared" ref="J171" si="105">C171+E171-F171</f>
        <v>38030.6</v>
      </c>
      <c r="K171" s="993">
        <f>51040.42-J171</f>
        <v>13009.82</v>
      </c>
      <c r="W171" s="161" t="b">
        <f t="shared" ref="W171" si="106">SUM(A171:U171)=SUM(Y171:AS171)</f>
        <v>1</v>
      </c>
      <c r="Y171" s="64">
        <v>46082</v>
      </c>
      <c r="Z171" s="66">
        <v>46053</v>
      </c>
      <c r="AA171" s="68">
        <v>35930.6</v>
      </c>
      <c r="AB171" s="64">
        <v>46054</v>
      </c>
      <c r="AC171" s="68">
        <v>2100</v>
      </c>
      <c r="AD171" s="68">
        <v>0</v>
      </c>
      <c r="AE171" s="66" t="s">
        <v>51</v>
      </c>
      <c r="AF171" s="66" t="s">
        <v>51</v>
      </c>
      <c r="AG171" s="66">
        <v>46081</v>
      </c>
      <c r="AH171" s="68">
        <v>38030.6</v>
      </c>
      <c r="AI171" s="993">
        <v>13009.82</v>
      </c>
    </row>
    <row r="172" spans="1:45" x14ac:dyDescent="0.25">
      <c r="A172" s="64">
        <v>46113</v>
      </c>
      <c r="B172" s="66">
        <v>46081</v>
      </c>
      <c r="C172" s="68">
        <f t="shared" ref="C172" si="107">J171</f>
        <v>38030.6</v>
      </c>
      <c r="D172" s="64">
        <v>46082</v>
      </c>
      <c r="E172" s="68">
        <f t="shared" si="95"/>
        <v>2100</v>
      </c>
      <c r="F172" s="68">
        <v>0</v>
      </c>
      <c r="G172" s="66" t="s">
        <v>51</v>
      </c>
      <c r="H172" s="66" t="s">
        <v>51</v>
      </c>
      <c r="I172" s="66">
        <v>46112</v>
      </c>
      <c r="J172" s="68">
        <f t="shared" ref="J172" si="108">C172+E172-F172</f>
        <v>40130.6</v>
      </c>
      <c r="K172" s="993">
        <f>51040.42-J172</f>
        <v>10909.82</v>
      </c>
      <c r="N172" s="264" t="s">
        <v>395</v>
      </c>
      <c r="O172" s="265"/>
      <c r="P172" s="265"/>
      <c r="Q172" s="265"/>
      <c r="R172" s="266"/>
      <c r="S172" s="267"/>
      <c r="T172" s="270"/>
      <c r="U172" s="156" t="b">
        <f>J172='PLAN P COND'!G71</f>
        <v>1</v>
      </c>
      <c r="W172" s="161" t="b">
        <f t="shared" ref="W172" si="109">SUM(A172:U172)=SUM(Y172:AS172)</f>
        <v>1</v>
      </c>
      <c r="Y172" s="64">
        <v>46113</v>
      </c>
      <c r="Z172" s="66">
        <v>46081</v>
      </c>
      <c r="AA172" s="68">
        <v>38030.6</v>
      </c>
      <c r="AB172" s="64">
        <v>46082</v>
      </c>
      <c r="AC172" s="68">
        <v>2100</v>
      </c>
      <c r="AD172" s="68">
        <v>0</v>
      </c>
      <c r="AE172" s="66" t="s">
        <v>51</v>
      </c>
      <c r="AF172" s="66" t="s">
        <v>51</v>
      </c>
      <c r="AG172" s="66">
        <v>46112</v>
      </c>
      <c r="AH172" s="68">
        <v>40130.6</v>
      </c>
      <c r="AI172" s="993">
        <v>10909.82</v>
      </c>
      <c r="AL172" s="264" t="s">
        <v>554</v>
      </c>
      <c r="AM172" s="265"/>
      <c r="AN172" s="265"/>
      <c r="AO172" s="265"/>
      <c r="AP172" s="266"/>
      <c r="AQ172" s="267"/>
      <c r="AR172" s="270"/>
      <c r="AS172" s="156" t="b">
        <v>1</v>
      </c>
    </row>
    <row r="173" spans="1:45" x14ac:dyDescent="0.25">
      <c r="A173" s="63"/>
      <c r="B173" s="111"/>
      <c r="C173" s="73"/>
      <c r="D173" s="73"/>
      <c r="E173" s="73"/>
      <c r="Y173" s="63"/>
      <c r="Z173" s="111"/>
      <c r="AA173" s="73"/>
      <c r="AB173" s="73"/>
      <c r="AC173" s="73"/>
    </row>
    <row r="174" spans="1:45" x14ac:dyDescent="0.25">
      <c r="A174" s="63"/>
      <c r="B174" s="111"/>
      <c r="C174" s="73"/>
      <c r="D174" s="73"/>
      <c r="E174" s="73"/>
      <c r="Y174" s="63"/>
      <c r="Z174" s="111"/>
      <c r="AA174" s="73"/>
      <c r="AB174" s="73"/>
      <c r="AC174" s="73"/>
    </row>
    <row r="176" spans="1:45" x14ac:dyDescent="0.25">
      <c r="A176" s="123" t="s">
        <v>231</v>
      </c>
      <c r="B176" s="121"/>
      <c r="C176" s="122"/>
      <c r="D176" s="121"/>
      <c r="E176" s="121"/>
      <c r="F176" s="121"/>
      <c r="G176" s="121"/>
      <c r="H176" s="121"/>
      <c r="I176" s="121"/>
      <c r="Y176" s="123" t="s">
        <v>533</v>
      </c>
      <c r="Z176" s="121"/>
      <c r="AA176" s="122"/>
      <c r="AB176" s="121"/>
      <c r="AC176" s="121"/>
      <c r="AD176" s="121"/>
      <c r="AE176" s="121"/>
      <c r="AF176" s="121"/>
      <c r="AG176" s="121"/>
    </row>
    <row r="177" spans="1:33" ht="56.25" x14ac:dyDescent="0.25">
      <c r="A177" s="106" t="s">
        <v>199</v>
      </c>
      <c r="B177" s="119" t="s">
        <v>226</v>
      </c>
      <c r="C177" s="106" t="s">
        <v>230</v>
      </c>
      <c r="D177" s="119" t="s">
        <v>183</v>
      </c>
      <c r="E177" s="115" t="s">
        <v>228</v>
      </c>
      <c r="F177" s="103" t="s">
        <v>22</v>
      </c>
      <c r="G177" s="114" t="s">
        <v>532</v>
      </c>
      <c r="H177" s="124" t="s">
        <v>229</v>
      </c>
      <c r="I177" s="119" t="s">
        <v>189</v>
      </c>
      <c r="Y177" s="106" t="s">
        <v>199</v>
      </c>
      <c r="Z177" s="119" t="s">
        <v>226</v>
      </c>
      <c r="AA177" s="106" t="s">
        <v>230</v>
      </c>
      <c r="AB177" s="119" t="s">
        <v>183</v>
      </c>
      <c r="AC177" s="115" t="s">
        <v>228</v>
      </c>
      <c r="AD177" s="103" t="s">
        <v>22</v>
      </c>
      <c r="AE177" s="114" t="s">
        <v>532</v>
      </c>
      <c r="AF177" s="124" t="s">
        <v>229</v>
      </c>
      <c r="AG177" s="119" t="s">
        <v>189</v>
      </c>
    </row>
    <row r="178" spans="1:33" x14ac:dyDescent="0.25">
      <c r="A178" s="64">
        <v>45809</v>
      </c>
      <c r="B178" s="68">
        <v>7037.1</v>
      </c>
      <c r="C178" s="68">
        <v>10900</v>
      </c>
      <c r="D178" s="68">
        <v>0</v>
      </c>
      <c r="E178" s="64">
        <v>45778</v>
      </c>
      <c r="F178" s="68">
        <v>26750.763699999996</v>
      </c>
      <c r="G178" s="68">
        <v>0</v>
      </c>
      <c r="H178" s="68">
        <f>C178-B178+F178-G178</f>
        <v>30613.663699999997</v>
      </c>
      <c r="I178" s="68">
        <v>0</v>
      </c>
      <c r="W178" s="161" t="b">
        <f>SUM(A178:U178)=SUM(Y178:AS178)</f>
        <v>1</v>
      </c>
      <c r="Y178" s="64">
        <v>45809</v>
      </c>
      <c r="Z178" s="68">
        <v>7037.1</v>
      </c>
      <c r="AA178" s="68">
        <v>10900</v>
      </c>
      <c r="AB178" s="68">
        <v>0</v>
      </c>
      <c r="AC178" s="64">
        <v>45778</v>
      </c>
      <c r="AD178" s="68">
        <v>26750.763699999996</v>
      </c>
      <c r="AE178" s="68">
        <v>0</v>
      </c>
      <c r="AF178" s="68">
        <v>30613.663699999997</v>
      </c>
      <c r="AG178" s="68">
        <v>0</v>
      </c>
    </row>
    <row r="179" spans="1:33" x14ac:dyDescent="0.25">
      <c r="A179" s="64">
        <v>45839</v>
      </c>
      <c r="B179" s="68">
        <v>8681.840000000002</v>
      </c>
      <c r="C179" s="68">
        <v>11061</v>
      </c>
      <c r="D179" s="68">
        <v>0</v>
      </c>
      <c r="E179" s="64">
        <f>A178</f>
        <v>45809</v>
      </c>
      <c r="F179" s="68">
        <f>H178</f>
        <v>30613.663699999997</v>
      </c>
      <c r="G179" s="68">
        <f>LANÇTºS!G25</f>
        <v>4277.1899999999996</v>
      </c>
      <c r="H179" s="68">
        <f>C179-B179+F179-G179</f>
        <v>28715.633699999995</v>
      </c>
      <c r="I179" s="68">
        <v>0</v>
      </c>
      <c r="W179" s="161" t="b">
        <f>SUM(A179:U179)=SUM(Y179:AS179)</f>
        <v>1</v>
      </c>
      <c r="Y179" s="64">
        <v>45839</v>
      </c>
      <c r="Z179" s="68">
        <v>8681.840000000002</v>
      </c>
      <c r="AA179" s="68">
        <v>11061</v>
      </c>
      <c r="AB179" s="68">
        <v>0</v>
      </c>
      <c r="AC179" s="64">
        <v>45809</v>
      </c>
      <c r="AD179" s="68">
        <v>30613.663699999997</v>
      </c>
      <c r="AE179" s="68">
        <v>4277.1899999999996</v>
      </c>
      <c r="AF179" s="68">
        <v>28715.633699999995</v>
      </c>
      <c r="AG179" s="68">
        <v>0</v>
      </c>
    </row>
    <row r="180" spans="1:33" x14ac:dyDescent="0.25">
      <c r="B180" s="73"/>
      <c r="Z180" s="73"/>
    </row>
  </sheetData>
  <autoFilter ref="A2:U89" xr:uid="{41DAD4AA-B3AD-4190-81BB-42CD279BE6A0}"/>
  <mergeCells count="2">
    <mergeCell ref="I110:U115"/>
    <mergeCell ref="AG110:AS115"/>
  </mergeCells>
  <conditionalFormatting sqref="H109">
    <cfRule type="cellIs" dxfId="23" priority="37" operator="equal">
      <formula>FALSE</formula>
    </cfRule>
    <cfRule type="cellIs" dxfId="22" priority="38" operator="equal">
      <formula>FALSE</formula>
    </cfRule>
    <cfRule type="cellIs" dxfId="21" priority="39" operator="equal">
      <formula>TRUE</formula>
    </cfRule>
  </conditionalFormatting>
  <conditionalFormatting sqref="N105">
    <cfRule type="cellIs" dxfId="20" priority="40" operator="equal">
      <formula>FALSE</formula>
    </cfRule>
    <cfRule type="cellIs" dxfId="19" priority="41" operator="equal">
      <formula>FALSE</formula>
    </cfRule>
    <cfRule type="cellIs" dxfId="18" priority="42" operator="equal">
      <formula>TRUE</formula>
    </cfRule>
  </conditionalFormatting>
  <conditionalFormatting sqref="R87:R88">
    <cfRule type="cellIs" dxfId="17" priority="43" operator="equal">
      <formula>FALSE</formula>
    </cfRule>
    <cfRule type="cellIs" dxfId="16" priority="44" operator="equal">
      <formula>FALSE</formula>
    </cfRule>
    <cfRule type="cellIs" dxfId="15" priority="45" operator="equal">
      <formula>TRUE</formula>
    </cfRule>
  </conditionalFormatting>
  <conditionalFormatting sqref="U172">
    <cfRule type="cellIs" dxfId="14" priority="34" operator="equal">
      <formula>FALSE</formula>
    </cfRule>
    <cfRule type="cellIs" dxfId="13" priority="35" operator="equal">
      <formula>FALSE</formula>
    </cfRule>
    <cfRule type="cellIs" dxfId="12" priority="36" operator="equal">
      <formula>TRUE</formula>
    </cfRule>
  </conditionalFormatting>
  <conditionalFormatting sqref="AF109">
    <cfRule type="cellIs" dxfId="11" priority="16" operator="equal">
      <formula>FALSE</formula>
    </cfRule>
    <cfRule type="cellIs" dxfId="10" priority="17" operator="equal">
      <formula>FALSE</formula>
    </cfRule>
    <cfRule type="cellIs" dxfId="9" priority="18" operator="equal">
      <formula>TRUE</formula>
    </cfRule>
  </conditionalFormatting>
  <conditionalFormatting sqref="AL105">
    <cfRule type="cellIs" dxfId="8" priority="4" operator="equal">
      <formula>FALSE</formula>
    </cfRule>
    <cfRule type="cellIs" dxfId="7" priority="5" operator="equal">
      <formula>FALSE</formula>
    </cfRule>
    <cfRule type="cellIs" dxfId="6" priority="6" operator="equal">
      <formula>TRUE</formula>
    </cfRule>
  </conditionalFormatting>
  <conditionalFormatting sqref="AP87:AP88">
    <cfRule type="cellIs" dxfId="5" priority="7" operator="equal">
      <formula>FALSE</formula>
    </cfRule>
    <cfRule type="cellIs" dxfId="4" priority="8" operator="equal">
      <formula>FALSE</formula>
    </cfRule>
    <cfRule type="cellIs" dxfId="3" priority="9" operator="equal">
      <formula>TRUE</formula>
    </cfRule>
  </conditionalFormatting>
  <conditionalFormatting sqref="AS172">
    <cfRule type="cellIs" dxfId="2" priority="1" operator="equal">
      <formula>FALSE</formula>
    </cfRule>
    <cfRule type="cellIs" dxfId="1" priority="2" operator="equal">
      <formula>FALSE</formula>
    </cfRule>
    <cfRule type="cellIs" dxfId="0" priority="3" operator="equal">
      <formula>TRUE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3A56-3CD4-4E36-A992-7449201DE6D2}">
  <dimension ref="A1:Q67"/>
  <sheetViews>
    <sheetView workbookViewId="0">
      <pane ySplit="2" topLeftCell="A43" activePane="bottomLeft" state="frozen"/>
      <selection pane="bottomLeft" activeCell="A67" sqref="A67"/>
    </sheetView>
  </sheetViews>
  <sheetFormatPr defaultRowHeight="15" x14ac:dyDescent="0.25"/>
  <cols>
    <col min="1" max="1" width="12" style="960" customWidth="1"/>
    <col min="2" max="2" width="15.140625" style="960" customWidth="1"/>
    <col min="3" max="3" width="10.7109375" style="968" customWidth="1"/>
    <col min="4" max="17" width="10.7109375" style="960" customWidth="1"/>
    <col min="18" max="18" width="10.85546875" style="960" customWidth="1"/>
    <col min="19" max="16384" width="9.140625" style="960"/>
  </cols>
  <sheetData>
    <row r="1" spans="1:17" x14ac:dyDescent="0.25">
      <c r="A1" s="126" t="s">
        <v>537</v>
      </c>
      <c r="B1" s="71"/>
      <c r="C1" s="70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ht="15.75" x14ac:dyDescent="0.25">
      <c r="A2" s="969" t="s">
        <v>42</v>
      </c>
      <c r="B2" s="969" t="s">
        <v>48</v>
      </c>
      <c r="C2" s="970">
        <v>201</v>
      </c>
      <c r="D2" s="970">
        <v>202</v>
      </c>
      <c r="E2" s="970">
        <v>301</v>
      </c>
      <c r="F2" s="970">
        <v>302</v>
      </c>
      <c r="G2" s="970">
        <v>401</v>
      </c>
      <c r="H2" s="970">
        <v>402</v>
      </c>
      <c r="I2" s="970">
        <v>501</v>
      </c>
      <c r="J2" s="970">
        <v>502</v>
      </c>
      <c r="K2" s="971" t="s">
        <v>85</v>
      </c>
      <c r="L2" s="970">
        <v>602</v>
      </c>
      <c r="M2" s="970">
        <v>701</v>
      </c>
      <c r="N2" s="970">
        <v>702</v>
      </c>
      <c r="O2" s="970">
        <v>801</v>
      </c>
      <c r="P2" s="970">
        <v>802</v>
      </c>
      <c r="Q2" s="971" t="s">
        <v>84</v>
      </c>
    </row>
    <row r="3" spans="1:17" x14ac:dyDescent="0.25">
      <c r="A3" s="969">
        <v>45778</v>
      </c>
      <c r="B3" s="972" t="s">
        <v>72</v>
      </c>
      <c r="C3" s="973">
        <v>2428</v>
      </c>
      <c r="D3" s="973">
        <v>2429</v>
      </c>
      <c r="E3" s="973">
        <v>2430</v>
      </c>
      <c r="F3" s="973">
        <v>2431</v>
      </c>
      <c r="G3" s="973">
        <v>2432</v>
      </c>
      <c r="H3" s="973">
        <v>2433</v>
      </c>
      <c r="I3" s="973">
        <v>2434</v>
      </c>
      <c r="J3" s="973">
        <v>2435</v>
      </c>
      <c r="K3" s="973">
        <v>2436</v>
      </c>
      <c r="L3" s="973">
        <v>2437</v>
      </c>
      <c r="M3" s="973">
        <v>2438</v>
      </c>
      <c r="N3" s="973">
        <v>2439</v>
      </c>
      <c r="O3" s="973">
        <v>2440</v>
      </c>
      <c r="P3" s="973">
        <v>2441</v>
      </c>
      <c r="Q3" s="973">
        <v>2442</v>
      </c>
    </row>
    <row r="4" spans="1:17" x14ac:dyDescent="0.25">
      <c r="A4" s="969">
        <v>45778</v>
      </c>
      <c r="B4" s="972" t="s">
        <v>73</v>
      </c>
      <c r="C4" s="974">
        <v>45778</v>
      </c>
      <c r="D4" s="974">
        <v>45785</v>
      </c>
      <c r="E4" s="974">
        <v>45782</v>
      </c>
      <c r="F4" s="974">
        <v>45787</v>
      </c>
      <c r="G4" s="974">
        <v>45786</v>
      </c>
      <c r="H4" s="974">
        <v>45781</v>
      </c>
      <c r="I4" s="974">
        <v>45778</v>
      </c>
      <c r="J4" s="974">
        <v>45786</v>
      </c>
      <c r="K4" s="974">
        <v>45785</v>
      </c>
      <c r="L4" s="974">
        <v>45786</v>
      </c>
      <c r="M4" s="974">
        <v>45787</v>
      </c>
      <c r="N4" s="974">
        <v>45782</v>
      </c>
      <c r="O4" s="974">
        <v>45717</v>
      </c>
      <c r="P4" s="974">
        <v>45787</v>
      </c>
      <c r="Q4" s="974">
        <v>45784</v>
      </c>
    </row>
    <row r="5" spans="1:17" x14ac:dyDescent="0.25">
      <c r="A5" s="969">
        <v>45778</v>
      </c>
      <c r="B5" s="972" t="s">
        <v>74</v>
      </c>
      <c r="C5" s="975" t="s">
        <v>77</v>
      </c>
      <c r="D5" s="975" t="s">
        <v>78</v>
      </c>
      <c r="E5" s="975" t="s">
        <v>81</v>
      </c>
      <c r="F5" s="975" t="s">
        <v>78</v>
      </c>
      <c r="G5" s="975" t="s">
        <v>80</v>
      </c>
      <c r="H5" s="975" t="s">
        <v>81</v>
      </c>
      <c r="I5" s="975" t="s">
        <v>79</v>
      </c>
      <c r="J5" s="975" t="s">
        <v>79</v>
      </c>
      <c r="K5" s="975" t="s">
        <v>82</v>
      </c>
      <c r="L5" s="975" t="s">
        <v>80</v>
      </c>
      <c r="M5" s="975" t="s">
        <v>83</v>
      </c>
      <c r="N5" s="975" t="s">
        <v>78</v>
      </c>
      <c r="O5" s="975" t="s">
        <v>79</v>
      </c>
      <c r="P5" s="975" t="s">
        <v>78</v>
      </c>
      <c r="Q5" s="975" t="s">
        <v>80</v>
      </c>
    </row>
    <row r="6" spans="1:17" x14ac:dyDescent="0.25">
      <c r="A6" s="969">
        <v>45778</v>
      </c>
      <c r="B6" s="972" t="s">
        <v>75</v>
      </c>
      <c r="C6" s="974">
        <v>45775</v>
      </c>
      <c r="D6" s="974">
        <v>45775</v>
      </c>
      <c r="E6" s="974">
        <v>45775</v>
      </c>
      <c r="F6" s="974">
        <v>45775</v>
      </c>
      <c r="G6" s="974">
        <v>45775</v>
      </c>
      <c r="H6" s="974">
        <v>45775</v>
      </c>
      <c r="I6" s="974">
        <v>45775</v>
      </c>
      <c r="J6" s="974">
        <v>45775</v>
      </c>
      <c r="K6" s="974">
        <v>45775</v>
      </c>
      <c r="L6" s="974">
        <v>45775</v>
      </c>
      <c r="M6" s="974">
        <v>45775</v>
      </c>
      <c r="N6" s="974">
        <v>45775</v>
      </c>
      <c r="O6" s="974">
        <v>45775</v>
      </c>
      <c r="P6" s="974">
        <v>45775</v>
      </c>
      <c r="Q6" s="974">
        <v>45775</v>
      </c>
    </row>
    <row r="7" spans="1:17" x14ac:dyDescent="0.25">
      <c r="A7" s="969">
        <v>45778</v>
      </c>
      <c r="B7" s="972" t="s">
        <v>76</v>
      </c>
      <c r="C7" s="976" t="s">
        <v>86</v>
      </c>
      <c r="D7" s="976" t="s">
        <v>86</v>
      </c>
      <c r="E7" s="976" t="s">
        <v>86</v>
      </c>
      <c r="F7" s="976" t="s">
        <v>86</v>
      </c>
      <c r="G7" s="976" t="s">
        <v>86</v>
      </c>
      <c r="H7" s="976" t="s">
        <v>86</v>
      </c>
      <c r="I7" s="976" t="s">
        <v>86</v>
      </c>
      <c r="J7" s="976" t="s">
        <v>86</v>
      </c>
      <c r="K7" s="976" t="s">
        <v>86</v>
      </c>
      <c r="L7" s="976" t="s">
        <v>86</v>
      </c>
      <c r="M7" s="976" t="s">
        <v>86</v>
      </c>
      <c r="N7" s="976" t="s">
        <v>86</v>
      </c>
      <c r="O7" s="976" t="s">
        <v>86</v>
      </c>
      <c r="P7" s="976" t="s">
        <v>86</v>
      </c>
      <c r="Q7" s="976" t="s">
        <v>86</v>
      </c>
    </row>
    <row r="8" spans="1:17" x14ac:dyDescent="0.25">
      <c r="A8" s="969">
        <v>45809</v>
      </c>
      <c r="B8" s="972" t="s">
        <v>72</v>
      </c>
      <c r="C8" s="973">
        <v>2443</v>
      </c>
      <c r="D8" s="973">
        <v>2444</v>
      </c>
      <c r="E8" s="973">
        <v>2445</v>
      </c>
      <c r="F8" s="973">
        <v>2446</v>
      </c>
      <c r="G8" s="973">
        <v>2447</v>
      </c>
      <c r="H8" s="973">
        <v>2448</v>
      </c>
      <c r="I8" s="973">
        <v>2449</v>
      </c>
      <c r="J8" s="973">
        <v>2450</v>
      </c>
      <c r="K8" s="973">
        <v>2451</v>
      </c>
      <c r="L8" s="973">
        <v>2452</v>
      </c>
      <c r="M8" s="973">
        <v>2453</v>
      </c>
      <c r="N8" s="973">
        <v>2454</v>
      </c>
      <c r="O8" s="973">
        <v>2455</v>
      </c>
      <c r="P8" s="973">
        <v>2456</v>
      </c>
      <c r="Q8" s="973">
        <v>2457</v>
      </c>
    </row>
    <row r="9" spans="1:17" x14ac:dyDescent="0.25">
      <c r="A9" s="969">
        <v>45809</v>
      </c>
      <c r="B9" s="972" t="s">
        <v>73</v>
      </c>
      <c r="C9" s="974">
        <v>45811</v>
      </c>
      <c r="D9" s="974">
        <v>45819</v>
      </c>
      <c r="E9" s="974">
        <v>45812</v>
      </c>
      <c r="F9" s="974">
        <v>45813</v>
      </c>
      <c r="G9" s="974">
        <v>45817</v>
      </c>
      <c r="H9" s="974">
        <v>45812</v>
      </c>
      <c r="I9" s="974">
        <v>45811</v>
      </c>
      <c r="J9" s="974">
        <v>45818</v>
      </c>
      <c r="K9" s="974">
        <v>45816</v>
      </c>
      <c r="L9" s="974">
        <v>45813</v>
      </c>
      <c r="M9" s="974">
        <v>45818</v>
      </c>
      <c r="N9" s="974">
        <v>45813</v>
      </c>
      <c r="O9" s="974">
        <v>45717</v>
      </c>
      <c r="P9" s="974">
        <v>45817</v>
      </c>
      <c r="Q9" s="974">
        <v>45817</v>
      </c>
    </row>
    <row r="10" spans="1:17" x14ac:dyDescent="0.25">
      <c r="A10" s="969">
        <v>45809</v>
      </c>
      <c r="B10" s="972" t="s">
        <v>74</v>
      </c>
      <c r="C10" s="975" t="s">
        <v>77</v>
      </c>
      <c r="D10" s="975" t="s">
        <v>78</v>
      </c>
      <c r="E10" s="1055" t="s">
        <v>79</v>
      </c>
      <c r="F10" s="975" t="s">
        <v>78</v>
      </c>
      <c r="G10" s="975" t="s">
        <v>80</v>
      </c>
      <c r="H10" s="975" t="s">
        <v>81</v>
      </c>
      <c r="I10" s="975" t="s">
        <v>79</v>
      </c>
      <c r="J10" s="975" t="s">
        <v>79</v>
      </c>
      <c r="K10" s="975" t="s">
        <v>82</v>
      </c>
      <c r="L10" s="975" t="s">
        <v>80</v>
      </c>
      <c r="M10" s="975" t="s">
        <v>83</v>
      </c>
      <c r="N10" s="975" t="s">
        <v>78</v>
      </c>
      <c r="O10" s="975" t="s">
        <v>79</v>
      </c>
      <c r="P10" s="975" t="s">
        <v>78</v>
      </c>
      <c r="Q10" s="975" t="s">
        <v>80</v>
      </c>
    </row>
    <row r="11" spans="1:17" x14ac:dyDescent="0.25">
      <c r="A11" s="969">
        <v>45809</v>
      </c>
      <c r="B11" s="972" t="s">
        <v>75</v>
      </c>
      <c r="C11" s="974">
        <v>45805</v>
      </c>
      <c r="D11" s="974">
        <v>45805</v>
      </c>
      <c r="E11" s="974">
        <v>45805</v>
      </c>
      <c r="F11" s="974">
        <v>45805</v>
      </c>
      <c r="G11" s="974">
        <v>45805</v>
      </c>
      <c r="H11" s="974">
        <v>45805</v>
      </c>
      <c r="I11" s="974">
        <v>45805</v>
      </c>
      <c r="J11" s="974">
        <v>45805</v>
      </c>
      <c r="K11" s="974">
        <v>45805</v>
      </c>
      <c r="L11" s="974">
        <v>45805</v>
      </c>
      <c r="M11" s="974">
        <v>45805</v>
      </c>
      <c r="N11" s="974">
        <v>45805</v>
      </c>
      <c r="O11" s="974">
        <v>45805</v>
      </c>
      <c r="P11" s="974">
        <v>45805</v>
      </c>
      <c r="Q11" s="974">
        <v>45805</v>
      </c>
    </row>
    <row r="12" spans="1:17" x14ac:dyDescent="0.25">
      <c r="A12" s="969">
        <v>45809</v>
      </c>
      <c r="B12" s="972" t="s">
        <v>76</v>
      </c>
      <c r="C12" s="977" t="s">
        <v>86</v>
      </c>
      <c r="D12" s="976" t="s">
        <v>86</v>
      </c>
      <c r="E12" s="976" t="s">
        <v>86</v>
      </c>
      <c r="F12" s="976" t="s">
        <v>86</v>
      </c>
      <c r="G12" s="976" t="s">
        <v>86</v>
      </c>
      <c r="H12" s="976" t="s">
        <v>86</v>
      </c>
      <c r="I12" s="976" t="s">
        <v>86</v>
      </c>
      <c r="J12" s="976" t="s">
        <v>86</v>
      </c>
      <c r="K12" s="977" t="s">
        <v>86</v>
      </c>
      <c r="L12" s="976" t="s">
        <v>86</v>
      </c>
      <c r="M12" s="976" t="s">
        <v>86</v>
      </c>
      <c r="N12" s="976" t="s">
        <v>86</v>
      </c>
      <c r="O12" s="976" t="s">
        <v>86</v>
      </c>
      <c r="P12" s="976" t="s">
        <v>86</v>
      </c>
      <c r="Q12" s="976" t="s">
        <v>86</v>
      </c>
    </row>
    <row r="13" spans="1:17" x14ac:dyDescent="0.25">
      <c r="A13" s="969">
        <v>45839</v>
      </c>
      <c r="B13" s="972" t="s">
        <v>72</v>
      </c>
      <c r="C13" s="973">
        <v>2458</v>
      </c>
      <c r="D13" s="973">
        <v>2459</v>
      </c>
      <c r="E13" s="973">
        <v>2460</v>
      </c>
      <c r="F13" s="973">
        <v>2461</v>
      </c>
      <c r="G13" s="973">
        <v>2462</v>
      </c>
      <c r="H13" s="973">
        <v>2463</v>
      </c>
      <c r="I13" s="973">
        <v>2464</v>
      </c>
      <c r="J13" s="973">
        <v>2465</v>
      </c>
      <c r="K13" s="973">
        <v>2466</v>
      </c>
      <c r="L13" s="973">
        <v>2467</v>
      </c>
      <c r="M13" s="973">
        <v>2468</v>
      </c>
      <c r="N13" s="973">
        <v>2469</v>
      </c>
      <c r="O13" s="973">
        <v>2470</v>
      </c>
      <c r="P13" s="973">
        <v>2471</v>
      </c>
      <c r="Q13" s="973">
        <v>2472</v>
      </c>
    </row>
    <row r="14" spans="1:17" x14ac:dyDescent="0.25">
      <c r="A14" s="969">
        <v>45839</v>
      </c>
      <c r="B14" s="972" t="s">
        <v>73</v>
      </c>
      <c r="C14" s="974">
        <v>45852</v>
      </c>
      <c r="D14" s="974">
        <v>45846</v>
      </c>
      <c r="E14" s="974">
        <v>45840</v>
      </c>
      <c r="F14" s="974">
        <v>45848</v>
      </c>
      <c r="G14" s="974">
        <v>45847</v>
      </c>
      <c r="H14" s="974">
        <v>45839</v>
      </c>
      <c r="I14" s="974">
        <v>45839</v>
      </c>
      <c r="J14" s="974">
        <v>45848</v>
      </c>
      <c r="K14" s="974">
        <v>45846</v>
      </c>
      <c r="L14" s="974">
        <v>45847</v>
      </c>
      <c r="M14" s="974">
        <v>45848</v>
      </c>
      <c r="N14" s="974">
        <v>45847</v>
      </c>
      <c r="O14" s="974">
        <v>45717</v>
      </c>
      <c r="P14" s="974">
        <v>45848</v>
      </c>
      <c r="Q14" s="974">
        <v>45846</v>
      </c>
    </row>
    <row r="15" spans="1:17" x14ac:dyDescent="0.25">
      <c r="A15" s="969">
        <v>45839</v>
      </c>
      <c r="B15" s="972" t="s">
        <v>74</v>
      </c>
      <c r="C15" s="975" t="s">
        <v>77</v>
      </c>
      <c r="D15" s="975" t="s">
        <v>78</v>
      </c>
      <c r="E15" s="1055" t="s">
        <v>79</v>
      </c>
      <c r="F15" s="975" t="s">
        <v>78</v>
      </c>
      <c r="G15" s="975" t="s">
        <v>80</v>
      </c>
      <c r="H15" s="975" t="s">
        <v>81</v>
      </c>
      <c r="I15" s="975" t="s">
        <v>79</v>
      </c>
      <c r="J15" s="975" t="s">
        <v>79</v>
      </c>
      <c r="K15" s="975" t="s">
        <v>217</v>
      </c>
      <c r="L15" s="975" t="s">
        <v>80</v>
      </c>
      <c r="M15" s="975" t="s">
        <v>83</v>
      </c>
      <c r="N15" s="975" t="s">
        <v>78</v>
      </c>
      <c r="O15" s="975" t="s">
        <v>79</v>
      </c>
      <c r="P15" s="975" t="s">
        <v>78</v>
      </c>
      <c r="Q15" s="975" t="s">
        <v>80</v>
      </c>
    </row>
    <row r="16" spans="1:17" x14ac:dyDescent="0.25">
      <c r="A16" s="969">
        <v>45839</v>
      </c>
      <c r="B16" s="972" t="s">
        <v>75</v>
      </c>
      <c r="C16" s="974">
        <v>45836</v>
      </c>
      <c r="D16" s="974">
        <v>45836</v>
      </c>
      <c r="E16" s="974">
        <v>45836</v>
      </c>
      <c r="F16" s="974">
        <v>45836</v>
      </c>
      <c r="G16" s="974">
        <v>45836</v>
      </c>
      <c r="H16" s="974">
        <v>45836</v>
      </c>
      <c r="I16" s="974">
        <v>45836</v>
      </c>
      <c r="J16" s="974">
        <v>45836</v>
      </c>
      <c r="K16" s="974">
        <v>45836</v>
      </c>
      <c r="L16" s="974">
        <v>45836</v>
      </c>
      <c r="M16" s="974">
        <v>45836</v>
      </c>
      <c r="N16" s="974">
        <v>45836</v>
      </c>
      <c r="O16" s="974">
        <v>45836</v>
      </c>
      <c r="P16" s="974">
        <v>45836</v>
      </c>
      <c r="Q16" s="974">
        <v>45836</v>
      </c>
    </row>
    <row r="17" spans="1:17" x14ac:dyDescent="0.25">
      <c r="A17" s="969">
        <v>45839</v>
      </c>
      <c r="B17" s="972" t="s">
        <v>76</v>
      </c>
      <c r="C17" s="976" t="s">
        <v>86</v>
      </c>
      <c r="D17" s="976" t="s">
        <v>86</v>
      </c>
      <c r="E17" s="976" t="s">
        <v>86</v>
      </c>
      <c r="F17" s="976" t="s">
        <v>86</v>
      </c>
      <c r="G17" s="976" t="s">
        <v>86</v>
      </c>
      <c r="H17" s="976" t="s">
        <v>86</v>
      </c>
      <c r="I17" s="976" t="s">
        <v>86</v>
      </c>
      <c r="J17" s="976" t="s">
        <v>86</v>
      </c>
      <c r="K17" s="976" t="s">
        <v>86</v>
      </c>
      <c r="L17" s="976" t="s">
        <v>86</v>
      </c>
      <c r="M17" s="976" t="s">
        <v>86</v>
      </c>
      <c r="N17" s="976" t="s">
        <v>86</v>
      </c>
      <c r="O17" s="976" t="s">
        <v>86</v>
      </c>
      <c r="P17" s="976" t="s">
        <v>86</v>
      </c>
      <c r="Q17" s="976" t="s">
        <v>86</v>
      </c>
    </row>
    <row r="18" spans="1:17" x14ac:dyDescent="0.25">
      <c r="A18" s="969">
        <v>45870</v>
      </c>
      <c r="B18" s="972" t="s">
        <v>72</v>
      </c>
      <c r="C18" s="978">
        <v>2473</v>
      </c>
      <c r="D18" s="978">
        <v>2474</v>
      </c>
      <c r="E18" s="978">
        <v>2475</v>
      </c>
      <c r="F18" s="978">
        <v>2476</v>
      </c>
      <c r="G18" s="978">
        <v>2477</v>
      </c>
      <c r="H18" s="978">
        <v>2478</v>
      </c>
      <c r="I18" s="978">
        <v>2479</v>
      </c>
      <c r="J18" s="978">
        <v>2480</v>
      </c>
      <c r="K18" s="978">
        <v>2481</v>
      </c>
      <c r="L18" s="978">
        <v>2482</v>
      </c>
      <c r="M18" s="978">
        <v>2483</v>
      </c>
      <c r="N18" s="978">
        <v>2484</v>
      </c>
      <c r="O18" s="978">
        <v>2485</v>
      </c>
      <c r="P18" s="978">
        <v>2486</v>
      </c>
      <c r="Q18" s="978">
        <v>2487</v>
      </c>
    </row>
    <row r="19" spans="1:17" x14ac:dyDescent="0.25">
      <c r="A19" s="969">
        <v>45870</v>
      </c>
      <c r="B19" s="972" t="s">
        <v>73</v>
      </c>
      <c r="C19" s="979">
        <v>45881</v>
      </c>
      <c r="D19" s="979">
        <v>45880</v>
      </c>
      <c r="E19" s="979">
        <v>45879</v>
      </c>
      <c r="F19" s="979">
        <v>45880</v>
      </c>
      <c r="G19" s="979">
        <v>45878</v>
      </c>
      <c r="H19" s="979">
        <v>45882</v>
      </c>
      <c r="I19" s="979">
        <v>45877</v>
      </c>
      <c r="J19" s="979">
        <v>45880</v>
      </c>
      <c r="K19" s="979">
        <v>45880</v>
      </c>
      <c r="L19" s="979">
        <v>45880</v>
      </c>
      <c r="M19" s="979">
        <v>45880</v>
      </c>
      <c r="N19" s="979">
        <v>45881</v>
      </c>
      <c r="O19" s="979">
        <v>45717</v>
      </c>
      <c r="P19" s="979">
        <v>45881</v>
      </c>
      <c r="Q19" s="979">
        <v>45878</v>
      </c>
    </row>
    <row r="20" spans="1:17" x14ac:dyDescent="0.25">
      <c r="A20" s="969">
        <v>45870</v>
      </c>
      <c r="B20" s="972" t="s">
        <v>74</v>
      </c>
      <c r="C20" s="980" t="s">
        <v>77</v>
      </c>
      <c r="D20" s="980" t="s">
        <v>268</v>
      </c>
      <c r="E20" s="1056" t="s">
        <v>79</v>
      </c>
      <c r="F20" s="980" t="s">
        <v>82</v>
      </c>
      <c r="G20" s="980" t="s">
        <v>80</v>
      </c>
      <c r="H20" s="980" t="s">
        <v>81</v>
      </c>
      <c r="I20" s="980" t="s">
        <v>79</v>
      </c>
      <c r="J20" s="980" t="s">
        <v>79</v>
      </c>
      <c r="K20" s="980" t="s">
        <v>82</v>
      </c>
      <c r="L20" s="980" t="s">
        <v>80</v>
      </c>
      <c r="M20" s="980" t="s">
        <v>217</v>
      </c>
      <c r="N20" s="980" t="s">
        <v>78</v>
      </c>
      <c r="O20" s="980" t="s">
        <v>79</v>
      </c>
      <c r="P20" s="980" t="s">
        <v>78</v>
      </c>
      <c r="Q20" s="980" t="s">
        <v>80</v>
      </c>
    </row>
    <row r="21" spans="1:17" x14ac:dyDescent="0.25">
      <c r="A21" s="969">
        <v>45870</v>
      </c>
      <c r="B21" s="972" t="s">
        <v>75</v>
      </c>
      <c r="C21" s="979">
        <v>45866</v>
      </c>
      <c r="D21" s="979">
        <v>45866</v>
      </c>
      <c r="E21" s="979">
        <v>45866</v>
      </c>
      <c r="F21" s="979">
        <v>45866</v>
      </c>
      <c r="G21" s="979">
        <v>45866</v>
      </c>
      <c r="H21" s="979">
        <v>45866</v>
      </c>
      <c r="I21" s="979">
        <v>45866</v>
      </c>
      <c r="J21" s="979">
        <v>45866</v>
      </c>
      <c r="K21" s="979">
        <v>45866</v>
      </c>
      <c r="L21" s="979">
        <v>45866</v>
      </c>
      <c r="M21" s="979">
        <v>45866</v>
      </c>
      <c r="N21" s="979">
        <v>45866</v>
      </c>
      <c r="O21" s="979">
        <v>45866</v>
      </c>
      <c r="P21" s="979">
        <v>45866</v>
      </c>
      <c r="Q21" s="979">
        <v>45866</v>
      </c>
    </row>
    <row r="22" spans="1:17" x14ac:dyDescent="0.25">
      <c r="A22" s="969">
        <v>45870</v>
      </c>
      <c r="B22" s="972" t="s">
        <v>76</v>
      </c>
      <c r="C22" s="981" t="s">
        <v>86</v>
      </c>
      <c r="D22" s="981" t="s">
        <v>86</v>
      </c>
      <c r="E22" s="981" t="s">
        <v>86</v>
      </c>
      <c r="F22" s="981" t="s">
        <v>86</v>
      </c>
      <c r="G22" s="981" t="s">
        <v>86</v>
      </c>
      <c r="H22" s="982" t="s">
        <v>86</v>
      </c>
      <c r="I22" s="981" t="s">
        <v>86</v>
      </c>
      <c r="J22" s="981" t="s">
        <v>86</v>
      </c>
      <c r="K22" s="981" t="s">
        <v>86</v>
      </c>
      <c r="L22" s="981" t="s">
        <v>86</v>
      </c>
      <c r="M22" s="981" t="s">
        <v>86</v>
      </c>
      <c r="N22" s="981" t="s">
        <v>86</v>
      </c>
      <c r="O22" s="981" t="s">
        <v>86</v>
      </c>
      <c r="P22" s="981" t="s">
        <v>86</v>
      </c>
      <c r="Q22" s="981" t="s">
        <v>86</v>
      </c>
    </row>
    <row r="23" spans="1:17" x14ac:dyDescent="0.25">
      <c r="A23" s="969">
        <v>45901</v>
      </c>
      <c r="B23" s="972" t="s">
        <v>72</v>
      </c>
      <c r="C23" s="978">
        <v>2488</v>
      </c>
      <c r="D23" s="978">
        <v>2489</v>
      </c>
      <c r="E23" s="978">
        <v>2490</v>
      </c>
      <c r="F23" s="978">
        <v>2491</v>
      </c>
      <c r="G23" s="978">
        <v>2492</v>
      </c>
      <c r="H23" s="978">
        <v>2493</v>
      </c>
      <c r="I23" s="978">
        <v>2494</v>
      </c>
      <c r="J23" s="978">
        <v>2495</v>
      </c>
      <c r="K23" s="978">
        <v>2496</v>
      </c>
      <c r="L23" s="978">
        <v>2497</v>
      </c>
      <c r="M23" s="978">
        <v>2498</v>
      </c>
      <c r="N23" s="978">
        <v>2499</v>
      </c>
      <c r="O23" s="978">
        <v>2500</v>
      </c>
      <c r="P23" s="978">
        <v>2501</v>
      </c>
      <c r="Q23" s="978">
        <v>2502</v>
      </c>
    </row>
    <row r="24" spans="1:17" x14ac:dyDescent="0.25">
      <c r="A24" s="969">
        <v>45901</v>
      </c>
      <c r="B24" s="972" t="s">
        <v>73</v>
      </c>
      <c r="C24" s="979">
        <v>45911</v>
      </c>
      <c r="D24" s="979">
        <v>45908</v>
      </c>
      <c r="E24" s="979">
        <v>45908</v>
      </c>
      <c r="F24" s="979">
        <v>45911</v>
      </c>
      <c r="G24" s="979">
        <v>45909</v>
      </c>
      <c r="H24" s="979">
        <v>45901</v>
      </c>
      <c r="I24" s="979">
        <v>45901</v>
      </c>
      <c r="J24" s="979">
        <v>45910</v>
      </c>
      <c r="K24" s="979">
        <v>45910</v>
      </c>
      <c r="L24" s="979">
        <v>45909</v>
      </c>
      <c r="M24" s="979">
        <v>45910</v>
      </c>
      <c r="N24" s="979">
        <v>45908</v>
      </c>
      <c r="O24" s="979">
        <v>45901</v>
      </c>
      <c r="P24" s="979">
        <v>45910</v>
      </c>
      <c r="Q24" s="979">
        <v>45908</v>
      </c>
    </row>
    <row r="25" spans="1:17" x14ac:dyDescent="0.25">
      <c r="A25" s="969">
        <v>45901</v>
      </c>
      <c r="B25" s="972" t="s">
        <v>74</v>
      </c>
      <c r="C25" s="980" t="s">
        <v>77</v>
      </c>
      <c r="D25" s="980" t="s">
        <v>268</v>
      </c>
      <c r="E25" s="1056" t="s">
        <v>79</v>
      </c>
      <c r="F25" s="980" t="s">
        <v>367</v>
      </c>
      <c r="G25" s="980" t="s">
        <v>80</v>
      </c>
      <c r="H25" s="980" t="s">
        <v>81</v>
      </c>
      <c r="I25" s="980" t="s">
        <v>79</v>
      </c>
      <c r="J25" s="980" t="s">
        <v>79</v>
      </c>
      <c r="K25" s="980" t="s">
        <v>82</v>
      </c>
      <c r="L25" s="980" t="s">
        <v>80</v>
      </c>
      <c r="M25" s="980" t="s">
        <v>83</v>
      </c>
      <c r="N25" s="980" t="s">
        <v>78</v>
      </c>
      <c r="O25" s="980" t="s">
        <v>79</v>
      </c>
      <c r="P25" s="980" t="s">
        <v>78</v>
      </c>
      <c r="Q25" s="980" t="s">
        <v>80</v>
      </c>
    </row>
    <row r="26" spans="1:17" x14ac:dyDescent="0.25">
      <c r="A26" s="969">
        <v>45901</v>
      </c>
      <c r="B26" s="972" t="s">
        <v>75</v>
      </c>
      <c r="C26" s="979">
        <v>45897</v>
      </c>
      <c r="D26" s="979">
        <v>45897</v>
      </c>
      <c r="E26" s="979">
        <v>45897</v>
      </c>
      <c r="F26" s="979">
        <v>45897</v>
      </c>
      <c r="G26" s="979">
        <v>45897</v>
      </c>
      <c r="H26" s="979">
        <v>45897</v>
      </c>
      <c r="I26" s="979">
        <v>45897</v>
      </c>
      <c r="J26" s="979">
        <v>45897</v>
      </c>
      <c r="K26" s="979">
        <v>45897</v>
      </c>
      <c r="L26" s="979">
        <v>45897</v>
      </c>
      <c r="M26" s="979">
        <v>45897</v>
      </c>
      <c r="N26" s="979">
        <v>45897</v>
      </c>
      <c r="O26" s="979">
        <v>45897</v>
      </c>
      <c r="P26" s="979">
        <v>45897</v>
      </c>
      <c r="Q26" s="979">
        <v>45897</v>
      </c>
    </row>
    <row r="27" spans="1:17" x14ac:dyDescent="0.25">
      <c r="A27" s="969">
        <v>45901</v>
      </c>
      <c r="B27" s="972" t="s">
        <v>76</v>
      </c>
      <c r="C27" s="981" t="s">
        <v>86</v>
      </c>
      <c r="D27" s="981" t="s">
        <v>86</v>
      </c>
      <c r="E27" s="981" t="s">
        <v>86</v>
      </c>
      <c r="F27" s="981" t="s">
        <v>86</v>
      </c>
      <c r="G27" s="981" t="s">
        <v>86</v>
      </c>
      <c r="H27" s="981" t="s">
        <v>86</v>
      </c>
      <c r="I27" s="981" t="s">
        <v>86</v>
      </c>
      <c r="J27" s="981" t="s">
        <v>86</v>
      </c>
      <c r="K27" s="981" t="s">
        <v>86</v>
      </c>
      <c r="L27" s="981" t="s">
        <v>86</v>
      </c>
      <c r="M27" s="981" t="s">
        <v>86</v>
      </c>
      <c r="N27" s="981" t="s">
        <v>86</v>
      </c>
      <c r="O27" s="981" t="s">
        <v>86</v>
      </c>
      <c r="P27" s="981" t="s">
        <v>86</v>
      </c>
      <c r="Q27" s="981" t="s">
        <v>86</v>
      </c>
    </row>
    <row r="28" spans="1:17" x14ac:dyDescent="0.25">
      <c r="A28" s="969">
        <v>45931</v>
      </c>
      <c r="B28" s="972" t="s">
        <v>72</v>
      </c>
      <c r="C28" s="978">
        <v>2503</v>
      </c>
      <c r="D28" s="978">
        <v>2504</v>
      </c>
      <c r="E28" s="978">
        <v>2505</v>
      </c>
      <c r="F28" s="978">
        <v>2506</v>
      </c>
      <c r="G28" s="978">
        <v>2507</v>
      </c>
      <c r="H28" s="978">
        <v>2508</v>
      </c>
      <c r="I28" s="978">
        <v>2509</v>
      </c>
      <c r="J28" s="978">
        <v>2510</v>
      </c>
      <c r="K28" s="978">
        <v>2511</v>
      </c>
      <c r="L28" s="978">
        <v>2512</v>
      </c>
      <c r="M28" s="978">
        <v>2513</v>
      </c>
      <c r="N28" s="978">
        <v>2514</v>
      </c>
      <c r="O28" s="978">
        <v>2515</v>
      </c>
      <c r="P28" s="978">
        <v>2516</v>
      </c>
      <c r="Q28" s="978">
        <v>2517</v>
      </c>
    </row>
    <row r="29" spans="1:17" x14ac:dyDescent="0.25">
      <c r="A29" s="969">
        <v>45931</v>
      </c>
      <c r="B29" s="972" t="s">
        <v>73</v>
      </c>
      <c r="C29" s="979">
        <v>45937</v>
      </c>
      <c r="D29" s="979">
        <v>45938</v>
      </c>
      <c r="E29" s="979">
        <v>45933</v>
      </c>
      <c r="F29" s="979">
        <v>45939</v>
      </c>
      <c r="G29" s="979">
        <v>45932</v>
      </c>
      <c r="H29" s="979">
        <v>45937</v>
      </c>
      <c r="I29" s="979">
        <v>45933</v>
      </c>
      <c r="J29" s="979">
        <v>45940</v>
      </c>
      <c r="K29" s="979">
        <v>45941</v>
      </c>
      <c r="L29" s="979">
        <v>45939</v>
      </c>
      <c r="M29" s="979">
        <v>45939</v>
      </c>
      <c r="N29" s="979">
        <v>45939</v>
      </c>
      <c r="O29" s="979">
        <v>45901</v>
      </c>
      <c r="P29" s="979">
        <v>45940</v>
      </c>
      <c r="Q29" s="979">
        <v>45939</v>
      </c>
    </row>
    <row r="30" spans="1:17" x14ac:dyDescent="0.25">
      <c r="A30" s="969">
        <v>45931</v>
      </c>
      <c r="B30" s="972" t="s">
        <v>74</v>
      </c>
      <c r="C30" s="980" t="s">
        <v>77</v>
      </c>
      <c r="D30" s="980" t="s">
        <v>78</v>
      </c>
      <c r="E30" s="1056" t="s">
        <v>79</v>
      </c>
      <c r="F30" s="980" t="s">
        <v>78</v>
      </c>
      <c r="G30" s="980" t="s">
        <v>79</v>
      </c>
      <c r="H30" s="980" t="s">
        <v>81</v>
      </c>
      <c r="I30" s="980" t="s">
        <v>79</v>
      </c>
      <c r="J30" s="980" t="s">
        <v>79</v>
      </c>
      <c r="K30" s="980" t="s">
        <v>82</v>
      </c>
      <c r="L30" s="980" t="s">
        <v>80</v>
      </c>
      <c r="M30" s="980" t="s">
        <v>83</v>
      </c>
      <c r="N30" s="980" t="s">
        <v>78</v>
      </c>
      <c r="O30" s="980" t="s">
        <v>79</v>
      </c>
      <c r="P30" s="980" t="s">
        <v>78</v>
      </c>
      <c r="Q30" s="980" t="s">
        <v>80</v>
      </c>
    </row>
    <row r="31" spans="1:17" x14ac:dyDescent="0.25">
      <c r="A31" s="969">
        <v>45931</v>
      </c>
      <c r="B31" s="972" t="s">
        <v>75</v>
      </c>
      <c r="C31" s="979">
        <v>45928</v>
      </c>
      <c r="D31" s="979">
        <v>45928</v>
      </c>
      <c r="E31" s="979">
        <v>45928</v>
      </c>
      <c r="F31" s="979">
        <v>45928</v>
      </c>
      <c r="G31" s="979">
        <v>45928</v>
      </c>
      <c r="H31" s="979">
        <v>45928</v>
      </c>
      <c r="I31" s="979">
        <v>45928</v>
      </c>
      <c r="J31" s="979">
        <v>45928</v>
      </c>
      <c r="K31" s="979">
        <v>45928</v>
      </c>
      <c r="L31" s="979">
        <v>45928</v>
      </c>
      <c r="M31" s="979">
        <v>45928</v>
      </c>
      <c r="N31" s="979">
        <v>45928</v>
      </c>
      <c r="O31" s="979">
        <v>45928</v>
      </c>
      <c r="P31" s="979">
        <v>45928</v>
      </c>
      <c r="Q31" s="979">
        <v>45928</v>
      </c>
    </row>
    <row r="32" spans="1:17" x14ac:dyDescent="0.25">
      <c r="A32" s="969">
        <v>45931</v>
      </c>
      <c r="B32" s="972" t="s">
        <v>76</v>
      </c>
      <c r="C32" s="981" t="s">
        <v>86</v>
      </c>
      <c r="D32" s="981" t="s">
        <v>86</v>
      </c>
      <c r="E32" s="981" t="s">
        <v>86</v>
      </c>
      <c r="F32" s="981" t="s">
        <v>86</v>
      </c>
      <c r="G32" s="981" t="s">
        <v>86</v>
      </c>
      <c r="H32" s="981" t="s">
        <v>86</v>
      </c>
      <c r="I32" s="981" t="s">
        <v>86</v>
      </c>
      <c r="J32" s="981" t="s">
        <v>86</v>
      </c>
      <c r="K32" s="981" t="s">
        <v>86</v>
      </c>
      <c r="L32" s="981" t="s">
        <v>86</v>
      </c>
      <c r="M32" s="981" t="s">
        <v>86</v>
      </c>
      <c r="N32" s="981" t="s">
        <v>86</v>
      </c>
      <c r="O32" s="981" t="s">
        <v>86</v>
      </c>
      <c r="P32" s="981" t="s">
        <v>86</v>
      </c>
      <c r="Q32" s="981" t="s">
        <v>86</v>
      </c>
    </row>
    <row r="33" spans="1:17" x14ac:dyDescent="0.25">
      <c r="A33" s="969">
        <v>45962</v>
      </c>
      <c r="B33" s="972" t="s">
        <v>72</v>
      </c>
      <c r="C33" s="983">
        <v>2518</v>
      </c>
      <c r="D33" s="983">
        <v>2519</v>
      </c>
      <c r="E33" s="983">
        <v>2520</v>
      </c>
      <c r="F33" s="983">
        <v>2521</v>
      </c>
      <c r="G33" s="983">
        <v>2522</v>
      </c>
      <c r="H33" s="983">
        <v>2523</v>
      </c>
      <c r="I33" s="983">
        <v>2524</v>
      </c>
      <c r="J33" s="983">
        <v>2525</v>
      </c>
      <c r="K33" s="983">
        <v>2526</v>
      </c>
      <c r="L33" s="983">
        <v>2527</v>
      </c>
      <c r="M33" s="983">
        <v>2528</v>
      </c>
      <c r="N33" s="983">
        <v>2529</v>
      </c>
      <c r="O33" s="983">
        <v>2530</v>
      </c>
      <c r="P33" s="983">
        <v>2531</v>
      </c>
      <c r="Q33" s="983">
        <v>2532</v>
      </c>
    </row>
    <row r="34" spans="1:17" x14ac:dyDescent="0.25">
      <c r="A34" s="969">
        <v>45962</v>
      </c>
      <c r="B34" s="972" t="s">
        <v>73</v>
      </c>
      <c r="C34" s="134">
        <v>45972</v>
      </c>
      <c r="D34" s="134">
        <v>45972</v>
      </c>
      <c r="E34" s="134">
        <v>45966</v>
      </c>
      <c r="F34" s="134">
        <v>45972</v>
      </c>
      <c r="G34" s="134">
        <v>45968</v>
      </c>
      <c r="H34" s="134">
        <v>45964</v>
      </c>
      <c r="I34" s="134">
        <v>45962</v>
      </c>
      <c r="J34" s="134">
        <v>45971</v>
      </c>
      <c r="K34" s="134">
        <v>45971</v>
      </c>
      <c r="L34" s="134">
        <v>45969</v>
      </c>
      <c r="M34" s="134">
        <v>45971</v>
      </c>
      <c r="N34" s="134">
        <v>45969</v>
      </c>
      <c r="O34" s="134">
        <v>45901</v>
      </c>
      <c r="P34" s="134">
        <v>45971</v>
      </c>
      <c r="Q34" s="134">
        <v>45971</v>
      </c>
    </row>
    <row r="35" spans="1:17" x14ac:dyDescent="0.25">
      <c r="A35" s="969">
        <v>45962</v>
      </c>
      <c r="B35" s="972" t="s">
        <v>74</v>
      </c>
      <c r="C35" s="984" t="s">
        <v>77</v>
      </c>
      <c r="D35" s="984" t="s">
        <v>78</v>
      </c>
      <c r="E35" s="1054" t="s">
        <v>79</v>
      </c>
      <c r="F35" s="984" t="s">
        <v>78</v>
      </c>
      <c r="G35" s="984" t="s">
        <v>79</v>
      </c>
      <c r="H35" s="984" t="s">
        <v>81</v>
      </c>
      <c r="I35" s="984" t="s">
        <v>79</v>
      </c>
      <c r="J35" s="984" t="s">
        <v>79</v>
      </c>
      <c r="K35" s="984" t="s">
        <v>82</v>
      </c>
      <c r="L35" s="984" t="s">
        <v>80</v>
      </c>
      <c r="M35" s="984" t="s">
        <v>472</v>
      </c>
      <c r="N35" s="984" t="s">
        <v>78</v>
      </c>
      <c r="O35" s="984" t="s">
        <v>79</v>
      </c>
      <c r="P35" s="984" t="s">
        <v>78</v>
      </c>
      <c r="Q35" s="984" t="s">
        <v>80</v>
      </c>
    </row>
    <row r="36" spans="1:17" x14ac:dyDescent="0.25">
      <c r="A36" s="969">
        <v>45962</v>
      </c>
      <c r="B36" s="972" t="s">
        <v>75</v>
      </c>
      <c r="C36" s="134">
        <v>45958</v>
      </c>
      <c r="D36" s="134">
        <v>45958</v>
      </c>
      <c r="E36" s="134">
        <v>45958</v>
      </c>
      <c r="F36" s="134">
        <v>45958</v>
      </c>
      <c r="G36" s="134">
        <v>45958</v>
      </c>
      <c r="H36" s="134">
        <v>45958</v>
      </c>
      <c r="I36" s="134">
        <v>45958</v>
      </c>
      <c r="J36" s="134">
        <v>45958</v>
      </c>
      <c r="K36" s="134">
        <v>45958</v>
      </c>
      <c r="L36" s="134">
        <v>45958</v>
      </c>
      <c r="M36" s="134">
        <v>45958</v>
      </c>
      <c r="N36" s="134">
        <v>45958</v>
      </c>
      <c r="O36" s="134">
        <v>45958</v>
      </c>
      <c r="P36" s="134">
        <v>45958</v>
      </c>
      <c r="Q36" s="134">
        <v>45958</v>
      </c>
    </row>
    <row r="37" spans="1:17" x14ac:dyDescent="0.25">
      <c r="A37" s="969">
        <v>45962</v>
      </c>
      <c r="B37" s="972" t="s">
        <v>76</v>
      </c>
      <c r="C37" s="985" t="s">
        <v>86</v>
      </c>
      <c r="D37" s="985" t="s">
        <v>86</v>
      </c>
      <c r="E37" s="985" t="s">
        <v>86</v>
      </c>
      <c r="F37" s="985" t="s">
        <v>86</v>
      </c>
      <c r="G37" s="985" t="s">
        <v>86</v>
      </c>
      <c r="H37" s="985" t="s">
        <v>86</v>
      </c>
      <c r="I37" s="985" t="s">
        <v>86</v>
      </c>
      <c r="J37" s="985" t="s">
        <v>86</v>
      </c>
      <c r="K37" s="985" t="s">
        <v>86</v>
      </c>
      <c r="L37" s="985" t="s">
        <v>86</v>
      </c>
      <c r="M37" s="985" t="s">
        <v>86</v>
      </c>
      <c r="N37" s="985" t="s">
        <v>86</v>
      </c>
      <c r="O37" s="985" t="s">
        <v>86</v>
      </c>
      <c r="P37" s="985" t="s">
        <v>86</v>
      </c>
      <c r="Q37" s="985" t="s">
        <v>86</v>
      </c>
    </row>
    <row r="38" spans="1:17" x14ac:dyDescent="0.25">
      <c r="A38" s="969">
        <v>45992</v>
      </c>
      <c r="B38" s="972" t="s">
        <v>72</v>
      </c>
      <c r="C38" s="983">
        <v>2533</v>
      </c>
      <c r="D38" s="983">
        <v>2534</v>
      </c>
      <c r="E38" s="983">
        <v>2535</v>
      </c>
      <c r="F38" s="983">
        <v>2536</v>
      </c>
      <c r="G38" s="983">
        <v>2537</v>
      </c>
      <c r="H38" s="983">
        <v>2538</v>
      </c>
      <c r="I38" s="983">
        <v>2539</v>
      </c>
      <c r="J38" s="983">
        <v>2540</v>
      </c>
      <c r="K38" s="983">
        <v>2541</v>
      </c>
      <c r="L38" s="983">
        <v>2542</v>
      </c>
      <c r="M38" s="983">
        <v>2543</v>
      </c>
      <c r="N38" s="983">
        <v>2544</v>
      </c>
      <c r="O38" s="983">
        <v>2545</v>
      </c>
      <c r="P38" s="983">
        <v>2546</v>
      </c>
      <c r="Q38" s="983">
        <v>2547</v>
      </c>
    </row>
    <row r="39" spans="1:17" x14ac:dyDescent="0.25">
      <c r="A39" s="969">
        <v>45992</v>
      </c>
      <c r="B39" s="972" t="s">
        <v>73</v>
      </c>
      <c r="C39" s="134">
        <v>46001</v>
      </c>
      <c r="D39" s="134">
        <v>46002</v>
      </c>
      <c r="E39" s="134">
        <v>45995</v>
      </c>
      <c r="F39" s="134">
        <v>46000</v>
      </c>
      <c r="G39" s="134">
        <v>46000</v>
      </c>
      <c r="H39" s="134">
        <v>45996</v>
      </c>
      <c r="I39" s="134">
        <v>45994</v>
      </c>
      <c r="J39" s="134">
        <v>46001</v>
      </c>
      <c r="K39" s="134">
        <v>45999</v>
      </c>
      <c r="L39" s="134">
        <v>46000</v>
      </c>
      <c r="M39" s="134">
        <v>46001</v>
      </c>
      <c r="N39" s="134">
        <v>46000</v>
      </c>
      <c r="O39" s="134">
        <v>45994</v>
      </c>
      <c r="P39" s="134">
        <v>46001</v>
      </c>
      <c r="Q39" s="134">
        <v>46000</v>
      </c>
    </row>
    <row r="40" spans="1:17" x14ac:dyDescent="0.25">
      <c r="A40" s="969">
        <v>45992</v>
      </c>
      <c r="B40" s="972" t="s">
        <v>74</v>
      </c>
      <c r="C40" s="984" t="s">
        <v>77</v>
      </c>
      <c r="D40" s="984" t="s">
        <v>78</v>
      </c>
      <c r="E40" s="1054" t="s">
        <v>79</v>
      </c>
      <c r="F40" s="984" t="s">
        <v>79</v>
      </c>
      <c r="G40" s="984" t="s">
        <v>79</v>
      </c>
      <c r="H40" s="984" t="s">
        <v>81</v>
      </c>
      <c r="I40" s="984" t="s">
        <v>79</v>
      </c>
      <c r="J40" s="984" t="s">
        <v>79</v>
      </c>
      <c r="K40" s="984" t="s">
        <v>82</v>
      </c>
      <c r="L40" s="984" t="s">
        <v>80</v>
      </c>
      <c r="M40" s="984" t="s">
        <v>83</v>
      </c>
      <c r="N40" s="984" t="s">
        <v>78</v>
      </c>
      <c r="O40" s="984" t="s">
        <v>79</v>
      </c>
      <c r="P40" s="984" t="s">
        <v>78</v>
      </c>
      <c r="Q40" s="984" t="s">
        <v>80</v>
      </c>
    </row>
    <row r="41" spans="1:17" x14ac:dyDescent="0.25">
      <c r="A41" s="969">
        <v>45992</v>
      </c>
      <c r="B41" s="972" t="s">
        <v>75</v>
      </c>
      <c r="C41" s="134">
        <v>45988</v>
      </c>
      <c r="D41" s="134">
        <v>45988</v>
      </c>
      <c r="E41" s="134">
        <v>45988</v>
      </c>
      <c r="F41" s="134">
        <v>45988</v>
      </c>
      <c r="G41" s="134">
        <v>45988</v>
      </c>
      <c r="H41" s="134">
        <v>45988</v>
      </c>
      <c r="I41" s="134">
        <v>45988</v>
      </c>
      <c r="J41" s="134">
        <v>45988</v>
      </c>
      <c r="K41" s="134">
        <v>45988</v>
      </c>
      <c r="L41" s="134">
        <v>45988</v>
      </c>
      <c r="M41" s="134">
        <v>45988</v>
      </c>
      <c r="N41" s="134">
        <v>45988</v>
      </c>
      <c r="O41" s="134">
        <v>45988</v>
      </c>
      <c r="P41" s="134">
        <v>45988</v>
      </c>
      <c r="Q41" s="134">
        <v>45988</v>
      </c>
    </row>
    <row r="42" spans="1:17" x14ac:dyDescent="0.25">
      <c r="A42" s="969">
        <v>45992</v>
      </c>
      <c r="B42" s="972" t="s">
        <v>76</v>
      </c>
      <c r="C42" s="985" t="s">
        <v>86</v>
      </c>
      <c r="D42" s="985" t="s">
        <v>86</v>
      </c>
      <c r="E42" s="985" t="s">
        <v>86</v>
      </c>
      <c r="F42" s="985" t="s">
        <v>86</v>
      </c>
      <c r="G42" s="985" t="s">
        <v>86</v>
      </c>
      <c r="H42" s="985" t="s">
        <v>86</v>
      </c>
      <c r="I42" s="985" t="s">
        <v>86</v>
      </c>
      <c r="J42" s="985" t="s">
        <v>86</v>
      </c>
      <c r="K42" s="985" t="s">
        <v>86</v>
      </c>
      <c r="L42" s="985" t="s">
        <v>86</v>
      </c>
      <c r="M42" s="985" t="s">
        <v>86</v>
      </c>
      <c r="N42" s="985" t="s">
        <v>86</v>
      </c>
      <c r="O42" s="985" t="s">
        <v>86</v>
      </c>
      <c r="P42" s="985" t="s">
        <v>86</v>
      </c>
      <c r="Q42" s="985" t="s">
        <v>86</v>
      </c>
    </row>
    <row r="43" spans="1:17" x14ac:dyDescent="0.25">
      <c r="A43" s="969">
        <v>46023</v>
      </c>
      <c r="B43" s="972" t="s">
        <v>72</v>
      </c>
      <c r="C43" s="983">
        <v>2548</v>
      </c>
      <c r="D43" s="983">
        <v>2549</v>
      </c>
      <c r="E43" s="983">
        <v>2550</v>
      </c>
      <c r="F43" s="983">
        <v>2551</v>
      </c>
      <c r="G43" s="983">
        <v>2552</v>
      </c>
      <c r="H43" s="983">
        <v>2553</v>
      </c>
      <c r="I43" s="983">
        <v>2554</v>
      </c>
      <c r="J43" s="983">
        <v>2555</v>
      </c>
      <c r="K43" s="983">
        <v>2556</v>
      </c>
      <c r="L43" s="983">
        <v>2557</v>
      </c>
      <c r="M43" s="983">
        <v>2558</v>
      </c>
      <c r="N43" s="983">
        <v>2559</v>
      </c>
      <c r="O43" s="983">
        <v>2560</v>
      </c>
      <c r="P43" s="983">
        <v>2561</v>
      </c>
      <c r="Q43" s="983">
        <v>2562</v>
      </c>
    </row>
    <row r="44" spans="1:17" x14ac:dyDescent="0.25">
      <c r="A44" s="969">
        <v>46023</v>
      </c>
      <c r="B44" s="972" t="s">
        <v>73</v>
      </c>
      <c r="C44" s="134">
        <v>46025</v>
      </c>
      <c r="D44" s="134">
        <v>46029</v>
      </c>
      <c r="E44" s="134">
        <v>46029</v>
      </c>
      <c r="F44" s="134">
        <v>46034</v>
      </c>
      <c r="G44" s="134">
        <v>46024</v>
      </c>
      <c r="H44" s="134">
        <v>46028</v>
      </c>
      <c r="I44" s="134">
        <v>46025</v>
      </c>
      <c r="J44" s="134">
        <v>46031</v>
      </c>
      <c r="K44" s="134">
        <v>46024</v>
      </c>
      <c r="L44" s="134">
        <v>46031</v>
      </c>
      <c r="M44" s="134">
        <v>46034</v>
      </c>
      <c r="N44" s="134">
        <v>46025</v>
      </c>
      <c r="O44" s="134">
        <v>45994</v>
      </c>
      <c r="P44" s="134">
        <v>46031</v>
      </c>
      <c r="Q44" s="134">
        <v>46030</v>
      </c>
    </row>
    <row r="45" spans="1:17" x14ac:dyDescent="0.25">
      <c r="A45" s="969">
        <v>46023</v>
      </c>
      <c r="B45" s="972" t="s">
        <v>74</v>
      </c>
      <c r="C45" s="984" t="s">
        <v>77</v>
      </c>
      <c r="D45" s="984" t="s">
        <v>78</v>
      </c>
      <c r="E45" s="1054" t="s">
        <v>79</v>
      </c>
      <c r="F45" s="984" t="s">
        <v>78</v>
      </c>
      <c r="G45" s="984" t="s">
        <v>79</v>
      </c>
      <c r="H45" s="984" t="s">
        <v>81</v>
      </c>
      <c r="I45" s="984" t="s">
        <v>79</v>
      </c>
      <c r="J45" s="984" t="s">
        <v>79</v>
      </c>
      <c r="K45" s="984" t="s">
        <v>82</v>
      </c>
      <c r="L45" s="984" t="s">
        <v>80</v>
      </c>
      <c r="M45" s="984" t="s">
        <v>83</v>
      </c>
      <c r="N45" s="984" t="s">
        <v>78</v>
      </c>
      <c r="O45" s="984" t="s">
        <v>79</v>
      </c>
      <c r="P45" s="984" t="s">
        <v>78</v>
      </c>
      <c r="Q45" s="984" t="s">
        <v>80</v>
      </c>
    </row>
    <row r="46" spans="1:17" x14ac:dyDescent="0.25">
      <c r="A46" s="969">
        <v>46023</v>
      </c>
      <c r="B46" s="972" t="s">
        <v>75</v>
      </c>
      <c r="C46" s="134">
        <v>46019</v>
      </c>
      <c r="D46" s="134">
        <v>46019</v>
      </c>
      <c r="E46" s="134">
        <v>46019</v>
      </c>
      <c r="F46" s="134">
        <v>46019</v>
      </c>
      <c r="G46" s="134">
        <v>46019</v>
      </c>
      <c r="H46" s="134">
        <v>46019</v>
      </c>
      <c r="I46" s="134">
        <v>46019</v>
      </c>
      <c r="J46" s="134">
        <v>46019</v>
      </c>
      <c r="K46" s="134">
        <v>46019</v>
      </c>
      <c r="L46" s="134">
        <v>46019</v>
      </c>
      <c r="M46" s="134">
        <v>46019</v>
      </c>
      <c r="N46" s="134">
        <v>46019</v>
      </c>
      <c r="O46" s="134">
        <v>46019</v>
      </c>
      <c r="P46" s="134">
        <v>46019</v>
      </c>
      <c r="Q46" s="134">
        <v>46019</v>
      </c>
    </row>
    <row r="47" spans="1:17" x14ac:dyDescent="0.25">
      <c r="A47" s="969">
        <v>46023</v>
      </c>
      <c r="B47" s="972" t="s">
        <v>76</v>
      </c>
      <c r="C47" s="985" t="s">
        <v>86</v>
      </c>
      <c r="D47" s="985" t="s">
        <v>86</v>
      </c>
      <c r="E47" s="985" t="s">
        <v>86</v>
      </c>
      <c r="F47" s="985" t="s">
        <v>86</v>
      </c>
      <c r="G47" s="985" t="s">
        <v>86</v>
      </c>
      <c r="H47" s="985" t="s">
        <v>86</v>
      </c>
      <c r="I47" s="985" t="s">
        <v>86</v>
      </c>
      <c r="J47" s="985" t="s">
        <v>86</v>
      </c>
      <c r="K47" s="985" t="s">
        <v>86</v>
      </c>
      <c r="L47" s="985" t="s">
        <v>86</v>
      </c>
      <c r="M47" s="985" t="s">
        <v>86</v>
      </c>
      <c r="N47" s="985" t="s">
        <v>86</v>
      </c>
      <c r="O47" s="985" t="s">
        <v>86</v>
      </c>
      <c r="P47" s="985" t="s">
        <v>86</v>
      </c>
      <c r="Q47" s="985" t="s">
        <v>86</v>
      </c>
    </row>
    <row r="48" spans="1:17" x14ac:dyDescent="0.25">
      <c r="A48" s="969">
        <v>46054</v>
      </c>
      <c r="B48" s="972" t="s">
        <v>72</v>
      </c>
      <c r="C48" s="983">
        <v>2563</v>
      </c>
      <c r="D48" s="983">
        <v>2564</v>
      </c>
      <c r="E48" s="983">
        <v>2565</v>
      </c>
      <c r="F48" s="983">
        <v>2566</v>
      </c>
      <c r="G48" s="983">
        <v>2567</v>
      </c>
      <c r="H48" s="983">
        <v>2568</v>
      </c>
      <c r="I48" s="983">
        <v>2569</v>
      </c>
      <c r="J48" s="983">
        <v>2570</v>
      </c>
      <c r="K48" s="983">
        <v>2571</v>
      </c>
      <c r="L48" s="983">
        <v>2572</v>
      </c>
      <c r="M48" s="983">
        <v>2573</v>
      </c>
      <c r="N48" s="983">
        <v>2574</v>
      </c>
      <c r="O48" s="983">
        <v>2575</v>
      </c>
      <c r="P48" s="983">
        <v>2576</v>
      </c>
      <c r="Q48" s="983">
        <v>2577</v>
      </c>
    </row>
    <row r="49" spans="1:17" x14ac:dyDescent="0.25">
      <c r="A49" s="969">
        <v>46054</v>
      </c>
      <c r="B49" s="972" t="s">
        <v>73</v>
      </c>
      <c r="C49" s="134">
        <v>46063</v>
      </c>
      <c r="D49" s="134">
        <v>46062</v>
      </c>
      <c r="E49" s="134">
        <v>46057</v>
      </c>
      <c r="F49" s="134">
        <v>46062</v>
      </c>
      <c r="G49" s="134">
        <v>46062</v>
      </c>
      <c r="H49" s="134">
        <v>46055</v>
      </c>
      <c r="I49" s="134">
        <v>46054</v>
      </c>
      <c r="J49" s="134">
        <v>46063</v>
      </c>
      <c r="K49" s="134">
        <v>46064</v>
      </c>
      <c r="L49" s="134">
        <v>46062</v>
      </c>
      <c r="M49" s="134">
        <v>46063</v>
      </c>
      <c r="N49" s="134">
        <v>46062</v>
      </c>
      <c r="O49" s="134">
        <v>45994</v>
      </c>
      <c r="P49" s="134">
        <v>46063</v>
      </c>
      <c r="Q49" s="134">
        <v>46062</v>
      </c>
    </row>
    <row r="50" spans="1:17" x14ac:dyDescent="0.25">
      <c r="A50" s="969">
        <v>46054</v>
      </c>
      <c r="B50" s="972" t="s">
        <v>74</v>
      </c>
      <c r="C50" s="984" t="s">
        <v>77</v>
      </c>
      <c r="D50" s="984" t="s">
        <v>78</v>
      </c>
      <c r="E50" s="1054" t="s">
        <v>79</v>
      </c>
      <c r="F50" s="984" t="s">
        <v>556</v>
      </c>
      <c r="G50" s="984" t="s">
        <v>79</v>
      </c>
      <c r="H50" s="984" t="s">
        <v>81</v>
      </c>
      <c r="I50" s="984" t="s">
        <v>79</v>
      </c>
      <c r="J50" s="984" t="s">
        <v>79</v>
      </c>
      <c r="K50" s="984" t="s">
        <v>82</v>
      </c>
      <c r="L50" s="984" t="s">
        <v>80</v>
      </c>
      <c r="M50" s="984" t="s">
        <v>83</v>
      </c>
      <c r="N50" s="1054" t="s">
        <v>78</v>
      </c>
      <c r="O50" s="984" t="s">
        <v>79</v>
      </c>
      <c r="P50" s="984" t="s">
        <v>78</v>
      </c>
      <c r="Q50" s="984" t="s">
        <v>80</v>
      </c>
    </row>
    <row r="51" spans="1:17" x14ac:dyDescent="0.25">
      <c r="A51" s="969">
        <v>46054</v>
      </c>
      <c r="B51" s="972" t="s">
        <v>75</v>
      </c>
      <c r="C51" s="134">
        <v>46050</v>
      </c>
      <c r="D51" s="134">
        <v>46050</v>
      </c>
      <c r="E51" s="134">
        <v>46050</v>
      </c>
      <c r="F51" s="134">
        <v>46050</v>
      </c>
      <c r="G51" s="134">
        <v>46050</v>
      </c>
      <c r="H51" s="134">
        <v>46050</v>
      </c>
      <c r="I51" s="134">
        <v>46050</v>
      </c>
      <c r="J51" s="134">
        <v>46050</v>
      </c>
      <c r="K51" s="134">
        <v>46050</v>
      </c>
      <c r="L51" s="134">
        <v>46050</v>
      </c>
      <c r="M51" s="134">
        <v>46050</v>
      </c>
      <c r="N51" s="134">
        <v>46050</v>
      </c>
      <c r="O51" s="134">
        <v>46050</v>
      </c>
      <c r="P51" s="134">
        <v>46050</v>
      </c>
      <c r="Q51" s="134">
        <v>46050</v>
      </c>
    </row>
    <row r="52" spans="1:17" x14ac:dyDescent="0.25">
      <c r="A52" s="969">
        <v>46054</v>
      </c>
      <c r="B52" s="972" t="s">
        <v>76</v>
      </c>
      <c r="C52" s="985" t="s">
        <v>86</v>
      </c>
      <c r="D52" s="985" t="s">
        <v>86</v>
      </c>
      <c r="E52" s="985" t="s">
        <v>86</v>
      </c>
      <c r="F52" s="985" t="s">
        <v>86</v>
      </c>
      <c r="G52" s="985" t="s">
        <v>86</v>
      </c>
      <c r="H52" s="985" t="s">
        <v>86</v>
      </c>
      <c r="I52" s="985" t="s">
        <v>86</v>
      </c>
      <c r="J52" s="985" t="s">
        <v>86</v>
      </c>
      <c r="K52" s="985" t="s">
        <v>86</v>
      </c>
      <c r="L52" s="985" t="s">
        <v>86</v>
      </c>
      <c r="M52" s="985" t="s">
        <v>86</v>
      </c>
      <c r="N52" s="985" t="s">
        <v>86</v>
      </c>
      <c r="O52" s="985" t="s">
        <v>86</v>
      </c>
      <c r="P52" s="985" t="s">
        <v>86</v>
      </c>
      <c r="Q52" s="985" t="s">
        <v>86</v>
      </c>
    </row>
    <row r="53" spans="1:17" x14ac:dyDescent="0.25">
      <c r="A53" s="961">
        <v>46082</v>
      </c>
      <c r="B53" s="962" t="s">
        <v>72</v>
      </c>
      <c r="C53" s="649">
        <v>2578</v>
      </c>
      <c r="D53" s="649">
        <v>2579</v>
      </c>
      <c r="E53" s="649">
        <v>2580</v>
      </c>
      <c r="F53" s="649">
        <v>2581</v>
      </c>
      <c r="G53" s="649">
        <v>2582</v>
      </c>
      <c r="H53" s="649">
        <v>2583</v>
      </c>
      <c r="I53" s="649">
        <v>2584</v>
      </c>
      <c r="J53" s="649">
        <v>2585</v>
      </c>
      <c r="K53" s="649">
        <v>2586</v>
      </c>
      <c r="L53" s="649">
        <v>2587</v>
      </c>
      <c r="M53" s="649">
        <v>2588</v>
      </c>
      <c r="N53" s="649">
        <v>2589</v>
      </c>
      <c r="O53" s="649">
        <v>2590</v>
      </c>
      <c r="P53" s="649">
        <v>2591</v>
      </c>
      <c r="Q53" s="649">
        <v>2592</v>
      </c>
    </row>
    <row r="54" spans="1:17" x14ac:dyDescent="0.25">
      <c r="A54" s="961">
        <v>46082</v>
      </c>
      <c r="B54" s="962" t="s">
        <v>73</v>
      </c>
      <c r="C54" s="493">
        <v>46093</v>
      </c>
      <c r="D54" s="493">
        <v>46092</v>
      </c>
      <c r="E54" s="493">
        <v>46084</v>
      </c>
      <c r="F54" s="493">
        <v>46094</v>
      </c>
      <c r="G54" s="493">
        <v>46090</v>
      </c>
      <c r="H54" s="493">
        <v>46086</v>
      </c>
      <c r="I54" s="493">
        <v>46085</v>
      </c>
      <c r="J54" s="493">
        <v>46091</v>
      </c>
      <c r="K54" s="493">
        <v>46090</v>
      </c>
      <c r="L54" s="493">
        <v>46090</v>
      </c>
      <c r="M54" s="493">
        <v>46091</v>
      </c>
      <c r="N54" s="493">
        <v>46090</v>
      </c>
      <c r="O54" s="493">
        <v>45994</v>
      </c>
      <c r="P54" s="493">
        <v>46091</v>
      </c>
      <c r="Q54" s="493">
        <v>46090</v>
      </c>
    </row>
    <row r="55" spans="1:17" x14ac:dyDescent="0.25">
      <c r="A55" s="961">
        <v>46082</v>
      </c>
      <c r="B55" s="962" t="s">
        <v>74</v>
      </c>
      <c r="C55" s="650" t="s">
        <v>77</v>
      </c>
      <c r="D55" s="650" t="s">
        <v>78</v>
      </c>
      <c r="E55" s="1053" t="s">
        <v>79</v>
      </c>
      <c r="F55" s="650" t="s">
        <v>564</v>
      </c>
      <c r="G55" s="650" t="s">
        <v>79</v>
      </c>
      <c r="H55" s="650" t="s">
        <v>81</v>
      </c>
      <c r="I55" s="650" t="s">
        <v>79</v>
      </c>
      <c r="J55" s="650" t="s">
        <v>79</v>
      </c>
      <c r="K55" s="650" t="s">
        <v>82</v>
      </c>
      <c r="L55" s="650" t="s">
        <v>80</v>
      </c>
      <c r="M55" s="650" t="s">
        <v>83</v>
      </c>
      <c r="N55" s="1054" t="s">
        <v>78</v>
      </c>
      <c r="O55" s="650" t="s">
        <v>79</v>
      </c>
      <c r="P55" s="650" t="s">
        <v>78</v>
      </c>
      <c r="Q55" s="650" t="s">
        <v>80</v>
      </c>
    </row>
    <row r="56" spans="1:17" x14ac:dyDescent="0.25">
      <c r="A56" s="961">
        <v>46082</v>
      </c>
      <c r="B56" s="962" t="s">
        <v>75</v>
      </c>
      <c r="C56" s="493">
        <v>46081</v>
      </c>
      <c r="D56" s="493">
        <v>46081</v>
      </c>
      <c r="E56" s="493">
        <v>46081</v>
      </c>
      <c r="F56" s="493">
        <v>46081</v>
      </c>
      <c r="G56" s="493">
        <v>46081</v>
      </c>
      <c r="H56" s="493">
        <v>46081</v>
      </c>
      <c r="I56" s="493">
        <v>46081</v>
      </c>
      <c r="J56" s="493">
        <v>46081</v>
      </c>
      <c r="K56" s="493">
        <v>46081</v>
      </c>
      <c r="L56" s="493">
        <v>46081</v>
      </c>
      <c r="M56" s="493">
        <v>46081</v>
      </c>
      <c r="N56" s="493">
        <v>46081</v>
      </c>
      <c r="O56" s="493">
        <v>46081</v>
      </c>
      <c r="P56" s="493">
        <v>46081</v>
      </c>
      <c r="Q56" s="493">
        <v>46081</v>
      </c>
    </row>
    <row r="57" spans="1:17" x14ac:dyDescent="0.25">
      <c r="A57" s="961">
        <v>46082</v>
      </c>
      <c r="B57" s="962" t="s">
        <v>76</v>
      </c>
      <c r="C57" s="651" t="s">
        <v>86</v>
      </c>
      <c r="D57" s="651" t="s">
        <v>86</v>
      </c>
      <c r="E57" s="651" t="s">
        <v>86</v>
      </c>
      <c r="F57" s="651" t="s">
        <v>86</v>
      </c>
      <c r="G57" s="651" t="s">
        <v>86</v>
      </c>
      <c r="H57" s="651" t="s">
        <v>86</v>
      </c>
      <c r="I57" s="651" t="s">
        <v>86</v>
      </c>
      <c r="J57" s="651" t="s">
        <v>86</v>
      </c>
      <c r="K57" s="651" t="s">
        <v>86</v>
      </c>
      <c r="L57" s="651" t="s">
        <v>86</v>
      </c>
      <c r="M57" s="651" t="s">
        <v>86</v>
      </c>
      <c r="N57" s="651" t="s">
        <v>86</v>
      </c>
      <c r="O57" s="651" t="s">
        <v>86</v>
      </c>
      <c r="P57" s="651" t="s">
        <v>86</v>
      </c>
      <c r="Q57" s="651" t="s">
        <v>86</v>
      </c>
    </row>
    <row r="58" spans="1:17" x14ac:dyDescent="0.25">
      <c r="A58" s="961">
        <v>46113</v>
      </c>
      <c r="B58" s="962" t="s">
        <v>72</v>
      </c>
      <c r="C58" s="649">
        <v>2593</v>
      </c>
      <c r="D58" s="649">
        <v>2594</v>
      </c>
      <c r="E58" s="649">
        <v>2595</v>
      </c>
      <c r="F58" s="649">
        <v>2596</v>
      </c>
      <c r="G58" s="649">
        <v>2597</v>
      </c>
      <c r="H58" s="649">
        <v>2598</v>
      </c>
      <c r="I58" s="649">
        <v>2599</v>
      </c>
      <c r="J58" s="649">
        <v>2600</v>
      </c>
      <c r="K58" s="649">
        <v>2601</v>
      </c>
      <c r="L58" s="649">
        <v>2602</v>
      </c>
      <c r="M58" s="649">
        <v>2603</v>
      </c>
      <c r="N58" s="649">
        <v>2604</v>
      </c>
      <c r="O58" s="649">
        <v>2605</v>
      </c>
      <c r="P58" s="649">
        <v>2606</v>
      </c>
      <c r="Q58" s="649">
        <v>2607</v>
      </c>
    </row>
    <row r="59" spans="1:17" x14ac:dyDescent="0.25">
      <c r="A59" s="961">
        <v>46113</v>
      </c>
      <c r="B59" s="962" t="s">
        <v>73</v>
      </c>
      <c r="C59" s="493">
        <v>46125</v>
      </c>
      <c r="D59" s="493">
        <v>46115</v>
      </c>
      <c r="E59" s="493">
        <v>46125</v>
      </c>
      <c r="F59" s="493">
        <v>46125</v>
      </c>
      <c r="G59" s="493">
        <v>46121</v>
      </c>
      <c r="H59" s="493">
        <v>46114</v>
      </c>
      <c r="I59" s="493">
        <v>46113</v>
      </c>
      <c r="J59" s="493">
        <v>46122</v>
      </c>
      <c r="K59" s="493">
        <v>46123</v>
      </c>
      <c r="L59" s="493">
        <v>46121</v>
      </c>
      <c r="M59" s="493">
        <v>46122</v>
      </c>
      <c r="N59" s="493">
        <v>46121</v>
      </c>
      <c r="O59" s="493">
        <v>45994</v>
      </c>
      <c r="P59" s="493">
        <v>46122</v>
      </c>
      <c r="Q59" s="493">
        <v>46122</v>
      </c>
    </row>
    <row r="60" spans="1:17" x14ac:dyDescent="0.25">
      <c r="A60" s="961">
        <v>46113</v>
      </c>
      <c r="B60" s="962" t="s">
        <v>74</v>
      </c>
      <c r="C60" s="650" t="s">
        <v>77</v>
      </c>
      <c r="D60" s="650" t="s">
        <v>78</v>
      </c>
      <c r="E60" s="1053" t="s">
        <v>81</v>
      </c>
      <c r="F60" s="650" t="s">
        <v>78</v>
      </c>
      <c r="G60" s="650" t="s">
        <v>79</v>
      </c>
      <c r="H60" s="650" t="s">
        <v>81</v>
      </c>
      <c r="I60" s="650" t="s">
        <v>79</v>
      </c>
      <c r="J60" s="650" t="s">
        <v>79</v>
      </c>
      <c r="K60" s="650" t="s">
        <v>82</v>
      </c>
      <c r="L60" s="650" t="s">
        <v>80</v>
      </c>
      <c r="M60" s="650" t="s">
        <v>83</v>
      </c>
      <c r="N60" s="1054" t="s">
        <v>78</v>
      </c>
      <c r="O60" s="650" t="s">
        <v>79</v>
      </c>
      <c r="P60" s="650" t="s">
        <v>78</v>
      </c>
      <c r="Q60" s="650" t="s">
        <v>80</v>
      </c>
    </row>
    <row r="61" spans="1:17" x14ac:dyDescent="0.25">
      <c r="A61" s="961">
        <v>46113</v>
      </c>
      <c r="B61" s="962" t="s">
        <v>75</v>
      </c>
      <c r="C61" s="493">
        <v>46110</v>
      </c>
      <c r="D61" s="493">
        <v>46110</v>
      </c>
      <c r="E61" s="493">
        <v>46110</v>
      </c>
      <c r="F61" s="493">
        <v>46110</v>
      </c>
      <c r="G61" s="493">
        <v>46110</v>
      </c>
      <c r="H61" s="493">
        <v>46110</v>
      </c>
      <c r="I61" s="493">
        <v>46110</v>
      </c>
      <c r="J61" s="493">
        <v>46110</v>
      </c>
      <c r="K61" s="493">
        <v>46110</v>
      </c>
      <c r="L61" s="493">
        <v>46110</v>
      </c>
      <c r="M61" s="493">
        <v>46110</v>
      </c>
      <c r="N61" s="493">
        <v>46110</v>
      </c>
      <c r="O61" s="493">
        <v>46110</v>
      </c>
      <c r="P61" s="493">
        <v>46110</v>
      </c>
      <c r="Q61" s="493">
        <v>46110</v>
      </c>
    </row>
    <row r="62" spans="1:17" x14ac:dyDescent="0.25">
      <c r="A62" s="961">
        <v>46113</v>
      </c>
      <c r="B62" s="962" t="s">
        <v>76</v>
      </c>
      <c r="C62" s="651" t="s">
        <v>86</v>
      </c>
      <c r="D62" s="651" t="s">
        <v>86</v>
      </c>
      <c r="E62" s="651" t="s">
        <v>86</v>
      </c>
      <c r="F62" s="651" t="s">
        <v>86</v>
      </c>
      <c r="G62" s="651" t="s">
        <v>86</v>
      </c>
      <c r="H62" s="651" t="s">
        <v>86</v>
      </c>
      <c r="I62" s="651" t="s">
        <v>86</v>
      </c>
      <c r="J62" s="651" t="s">
        <v>86</v>
      </c>
      <c r="K62" s="651" t="s">
        <v>86</v>
      </c>
      <c r="L62" s="651" t="s">
        <v>86</v>
      </c>
      <c r="M62" s="651" t="s">
        <v>86</v>
      </c>
      <c r="N62" s="651" t="s">
        <v>86</v>
      </c>
      <c r="O62" s="651" t="s">
        <v>86</v>
      </c>
      <c r="P62" s="651" t="s">
        <v>86</v>
      </c>
      <c r="Q62" s="651" t="s">
        <v>86</v>
      </c>
    </row>
    <row r="63" spans="1:17" ht="15.75" x14ac:dyDescent="0.25">
      <c r="A63" s="961">
        <v>46143</v>
      </c>
      <c r="B63" s="962" t="s">
        <v>72</v>
      </c>
      <c r="C63" s="963"/>
      <c r="D63" s="963"/>
      <c r="E63" s="963"/>
      <c r="F63" s="963"/>
      <c r="G63" s="963"/>
      <c r="H63" s="963"/>
      <c r="I63" s="963"/>
      <c r="J63" s="963"/>
      <c r="K63" s="963"/>
      <c r="L63" s="963"/>
      <c r="M63" s="963"/>
      <c r="N63" s="963"/>
      <c r="O63" s="963"/>
      <c r="P63" s="963"/>
      <c r="Q63" s="963"/>
    </row>
    <row r="64" spans="1:17" ht="15.75" x14ac:dyDescent="0.25">
      <c r="A64" s="961">
        <v>46143</v>
      </c>
      <c r="B64" s="962" t="s">
        <v>73</v>
      </c>
      <c r="C64" s="964"/>
      <c r="D64" s="964"/>
      <c r="E64" s="964"/>
      <c r="F64" s="964"/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Q64" s="964"/>
    </row>
    <row r="65" spans="1:17" ht="15.75" x14ac:dyDescent="0.25">
      <c r="A65" s="961">
        <v>46143</v>
      </c>
      <c r="B65" s="962" t="s">
        <v>74</v>
      </c>
      <c r="C65" s="965"/>
      <c r="D65" s="966"/>
      <c r="E65" s="965"/>
      <c r="F65" s="965"/>
      <c r="G65" s="965"/>
      <c r="H65" s="965"/>
      <c r="I65" s="965"/>
      <c r="J65" s="965"/>
      <c r="K65" s="965"/>
      <c r="L65" s="965"/>
      <c r="M65" s="965"/>
      <c r="N65" s="965"/>
      <c r="O65" s="965"/>
      <c r="P65" s="965"/>
      <c r="Q65" s="965"/>
    </row>
    <row r="66" spans="1:17" ht="15.75" x14ac:dyDescent="0.25">
      <c r="A66" s="961">
        <v>46143</v>
      </c>
      <c r="B66" s="962" t="s">
        <v>75</v>
      </c>
      <c r="C66" s="964"/>
      <c r="D66" s="964"/>
      <c r="E66" s="964"/>
      <c r="F66" s="964"/>
      <c r="G66" s="964"/>
      <c r="H66" s="964"/>
      <c r="I66" s="964"/>
      <c r="J66" s="964"/>
      <c r="K66" s="964"/>
      <c r="L66" s="964"/>
      <c r="M66" s="964"/>
      <c r="N66" s="964"/>
      <c r="O66" s="964"/>
      <c r="P66" s="964"/>
      <c r="Q66" s="964"/>
    </row>
    <row r="67" spans="1:17" ht="15.75" x14ac:dyDescent="0.25">
      <c r="A67" s="961">
        <v>46143</v>
      </c>
      <c r="B67" s="962" t="s">
        <v>76</v>
      </c>
      <c r="C67" s="964"/>
      <c r="D67" s="964"/>
      <c r="E67" s="964"/>
      <c r="F67" s="964"/>
      <c r="G67" s="964"/>
      <c r="H67" s="964"/>
      <c r="I67" s="964"/>
      <c r="J67" s="964"/>
      <c r="K67" s="964"/>
      <c r="L67" s="964"/>
      <c r="M67" s="964"/>
      <c r="N67" s="964"/>
      <c r="O67" s="964"/>
      <c r="P67" s="964"/>
      <c r="Q67" s="967"/>
    </row>
  </sheetData>
  <autoFilter ref="A2:Q67" xr:uid="{27453A56-3CD4-4E36-A992-7449201DE6D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D102-D417-40AB-A8C8-6009C2C1B4A9}">
  <dimension ref="A1:G80"/>
  <sheetViews>
    <sheetView view="pageBreakPreview" zoomScaleNormal="100" zoomScaleSheetLayoutView="100" workbookViewId="0">
      <selection sqref="A1:G1"/>
    </sheetView>
  </sheetViews>
  <sheetFormatPr defaultRowHeight="15" x14ac:dyDescent="0.25"/>
  <cols>
    <col min="2" max="2" width="9.28515625" customWidth="1"/>
    <col min="3" max="3" width="24.85546875" customWidth="1"/>
    <col min="7" max="7" width="12" customWidth="1"/>
  </cols>
  <sheetData>
    <row r="1" spans="1:7" ht="21" x14ac:dyDescent="0.35">
      <c r="A1" s="1044" t="s">
        <v>13</v>
      </c>
      <c r="B1" s="1045"/>
      <c r="C1" s="1045"/>
      <c r="D1" s="1045"/>
      <c r="E1" s="1045"/>
      <c r="F1" s="1045"/>
      <c r="G1" s="1046"/>
    </row>
    <row r="3" spans="1:7" ht="17.25" x14ac:dyDescent="0.3">
      <c r="A3" s="50" t="s">
        <v>575</v>
      </c>
      <c r="B3" s="50"/>
      <c r="C3" s="50"/>
      <c r="D3" s="50"/>
      <c r="E3" s="50"/>
      <c r="F3" s="50"/>
      <c r="G3" s="50"/>
    </row>
    <row r="4" spans="1:7" ht="17.25" x14ac:dyDescent="0.3">
      <c r="A4" s="50"/>
      <c r="B4" s="50"/>
      <c r="C4" s="50"/>
      <c r="D4" s="50"/>
      <c r="E4" s="50"/>
      <c r="F4" s="50"/>
      <c r="G4" s="50"/>
    </row>
    <row r="5" spans="1:7" ht="17.25" x14ac:dyDescent="0.3">
      <c r="A5" s="50" t="s">
        <v>576</v>
      </c>
      <c r="B5" s="50"/>
      <c r="C5" s="50"/>
      <c r="D5" s="50"/>
      <c r="E5" s="50"/>
      <c r="F5" s="50"/>
      <c r="G5" s="50"/>
    </row>
    <row r="6" spans="1:7" ht="17.25" x14ac:dyDescent="0.3">
      <c r="A6" s="50"/>
      <c r="B6" s="50"/>
      <c r="C6" s="50"/>
      <c r="D6" s="50"/>
      <c r="E6" s="50"/>
      <c r="F6" s="50"/>
      <c r="G6" s="50"/>
    </row>
    <row r="7" spans="1:7" ht="17.25" x14ac:dyDescent="0.3">
      <c r="A7" s="50" t="s">
        <v>577</v>
      </c>
      <c r="B7" s="50"/>
      <c r="C7" s="50"/>
      <c r="D7" s="50"/>
      <c r="E7" s="50"/>
      <c r="F7" s="50"/>
      <c r="G7" s="50"/>
    </row>
    <row r="8" spans="1:7" ht="17.25" x14ac:dyDescent="0.3">
      <c r="A8" s="50"/>
      <c r="B8" s="50"/>
      <c r="C8" s="50"/>
      <c r="D8" s="50"/>
      <c r="E8" s="50"/>
      <c r="F8" s="50"/>
      <c r="G8" s="50"/>
    </row>
    <row r="9" spans="1:7" ht="17.25" x14ac:dyDescent="0.3">
      <c r="A9" s="50" t="s">
        <v>27</v>
      </c>
      <c r="B9" s="50"/>
      <c r="C9" s="50"/>
      <c r="D9" s="50"/>
      <c r="E9" s="50"/>
      <c r="F9" s="50"/>
      <c r="G9" s="50"/>
    </row>
    <row r="10" spans="1:7" ht="17.25" x14ac:dyDescent="0.3">
      <c r="A10" s="50"/>
      <c r="B10" s="50"/>
      <c r="C10" s="50"/>
      <c r="D10" s="50"/>
      <c r="E10" s="50"/>
      <c r="F10" s="50"/>
      <c r="G10" s="50"/>
    </row>
    <row r="11" spans="1:7" ht="33" customHeight="1" x14ac:dyDescent="0.3">
      <c r="A11" s="1050" t="s">
        <v>578</v>
      </c>
      <c r="B11" s="1050"/>
      <c r="C11" s="1050"/>
      <c r="D11" s="1050"/>
      <c r="E11" s="1050"/>
      <c r="F11" s="1050"/>
      <c r="G11" s="1050"/>
    </row>
    <row r="12" spans="1:7" ht="17.25" x14ac:dyDescent="0.3">
      <c r="A12" s="50"/>
      <c r="B12" s="50"/>
      <c r="C12" s="50"/>
      <c r="D12" s="50"/>
      <c r="E12" s="50"/>
      <c r="F12" s="50"/>
      <c r="G12" s="50"/>
    </row>
    <row r="13" spans="1:7" ht="33" customHeight="1" x14ac:dyDescent="0.3">
      <c r="A13" s="1050" t="s">
        <v>579</v>
      </c>
      <c r="B13" s="1050"/>
      <c r="C13" s="1050"/>
      <c r="D13" s="1050"/>
      <c r="E13" s="1050"/>
      <c r="F13" s="1050"/>
      <c r="G13" s="1050"/>
    </row>
    <row r="14" spans="1:7" ht="17.25" x14ac:dyDescent="0.3">
      <c r="A14" s="50"/>
      <c r="B14" s="50"/>
      <c r="C14" s="50"/>
      <c r="D14" s="50"/>
      <c r="E14" s="50"/>
      <c r="F14" s="50"/>
      <c r="G14" s="50"/>
    </row>
    <row r="15" spans="1:7" ht="33" customHeight="1" x14ac:dyDescent="0.3">
      <c r="A15" s="1050"/>
      <c r="B15" s="1050"/>
      <c r="C15" s="1050"/>
      <c r="D15" s="1050"/>
      <c r="E15" s="1050"/>
      <c r="F15" s="1050"/>
      <c r="G15" s="1050"/>
    </row>
    <row r="17" spans="1:7" ht="18.75" x14ac:dyDescent="0.3">
      <c r="A17" s="1" t="str">
        <f>'MEDIÇÕES E TABELAS'!T1</f>
        <v>LANÇAMENTOS - ABRIL/2026</v>
      </c>
      <c r="B17" s="2"/>
      <c r="C17" s="2"/>
      <c r="D17" s="2"/>
      <c r="E17" s="2"/>
      <c r="F17" s="2"/>
      <c r="G17" s="52"/>
    </row>
    <row r="18" spans="1:7" ht="15.75" x14ac:dyDescent="0.25">
      <c r="A18" s="3" t="s">
        <v>0</v>
      </c>
      <c r="B18" s="148" t="s">
        <v>2</v>
      </c>
      <c r="C18" s="4"/>
      <c r="D18" s="4"/>
      <c r="E18" s="4"/>
      <c r="F18" s="4"/>
      <c r="G18" s="57" t="s">
        <v>22</v>
      </c>
    </row>
    <row r="19" spans="1:7" ht="15.75" x14ac:dyDescent="0.25">
      <c r="A19" s="5">
        <v>46122</v>
      </c>
      <c r="B19" s="31" t="s">
        <v>4</v>
      </c>
      <c r="C19" s="6"/>
      <c r="D19" s="6"/>
      <c r="E19" s="6"/>
      <c r="F19" s="32"/>
      <c r="G19" s="51">
        <v>1443.66</v>
      </c>
    </row>
    <row r="20" spans="1:7" ht="15.75" x14ac:dyDescent="0.25">
      <c r="A20" s="5">
        <v>46127</v>
      </c>
      <c r="B20" s="31" t="s">
        <v>32</v>
      </c>
      <c r="C20" s="6"/>
      <c r="D20" s="6"/>
      <c r="E20" s="6"/>
      <c r="F20" s="32"/>
      <c r="G20" s="51">
        <v>1231.1099999999999</v>
      </c>
    </row>
    <row r="21" spans="1:7" ht="15.75" x14ac:dyDescent="0.25">
      <c r="A21" s="5">
        <v>46127</v>
      </c>
      <c r="B21" s="31" t="s">
        <v>525</v>
      </c>
      <c r="C21" s="6"/>
      <c r="D21" s="6"/>
      <c r="E21" s="6"/>
      <c r="F21" s="32"/>
      <c r="G21" s="51">
        <v>236.41</v>
      </c>
    </row>
    <row r="22" spans="1:7" ht="15.75" x14ac:dyDescent="0.25">
      <c r="A22" s="216">
        <v>46129</v>
      </c>
      <c r="B22" s="217" t="s">
        <v>7</v>
      </c>
      <c r="C22" s="218"/>
      <c r="D22" s="218"/>
      <c r="E22" s="218"/>
      <c r="F22" s="219"/>
      <c r="G22" s="215">
        <v>429.96</v>
      </c>
    </row>
    <row r="23" spans="1:7" ht="15.75" x14ac:dyDescent="0.25">
      <c r="A23" s="389">
        <v>46132</v>
      </c>
      <c r="B23" s="390" t="s">
        <v>359</v>
      </c>
      <c r="C23" s="391"/>
      <c r="D23" s="391"/>
      <c r="E23" s="391"/>
      <c r="F23" s="392"/>
      <c r="G23" s="393">
        <v>238.45</v>
      </c>
    </row>
    <row r="24" spans="1:7" ht="15.75" x14ac:dyDescent="0.25">
      <c r="A24" s="5">
        <v>46106</v>
      </c>
      <c r="B24" s="31" t="s">
        <v>580</v>
      </c>
      <c r="C24" s="6"/>
      <c r="D24" s="6"/>
      <c r="E24" s="6"/>
      <c r="F24" s="32"/>
      <c r="G24" s="51">
        <v>259.06</v>
      </c>
    </row>
    <row r="25" spans="1:7" ht="15.75" x14ac:dyDescent="0.25">
      <c r="A25" s="1010">
        <v>46140</v>
      </c>
      <c r="B25" s="1011" t="s">
        <v>8</v>
      </c>
      <c r="C25" s="1012"/>
      <c r="D25" s="1012"/>
      <c r="E25" s="1012"/>
      <c r="F25" s="1013"/>
      <c r="G25" s="1014">
        <v>162</v>
      </c>
    </row>
    <row r="26" spans="1:7" ht="15.75" x14ac:dyDescent="0.25">
      <c r="A26" s="5">
        <v>46113</v>
      </c>
      <c r="B26" s="31" t="s">
        <v>9</v>
      </c>
      <c r="C26" s="6"/>
      <c r="D26" s="6"/>
      <c r="E26" s="6"/>
      <c r="F26" s="32"/>
      <c r="G26" s="51">
        <v>65</v>
      </c>
    </row>
    <row r="27" spans="1:7" ht="21" x14ac:dyDescent="0.35">
      <c r="A27" s="8" t="s">
        <v>10</v>
      </c>
      <c r="B27" s="9"/>
      <c r="C27" s="9"/>
      <c r="D27" s="9"/>
      <c r="E27" s="9"/>
      <c r="F27" s="9"/>
      <c r="G27" s="11">
        <f>SUM(G19:G26)</f>
        <v>4065.6499999999996</v>
      </c>
    </row>
    <row r="28" spans="1:7" ht="21" x14ac:dyDescent="0.35">
      <c r="A28" s="12" t="s">
        <v>11</v>
      </c>
      <c r="B28" s="10"/>
      <c r="C28" s="10"/>
      <c r="D28" s="10"/>
      <c r="E28" s="10"/>
      <c r="F28" s="10"/>
      <c r="G28" s="13">
        <f>ROUND(G27/14,2)</f>
        <v>290.39999999999998</v>
      </c>
    </row>
    <row r="29" spans="1:7" ht="21" x14ac:dyDescent="0.35">
      <c r="A29" s="12" t="s">
        <v>33</v>
      </c>
      <c r="B29" s="10"/>
      <c r="C29" s="10"/>
      <c r="D29" s="10"/>
      <c r="E29" s="10"/>
      <c r="F29" s="10"/>
      <c r="G29" s="13">
        <f>ROUND(G28/13,2)</f>
        <v>22.34</v>
      </c>
    </row>
    <row r="30" spans="1:7" ht="21" x14ac:dyDescent="0.35">
      <c r="A30" s="12" t="s">
        <v>37</v>
      </c>
      <c r="B30" s="10"/>
      <c r="C30" s="10"/>
      <c r="D30" s="10"/>
      <c r="E30" s="10"/>
      <c r="F30" s="10"/>
      <c r="G30" s="13">
        <f>'VRS. DEVIDOS E OUTROS'!F91</f>
        <v>150</v>
      </c>
    </row>
    <row r="31" spans="1:7" ht="21" x14ac:dyDescent="0.35">
      <c r="A31" s="12" t="s">
        <v>12</v>
      </c>
      <c r="B31" s="10"/>
      <c r="C31" s="10"/>
      <c r="D31" s="10"/>
      <c r="E31" s="10"/>
      <c r="F31" s="10"/>
      <c r="G31" s="11">
        <f>G28+G29+G30</f>
        <v>462.73999999999995</v>
      </c>
    </row>
    <row r="42" spans="1:7" ht="21" x14ac:dyDescent="0.35">
      <c r="A42" s="1044" t="s">
        <v>13</v>
      </c>
      <c r="B42" s="1045"/>
      <c r="C42" s="1045"/>
      <c r="D42" s="1045"/>
      <c r="E42" s="1045"/>
      <c r="F42" s="1045"/>
      <c r="G42" s="1046"/>
    </row>
    <row r="43" spans="1:7" ht="18.75" x14ac:dyDescent="0.25">
      <c r="A43" s="18" t="str">
        <f>'MEDIÇÕES E TABELAS'!A140</f>
        <v>VALORES DEVIDOS POR UNIDADE - ABRIL/2026</v>
      </c>
      <c r="B43" s="14"/>
      <c r="C43" s="14"/>
      <c r="D43" s="14"/>
      <c r="E43" s="14"/>
      <c r="F43" s="14"/>
      <c r="G43" s="15"/>
    </row>
    <row r="44" spans="1:7" ht="15.75" x14ac:dyDescent="0.25">
      <c r="A44" s="16"/>
      <c r="B44" s="17"/>
      <c r="C44" s="17"/>
      <c r="D44" s="17"/>
      <c r="E44" s="17"/>
      <c r="F44" s="17"/>
      <c r="G44" s="17"/>
    </row>
    <row r="45" spans="1:7" ht="15.75" x14ac:dyDescent="0.25">
      <c r="A45" s="16"/>
      <c r="B45" s="17"/>
      <c r="C45" s="17"/>
      <c r="D45" s="17"/>
      <c r="E45" s="17"/>
      <c r="F45" s="17"/>
      <c r="G45" s="17"/>
    </row>
    <row r="46" spans="1:7" ht="15.75" x14ac:dyDescent="0.25">
      <c r="A46" s="19" t="s">
        <v>14</v>
      </c>
      <c r="B46" s="20" t="s">
        <v>15</v>
      </c>
      <c r="C46" s="21"/>
      <c r="D46" s="20" t="s">
        <v>16</v>
      </c>
      <c r="E46" s="21"/>
      <c r="F46" s="54" t="s">
        <v>17</v>
      </c>
      <c r="G46" s="55" t="s">
        <v>18</v>
      </c>
    </row>
    <row r="47" spans="1:7" ht="15.75" x14ac:dyDescent="0.25">
      <c r="A47" s="22" t="s">
        <v>19</v>
      </c>
      <c r="B47" s="23" t="s">
        <v>20</v>
      </c>
      <c r="C47" s="23" t="s">
        <v>21</v>
      </c>
      <c r="D47" s="23" t="s">
        <v>20</v>
      </c>
      <c r="E47" s="23" t="s">
        <v>22</v>
      </c>
      <c r="F47" s="53" t="s">
        <v>23</v>
      </c>
      <c r="G47" s="56" t="s">
        <v>23</v>
      </c>
    </row>
    <row r="48" spans="1:7" ht="15.75" x14ac:dyDescent="0.25">
      <c r="A48" s="24" t="s">
        <v>24</v>
      </c>
      <c r="B48" s="25">
        <f>'MEDIÇÕES E TABELAS'!W4</f>
        <v>18.457000000000001</v>
      </c>
      <c r="C48" s="26">
        <f>'MEDIÇÕES E TABELAS'!X4</f>
        <v>236.41</v>
      </c>
      <c r="D48" s="27">
        <f>'MEDIÇÕES E TABELAS'!Z4</f>
        <v>0</v>
      </c>
      <c r="E48" s="26">
        <f>'MEDIÇÕES E TABELAS'!AA4</f>
        <v>0</v>
      </c>
      <c r="F48" s="28">
        <v>0</v>
      </c>
      <c r="G48" s="26">
        <v>0</v>
      </c>
    </row>
    <row r="49" spans="1:7" ht="15.75" x14ac:dyDescent="0.25">
      <c r="A49" s="29">
        <v>201</v>
      </c>
      <c r="B49" s="25">
        <f>'MEDIÇÕES E TABELAS'!W5</f>
        <v>21.885999999999999</v>
      </c>
      <c r="C49" s="26">
        <f>'MEDIÇÕES E TABELAS'!X5</f>
        <v>281.88</v>
      </c>
      <c r="D49" s="27">
        <f>'MEDIÇÕES E TABELAS'!Z6</f>
        <v>0</v>
      </c>
      <c r="E49" s="26">
        <f>'MEDIÇÕES E TABELAS'!AA5</f>
        <v>0</v>
      </c>
      <c r="F49" s="26">
        <f>$G$31</f>
        <v>462.73999999999995</v>
      </c>
      <c r="G49" s="26">
        <f>ROUNDUP(C49+E49+F49,0)</f>
        <v>745</v>
      </c>
    </row>
    <row r="50" spans="1:7" ht="15.75" x14ac:dyDescent="0.25">
      <c r="A50" s="29">
        <v>202</v>
      </c>
      <c r="B50" s="25">
        <f>'MEDIÇÕES E TABELAS'!W7</f>
        <v>16.763000000000002</v>
      </c>
      <c r="C50" s="26">
        <f>'MEDIÇÕES E TABELAS'!X7</f>
        <v>215.24</v>
      </c>
      <c r="D50" s="27">
        <f>'MEDIÇÕES E TABELAS'!Z7</f>
        <v>2.7410000000000001</v>
      </c>
      <c r="E50" s="26">
        <f>'MEDIÇÕES E TABELAS'!AA7</f>
        <v>103.82</v>
      </c>
      <c r="F50" s="26">
        <f t="shared" ref="F50:F61" si="0">$G$31</f>
        <v>462.73999999999995</v>
      </c>
      <c r="G50" s="26">
        <f t="shared" ref="G50:G62" si="1">ROUNDUP(C50+E50+F50,0)</f>
        <v>782</v>
      </c>
    </row>
    <row r="51" spans="1:7" ht="15.75" x14ac:dyDescent="0.25">
      <c r="A51" s="29">
        <v>301</v>
      </c>
      <c r="B51" s="25">
        <f>'MEDIÇÕES E TABELAS'!W8</f>
        <v>19.759</v>
      </c>
      <c r="C51" s="26">
        <f>'MEDIÇÕES E TABELAS'!X8</f>
        <v>253.65</v>
      </c>
      <c r="D51" s="27">
        <f>'MEDIÇÕES E TABELAS'!Z8</f>
        <v>4.0590000000000002</v>
      </c>
      <c r="E51" s="26">
        <f>'MEDIÇÕES E TABELAS'!AA8</f>
        <v>153.72999999999999</v>
      </c>
      <c r="F51" s="26">
        <f t="shared" si="0"/>
        <v>462.73999999999995</v>
      </c>
      <c r="G51" s="26">
        <f t="shared" si="1"/>
        <v>871</v>
      </c>
    </row>
    <row r="52" spans="1:7" ht="15.75" x14ac:dyDescent="0.25">
      <c r="A52" s="29">
        <v>302</v>
      </c>
      <c r="B52" s="25">
        <f>'MEDIÇÕES E TABELAS'!W9</f>
        <v>19.988</v>
      </c>
      <c r="C52" s="26">
        <f>'MEDIÇÕES E TABELAS'!X9</f>
        <v>256.58999999999997</v>
      </c>
      <c r="D52" s="27">
        <f>'MEDIÇÕES E TABELAS'!Z9</f>
        <v>2.4289999999999998</v>
      </c>
      <c r="E52" s="26">
        <f>'MEDIÇÕES E TABELAS'!AA9</f>
        <v>92</v>
      </c>
      <c r="F52" s="26">
        <f t="shared" si="0"/>
        <v>462.73999999999995</v>
      </c>
      <c r="G52" s="26">
        <f t="shared" si="1"/>
        <v>812</v>
      </c>
    </row>
    <row r="53" spans="1:7" ht="15.75" x14ac:dyDescent="0.25">
      <c r="A53" s="29">
        <v>401</v>
      </c>
      <c r="B53" s="25">
        <f>'MEDIÇÕES E TABELAS'!W10</f>
        <v>25.559000000000001</v>
      </c>
      <c r="C53" s="26">
        <f>'MEDIÇÕES E TABELAS'!X10</f>
        <v>329.05</v>
      </c>
      <c r="D53" s="27">
        <f>'MEDIÇÕES E TABELAS'!Z10</f>
        <v>1.4139999999999999</v>
      </c>
      <c r="E53" s="26">
        <f>'MEDIÇÕES E TABELAS'!AA10</f>
        <v>53.56</v>
      </c>
      <c r="F53" s="26">
        <f t="shared" si="0"/>
        <v>462.73999999999995</v>
      </c>
      <c r="G53" s="26">
        <f t="shared" si="1"/>
        <v>846</v>
      </c>
    </row>
    <row r="54" spans="1:7" ht="15.75" x14ac:dyDescent="0.25">
      <c r="A54" s="29">
        <v>402</v>
      </c>
      <c r="B54" s="25">
        <f>'MEDIÇÕES E TABELAS'!W11</f>
        <v>23.777000000000001</v>
      </c>
      <c r="C54" s="26">
        <f>'MEDIÇÕES E TABELAS'!X11</f>
        <v>305.87</v>
      </c>
      <c r="D54" s="27">
        <f>'MEDIÇÕES E TABELAS'!Z11</f>
        <v>4.82</v>
      </c>
      <c r="E54" s="26">
        <f>'MEDIÇÕES E TABELAS'!AA11</f>
        <v>182.56</v>
      </c>
      <c r="F54" s="26">
        <f t="shared" si="0"/>
        <v>462.73999999999995</v>
      </c>
      <c r="G54" s="26">
        <f t="shared" si="1"/>
        <v>952</v>
      </c>
    </row>
    <row r="55" spans="1:7" ht="15.75" x14ac:dyDescent="0.25">
      <c r="A55" s="29">
        <v>501</v>
      </c>
      <c r="B55" s="25">
        <f>'MEDIÇÕES E TABELAS'!W12</f>
        <v>25.420999999999999</v>
      </c>
      <c r="C55" s="26">
        <f>'MEDIÇÕES E TABELAS'!X12</f>
        <v>326.77999999999997</v>
      </c>
      <c r="D55" s="27">
        <f>'MEDIÇÕES E TABELAS'!Z12</f>
        <v>1.2130000000000001</v>
      </c>
      <c r="E55" s="26">
        <f>'MEDIÇÕES E TABELAS'!AA12</f>
        <v>45.94</v>
      </c>
      <c r="F55" s="26">
        <f t="shared" si="0"/>
        <v>462.73999999999995</v>
      </c>
      <c r="G55" s="26">
        <f t="shared" si="1"/>
        <v>836</v>
      </c>
    </row>
    <row r="56" spans="1:7" ht="15.75" x14ac:dyDescent="0.25">
      <c r="A56" s="29">
        <v>502</v>
      </c>
      <c r="B56" s="25">
        <f>'MEDIÇÕES E TABELAS'!W13</f>
        <v>13.441000000000001</v>
      </c>
      <c r="C56" s="26">
        <f>'MEDIÇÕES E TABELAS'!X13</f>
        <v>173.17</v>
      </c>
      <c r="D56" s="27">
        <f>'MEDIÇÕES E TABELAS'!Z13</f>
        <v>1.0289999999999999</v>
      </c>
      <c r="E56" s="26">
        <f>'MEDIÇÕES E TABELAS'!AA13</f>
        <v>38.97</v>
      </c>
      <c r="F56" s="26">
        <f t="shared" si="0"/>
        <v>462.73999999999995</v>
      </c>
      <c r="G56" s="26">
        <f t="shared" si="1"/>
        <v>675</v>
      </c>
    </row>
    <row r="57" spans="1:7" ht="15.75" x14ac:dyDescent="0.25">
      <c r="A57" s="80">
        <v>601</v>
      </c>
      <c r="B57" s="1015">
        <f>'MEDIÇÕES E TABELAS'!W14</f>
        <v>3.9790000000000001</v>
      </c>
      <c r="C57" s="81">
        <f>'MEDIÇÕES E TABELAS'!X14</f>
        <v>50.68</v>
      </c>
      <c r="D57" s="1016">
        <f>'MEDIÇÕES E TABELAS'!Z14</f>
        <v>0.58199999999999996</v>
      </c>
      <c r="E57" s="81">
        <f>'MEDIÇÕES E TABELAS'!AA14</f>
        <v>22.04</v>
      </c>
      <c r="F57" s="81">
        <f t="shared" si="0"/>
        <v>462.73999999999995</v>
      </c>
      <c r="G57" s="81">
        <f t="shared" si="1"/>
        <v>536</v>
      </c>
    </row>
    <row r="58" spans="1:7" ht="15.75" x14ac:dyDescent="0.25">
      <c r="A58" s="29">
        <v>602</v>
      </c>
      <c r="B58" s="25">
        <f>'MEDIÇÕES E TABELAS'!W15</f>
        <v>0.68200000000000005</v>
      </c>
      <c r="C58" s="26">
        <f>'MEDIÇÕES E TABELAS'!X15</f>
        <v>8.7899999999999991</v>
      </c>
      <c r="D58" s="27">
        <f>'MEDIÇÕES E TABELAS'!Z15</f>
        <v>0.13</v>
      </c>
      <c r="E58" s="26">
        <f>'MEDIÇÕES E TABELAS'!AA15</f>
        <v>4.92</v>
      </c>
      <c r="F58" s="26">
        <f t="shared" si="0"/>
        <v>462.73999999999995</v>
      </c>
      <c r="G58" s="26">
        <f t="shared" si="1"/>
        <v>477</v>
      </c>
    </row>
    <row r="59" spans="1:7" ht="15.75" x14ac:dyDescent="0.25">
      <c r="A59" s="29">
        <v>701</v>
      </c>
      <c r="B59" s="25">
        <f>'MEDIÇÕES E TABELAS'!W16</f>
        <v>13.458</v>
      </c>
      <c r="C59" s="26">
        <f>'MEDIÇÕES E TABELAS'!X16</f>
        <v>173.29</v>
      </c>
      <c r="D59" s="27">
        <f>'MEDIÇÕES E TABELAS'!Z16</f>
        <v>0.78500000000000003</v>
      </c>
      <c r="E59" s="26">
        <f>'MEDIÇÕES E TABELAS'!AA16</f>
        <v>29.73</v>
      </c>
      <c r="F59" s="26">
        <f t="shared" si="0"/>
        <v>462.73999999999995</v>
      </c>
      <c r="G59" s="26">
        <f t="shared" si="1"/>
        <v>666</v>
      </c>
    </row>
    <row r="60" spans="1:7" ht="15.75" x14ac:dyDescent="0.25">
      <c r="A60" s="29">
        <v>702</v>
      </c>
      <c r="B60" s="25">
        <f>'MEDIÇÕES E TABELAS'!W17</f>
        <v>7.19</v>
      </c>
      <c r="C60" s="26">
        <f>'MEDIÇÕES E TABELAS'!X17</f>
        <v>91.93</v>
      </c>
      <c r="D60" s="27">
        <f>'MEDIÇÕES E TABELAS'!Z17</f>
        <v>3.7610000000000001</v>
      </c>
      <c r="E60" s="26">
        <f>'MEDIÇÕES E TABELAS'!AA17</f>
        <v>142.44999999999999</v>
      </c>
      <c r="F60" s="26">
        <f t="shared" si="0"/>
        <v>462.73999999999995</v>
      </c>
      <c r="G60" s="26">
        <f t="shared" si="1"/>
        <v>698</v>
      </c>
    </row>
    <row r="61" spans="1:7" ht="15.75" x14ac:dyDescent="0.25">
      <c r="A61" s="29">
        <v>801</v>
      </c>
      <c r="B61" s="25">
        <f>'MEDIÇÕES E TABELAS'!W18</f>
        <v>4.5309999999999997</v>
      </c>
      <c r="C61" s="26">
        <f>'MEDIÇÕES E TABELAS'!X18</f>
        <v>58.51</v>
      </c>
      <c r="D61" s="27">
        <f>'MEDIÇÕES E TABELAS'!Z18</f>
        <v>0.42299999999999999</v>
      </c>
      <c r="E61" s="26">
        <f>'MEDIÇÕES E TABELAS'!AA18</f>
        <v>16.02</v>
      </c>
      <c r="F61" s="26">
        <f t="shared" si="0"/>
        <v>462.73999999999995</v>
      </c>
      <c r="G61" s="26">
        <f t="shared" si="1"/>
        <v>538</v>
      </c>
    </row>
    <row r="62" spans="1:7" ht="15.75" x14ac:dyDescent="0.25">
      <c r="A62" s="29">
        <v>802</v>
      </c>
      <c r="B62" s="25">
        <f>'MEDIÇÕES E TABELAS'!W19</f>
        <v>14.109</v>
      </c>
      <c r="C62" s="26">
        <f>'MEDIÇÕES E TABELAS'!X19</f>
        <v>181.86</v>
      </c>
      <c r="D62" s="27">
        <f>'MEDIÇÕES E TABELAS'!Z19</f>
        <v>2.44</v>
      </c>
      <c r="E62" s="26">
        <f>'MEDIÇÕES E TABELAS'!AA19</f>
        <v>92.42</v>
      </c>
      <c r="F62" s="58">
        <f>$G$31</f>
        <v>462.73999999999995</v>
      </c>
      <c r="G62" s="58">
        <f t="shared" si="1"/>
        <v>738</v>
      </c>
    </row>
    <row r="63" spans="1:7" x14ac:dyDescent="0.25">
      <c r="A63" s="995"/>
      <c r="B63" s="995"/>
      <c r="C63" s="996"/>
      <c r="D63" s="995"/>
      <c r="E63" s="995"/>
      <c r="F63" s="995"/>
      <c r="G63" s="995"/>
    </row>
    <row r="64" spans="1:7" x14ac:dyDescent="0.25">
      <c r="A64" s="74" t="s">
        <v>221</v>
      </c>
      <c r="B64" s="75"/>
      <c r="C64" s="75"/>
      <c r="D64" s="75"/>
      <c r="E64" s="190">
        <v>150</v>
      </c>
      <c r="F64" s="75"/>
      <c r="G64" s="76"/>
    </row>
    <row r="65" spans="1:7" x14ac:dyDescent="0.25">
      <c r="A65" s="77" t="s">
        <v>215</v>
      </c>
      <c r="B65" s="109"/>
      <c r="C65" s="78"/>
      <c r="D65" s="191">
        <v>386</v>
      </c>
      <c r="E65" s="78"/>
      <c r="F65" s="78"/>
      <c r="G65" s="79"/>
    </row>
    <row r="66" spans="1:7" x14ac:dyDescent="0.25">
      <c r="C66" s="63"/>
    </row>
    <row r="67" spans="1:7" x14ac:dyDescent="0.25">
      <c r="A67" s="154"/>
      <c r="B67" s="154"/>
      <c r="C67" s="155"/>
      <c r="D67" s="154"/>
      <c r="E67" s="154"/>
      <c r="F67" s="154"/>
      <c r="G67" s="154"/>
    </row>
    <row r="68" spans="1:7" ht="15.75" x14ac:dyDescent="0.25">
      <c r="A68" s="405" t="s">
        <v>288</v>
      </c>
      <c r="B68" s="406"/>
      <c r="C68" s="406"/>
      <c r="D68" s="1052">
        <f>'VRS. DEVIDOS E OUTROS'!B172</f>
        <v>46081</v>
      </c>
      <c r="E68" s="1052"/>
      <c r="F68" s="407"/>
      <c r="G68" s="408">
        <f>'VRS. DEVIDOS E OUTROS'!C172</f>
        <v>38030.6</v>
      </c>
    </row>
    <row r="69" spans="1:7" ht="15.75" x14ac:dyDescent="0.25">
      <c r="A69" s="36" t="s">
        <v>289</v>
      </c>
      <c r="B69" s="37"/>
      <c r="C69" s="37"/>
      <c r="D69" s="158">
        <f>'VRS. DEVIDOS E OUTROS'!D172</f>
        <v>46082</v>
      </c>
      <c r="E69" s="37"/>
      <c r="F69" s="38"/>
      <c r="G69" s="62">
        <f>'VRS. DEVIDOS E OUTROS'!E172</f>
        <v>2100</v>
      </c>
    </row>
    <row r="70" spans="1:7" ht="15.75" x14ac:dyDescent="0.25">
      <c r="A70" s="36"/>
      <c r="B70" s="37"/>
      <c r="C70" s="37"/>
      <c r="D70" s="37"/>
      <c r="E70" s="37"/>
      <c r="F70" s="38"/>
      <c r="G70" s="994">
        <f>'VRS. DEVIDOS E OUTROS'!F170</f>
        <v>0</v>
      </c>
    </row>
    <row r="71" spans="1:7" ht="15.75" x14ac:dyDescent="0.25">
      <c r="A71" s="33" t="s">
        <v>291</v>
      </c>
      <c r="B71" s="34"/>
      <c r="C71" s="34"/>
      <c r="D71" s="1051">
        <f>'VRS. DEVIDOS E OUTROS'!I172</f>
        <v>46112</v>
      </c>
      <c r="E71" s="1051"/>
      <c r="F71" s="35"/>
      <c r="G71" s="62">
        <f>G68+G69-G70</f>
        <v>40130.6</v>
      </c>
    </row>
    <row r="72" spans="1:7" ht="18.75" x14ac:dyDescent="0.3">
      <c r="A72" s="39"/>
      <c r="B72" s="39"/>
      <c r="C72" s="39"/>
      <c r="D72" s="39"/>
      <c r="E72" s="39"/>
      <c r="F72" s="39"/>
      <c r="G72" s="39"/>
    </row>
    <row r="73" spans="1:7" ht="31.5" customHeight="1" x14ac:dyDescent="0.25">
      <c r="A73" s="1047" t="s">
        <v>31</v>
      </c>
      <c r="B73" s="1048"/>
      <c r="C73" s="1048"/>
      <c r="D73" s="1048"/>
      <c r="E73" s="1048"/>
      <c r="F73" s="1048"/>
      <c r="G73" s="1049"/>
    </row>
    <row r="74" spans="1:7" ht="15.75" x14ac:dyDescent="0.25">
      <c r="A74" s="40" t="s">
        <v>25</v>
      </c>
      <c r="B74" s="41"/>
      <c r="C74" s="41"/>
      <c r="D74" s="41"/>
      <c r="E74" s="41"/>
      <c r="F74" s="41"/>
      <c r="G74" s="42"/>
    </row>
    <row r="75" spans="1:7" ht="15.75" x14ac:dyDescent="0.25">
      <c r="A75" s="43" t="s">
        <v>26</v>
      </c>
      <c r="B75" s="44"/>
      <c r="C75" s="44"/>
      <c r="D75" s="44"/>
      <c r="E75" s="44"/>
      <c r="F75" s="44"/>
      <c r="G75" s="45"/>
    </row>
    <row r="76" spans="1:7" ht="15.75" x14ac:dyDescent="0.25">
      <c r="A76" s="46"/>
      <c r="B76" s="46"/>
      <c r="C76" s="46"/>
      <c r="D76" s="46"/>
      <c r="E76" s="46"/>
      <c r="F76" s="46"/>
      <c r="G76" s="46"/>
    </row>
    <row r="77" spans="1:7" ht="15.75" x14ac:dyDescent="0.25">
      <c r="A77" s="47" t="s">
        <v>30</v>
      </c>
      <c r="B77" s="48"/>
      <c r="C77" s="48"/>
      <c r="D77" s="48"/>
      <c r="E77" s="48"/>
      <c r="F77" s="48"/>
      <c r="G77" s="49"/>
    </row>
    <row r="78" spans="1:7" ht="15.75" x14ac:dyDescent="0.25">
      <c r="A78" s="46"/>
      <c r="B78" s="46"/>
      <c r="C78" s="46"/>
      <c r="D78" s="46"/>
      <c r="E78" s="46"/>
      <c r="F78" s="46"/>
      <c r="G78" s="46"/>
    </row>
    <row r="79" spans="1:7" ht="15.75" x14ac:dyDescent="0.25">
      <c r="A79" s="46"/>
      <c r="B79" s="46"/>
      <c r="C79" s="46"/>
      <c r="D79" s="46"/>
      <c r="E79" s="46"/>
      <c r="F79" s="46"/>
      <c r="G79" s="46"/>
    </row>
    <row r="80" spans="1:7" ht="15.75" x14ac:dyDescent="0.25">
      <c r="A80" s="46"/>
      <c r="B80" s="46"/>
      <c r="C80" s="46"/>
      <c r="D80" s="46"/>
      <c r="E80" s="46"/>
      <c r="F80" s="46"/>
      <c r="G80" s="46"/>
    </row>
  </sheetData>
  <mergeCells count="8">
    <mergeCell ref="A42:G42"/>
    <mergeCell ref="A73:G73"/>
    <mergeCell ref="A1:G1"/>
    <mergeCell ref="A11:G11"/>
    <mergeCell ref="A13:G13"/>
    <mergeCell ref="A15:G15"/>
    <mergeCell ref="D71:E71"/>
    <mergeCell ref="D68:E68"/>
  </mergeCells>
  <printOptions horizontalCentered="1"/>
  <pageMargins left="0.98425196850393704" right="0.78740157480314965" top="0.78740157480314965" bottom="0.78740157480314965" header="0" footer="0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A632-9DB6-4FAB-BD35-CCC8ECB7170A}">
  <dimension ref="A1:G84"/>
  <sheetViews>
    <sheetView view="pageBreakPreview" zoomScaleNormal="100" zoomScaleSheetLayoutView="100" workbookViewId="0">
      <selection sqref="A1:G1"/>
    </sheetView>
  </sheetViews>
  <sheetFormatPr defaultRowHeight="15" x14ac:dyDescent="0.25"/>
  <cols>
    <col min="2" max="2" width="9.28515625" customWidth="1"/>
    <col min="3" max="3" width="24.85546875" customWidth="1"/>
    <col min="7" max="7" width="12" customWidth="1"/>
  </cols>
  <sheetData>
    <row r="1" spans="1:7" ht="21" x14ac:dyDescent="0.35">
      <c r="A1" s="1044" t="s">
        <v>13</v>
      </c>
      <c r="B1" s="1045"/>
      <c r="C1" s="1045"/>
      <c r="D1" s="1045"/>
      <c r="E1" s="1045"/>
      <c r="F1" s="1045"/>
      <c r="G1" s="1046"/>
    </row>
    <row r="3" spans="1:7" ht="17.25" x14ac:dyDescent="0.3">
      <c r="A3" s="50" t="s">
        <v>340</v>
      </c>
      <c r="B3" s="50"/>
      <c r="C3" s="50"/>
      <c r="D3" s="50"/>
      <c r="E3" s="50"/>
      <c r="F3" s="50"/>
      <c r="G3" s="50"/>
    </row>
    <row r="4" spans="1:7" ht="17.25" x14ac:dyDescent="0.3">
      <c r="A4" s="50"/>
      <c r="B4" s="50"/>
      <c r="C4" s="50"/>
      <c r="D4" s="50"/>
      <c r="E4" s="50"/>
      <c r="F4" s="50"/>
      <c r="G4" s="50"/>
    </row>
    <row r="5" spans="1:7" ht="17.25" x14ac:dyDescent="0.3">
      <c r="A5" s="50" t="s">
        <v>341</v>
      </c>
      <c r="B5" s="50"/>
      <c r="C5" s="50"/>
      <c r="D5" s="50"/>
      <c r="E5" s="50"/>
      <c r="F5" s="50"/>
      <c r="G5" s="50"/>
    </row>
    <row r="6" spans="1:7" ht="17.25" x14ac:dyDescent="0.3">
      <c r="A6" s="50"/>
      <c r="B6" s="50"/>
      <c r="C6" s="50"/>
      <c r="D6" s="50"/>
      <c r="E6" s="50"/>
      <c r="F6" s="50"/>
      <c r="G6" s="50"/>
    </row>
    <row r="7" spans="1:7" ht="17.25" x14ac:dyDescent="0.3">
      <c r="A7" s="50" t="s">
        <v>342</v>
      </c>
      <c r="B7" s="50"/>
      <c r="C7" s="50"/>
      <c r="D7" s="50"/>
      <c r="E7" s="50"/>
      <c r="F7" s="50"/>
      <c r="G7" s="50"/>
    </row>
    <row r="8" spans="1:7" ht="17.25" x14ac:dyDescent="0.3">
      <c r="A8" s="50"/>
      <c r="B8" s="50"/>
      <c r="C8" s="50"/>
      <c r="D8" s="50"/>
      <c r="E8" s="50"/>
      <c r="F8" s="50"/>
      <c r="G8" s="50"/>
    </row>
    <row r="9" spans="1:7" ht="17.25" x14ac:dyDescent="0.3">
      <c r="A9" s="50" t="s">
        <v>27</v>
      </c>
      <c r="B9" s="50"/>
      <c r="C9" s="50"/>
      <c r="D9" s="50"/>
      <c r="E9" s="50"/>
      <c r="F9" s="50"/>
      <c r="G9" s="50"/>
    </row>
    <row r="10" spans="1:7" ht="17.25" x14ac:dyDescent="0.3">
      <c r="A10" s="50"/>
      <c r="B10" s="50"/>
      <c r="C10" s="50"/>
      <c r="D10" s="50"/>
      <c r="E10" s="50"/>
      <c r="F10" s="50"/>
      <c r="G10" s="50"/>
    </row>
    <row r="11" spans="1:7" ht="33" customHeight="1" x14ac:dyDescent="0.3">
      <c r="A11" s="1050" t="s">
        <v>343</v>
      </c>
      <c r="B11" s="1050"/>
      <c r="C11" s="1050"/>
      <c r="D11" s="1050"/>
      <c r="E11" s="1050"/>
      <c r="F11" s="1050"/>
      <c r="G11" s="1050"/>
    </row>
    <row r="12" spans="1:7" ht="17.25" x14ac:dyDescent="0.3">
      <c r="A12" s="50"/>
      <c r="B12" s="50"/>
      <c r="C12" s="50"/>
      <c r="D12" s="50"/>
      <c r="E12" s="50"/>
      <c r="F12" s="50"/>
      <c r="G12" s="50"/>
    </row>
    <row r="13" spans="1:7" ht="33" customHeight="1" x14ac:dyDescent="0.3">
      <c r="A13" s="1050" t="s">
        <v>344</v>
      </c>
      <c r="B13" s="1050"/>
      <c r="C13" s="1050"/>
      <c r="D13" s="1050"/>
      <c r="E13" s="1050"/>
      <c r="F13" s="1050"/>
      <c r="G13" s="1050"/>
    </row>
    <row r="14" spans="1:7" ht="17.25" x14ac:dyDescent="0.3">
      <c r="A14" s="50"/>
      <c r="B14" s="50"/>
      <c r="C14" s="50"/>
      <c r="D14" s="50"/>
      <c r="E14" s="50"/>
      <c r="F14" s="50"/>
      <c r="G14" s="50"/>
    </row>
    <row r="15" spans="1:7" ht="33" customHeight="1" x14ac:dyDescent="0.3">
      <c r="A15" s="1050"/>
      <c r="B15" s="1050"/>
      <c r="C15" s="1050"/>
      <c r="D15" s="1050"/>
      <c r="E15" s="1050"/>
      <c r="F15" s="1050"/>
      <c r="G15" s="1050"/>
    </row>
    <row r="17" spans="1:7" ht="18.75" x14ac:dyDescent="0.3">
      <c r="A17" s="1" t="s">
        <v>329</v>
      </c>
      <c r="B17" s="2"/>
      <c r="C17" s="2"/>
      <c r="D17" s="2"/>
      <c r="E17" s="2"/>
      <c r="F17" s="2"/>
      <c r="G17" s="52"/>
    </row>
    <row r="18" spans="1:7" ht="15.75" x14ac:dyDescent="0.25">
      <c r="A18" s="3" t="s">
        <v>0</v>
      </c>
      <c r="B18" s="148" t="s">
        <v>2</v>
      </c>
      <c r="C18" s="4"/>
      <c r="D18" s="4"/>
      <c r="E18" s="4"/>
      <c r="F18" s="4"/>
      <c r="G18" s="57" t="s">
        <v>22</v>
      </c>
    </row>
    <row r="19" spans="1:7" ht="15.75" x14ac:dyDescent="0.25">
      <c r="A19" s="5">
        <v>45910</v>
      </c>
      <c r="B19" s="31" t="s">
        <v>4</v>
      </c>
      <c r="C19" s="6"/>
      <c r="D19" s="6"/>
      <c r="E19" s="6"/>
      <c r="F19" s="32"/>
      <c r="G19" s="51">
        <v>1342.94</v>
      </c>
    </row>
    <row r="20" spans="1:7" ht="15.75" x14ac:dyDescent="0.25">
      <c r="A20" s="5">
        <v>45915</v>
      </c>
      <c r="B20" s="31" t="s">
        <v>32</v>
      </c>
      <c r="C20" s="6"/>
      <c r="D20" s="6"/>
      <c r="E20" s="6"/>
      <c r="F20" s="32"/>
      <c r="G20" s="51">
        <v>1231.1099999999999</v>
      </c>
    </row>
    <row r="21" spans="1:7" ht="15.75" x14ac:dyDescent="0.25">
      <c r="A21" s="5">
        <v>45915</v>
      </c>
      <c r="B21" s="31" t="s">
        <v>6</v>
      </c>
      <c r="C21" s="6"/>
      <c r="D21" s="6"/>
      <c r="E21" s="6"/>
      <c r="F21" s="32"/>
      <c r="G21" s="51">
        <v>102.13</v>
      </c>
    </row>
    <row r="22" spans="1:7" ht="15.75" x14ac:dyDescent="0.25">
      <c r="A22" s="5">
        <v>45917</v>
      </c>
      <c r="B22" s="31" t="s">
        <v>7</v>
      </c>
      <c r="C22" s="6"/>
      <c r="D22" s="6"/>
      <c r="E22" s="6"/>
      <c r="F22" s="32"/>
      <c r="G22" s="51">
        <v>487.7</v>
      </c>
    </row>
    <row r="23" spans="1:7" ht="15.75" x14ac:dyDescent="0.25">
      <c r="A23" s="5">
        <v>45919</v>
      </c>
      <c r="B23" s="31" t="s">
        <v>29</v>
      </c>
      <c r="C23" s="6"/>
      <c r="D23" s="6"/>
      <c r="E23" s="6"/>
      <c r="F23" s="32"/>
      <c r="G23" s="51">
        <v>226.01</v>
      </c>
    </row>
    <row r="24" spans="1:7" ht="15.75" x14ac:dyDescent="0.25">
      <c r="A24" s="5">
        <v>45929</v>
      </c>
      <c r="B24" s="31" t="s">
        <v>8</v>
      </c>
      <c r="C24" s="6"/>
      <c r="D24" s="6"/>
      <c r="E24" s="6"/>
      <c r="F24" s="32"/>
      <c r="G24" s="51">
        <v>151.6</v>
      </c>
    </row>
    <row r="25" spans="1:7" ht="15.75" x14ac:dyDescent="0.25">
      <c r="A25" s="5">
        <v>45901</v>
      </c>
      <c r="B25" s="31" t="s">
        <v>9</v>
      </c>
      <c r="C25" s="6"/>
      <c r="D25" s="6"/>
      <c r="E25" s="6"/>
      <c r="F25" s="32"/>
      <c r="G25" s="51">
        <v>65</v>
      </c>
    </row>
    <row r="26" spans="1:7" ht="15.75" customHeight="1" x14ac:dyDescent="0.25">
      <c r="A26" s="7">
        <v>45887</v>
      </c>
      <c r="B26" s="182" t="s">
        <v>338</v>
      </c>
      <c r="C26" s="6"/>
      <c r="D26" s="59"/>
      <c r="E26" s="59"/>
      <c r="F26" s="60"/>
      <c r="G26" s="51">
        <v>700</v>
      </c>
    </row>
    <row r="27" spans="1:7" ht="21" x14ac:dyDescent="0.35">
      <c r="A27" s="8" t="s">
        <v>10</v>
      </c>
      <c r="B27" s="9"/>
      <c r="C27" s="9"/>
      <c r="D27" s="9"/>
      <c r="E27" s="9"/>
      <c r="F27" s="9"/>
      <c r="G27" s="11">
        <f>SUM(G19:G26)</f>
        <v>4306.49</v>
      </c>
    </row>
    <row r="28" spans="1:7" ht="21" x14ac:dyDescent="0.35">
      <c r="A28" s="12" t="s">
        <v>11</v>
      </c>
      <c r="B28" s="10"/>
      <c r="C28" s="10"/>
      <c r="D28" s="10"/>
      <c r="E28" s="10"/>
      <c r="F28" s="10"/>
      <c r="G28" s="13">
        <f>ROUND(G27/14,2)</f>
        <v>307.61</v>
      </c>
    </row>
    <row r="29" spans="1:7" ht="21" x14ac:dyDescent="0.35">
      <c r="A29" s="12" t="s">
        <v>33</v>
      </c>
      <c r="B29" s="10"/>
      <c r="C29" s="10"/>
      <c r="D29" s="10"/>
      <c r="E29" s="10"/>
      <c r="F29" s="10"/>
      <c r="G29" s="13">
        <f>ROUND(G28/13,2)</f>
        <v>23.66</v>
      </c>
    </row>
    <row r="30" spans="1:7" ht="21" x14ac:dyDescent="0.35">
      <c r="A30" s="12" t="s">
        <v>37</v>
      </c>
      <c r="B30" s="10"/>
      <c r="C30" s="10"/>
      <c r="D30" s="10"/>
      <c r="E30" s="10"/>
      <c r="F30" s="10"/>
      <c r="G30" s="13">
        <v>150</v>
      </c>
    </row>
    <row r="31" spans="1:7" ht="21" x14ac:dyDescent="0.35">
      <c r="A31" s="12" t="s">
        <v>12</v>
      </c>
      <c r="B31" s="10"/>
      <c r="C31" s="10"/>
      <c r="D31" s="10"/>
      <c r="E31" s="10"/>
      <c r="F31" s="10"/>
      <c r="G31" s="11">
        <f>G28+G29+G30</f>
        <v>481.27000000000004</v>
      </c>
    </row>
    <row r="42" spans="1:7" ht="21" x14ac:dyDescent="0.35">
      <c r="A42" s="1044" t="s">
        <v>13</v>
      </c>
      <c r="B42" s="1045"/>
      <c r="C42" s="1045"/>
      <c r="D42" s="1045"/>
      <c r="E42" s="1045"/>
      <c r="F42" s="1045"/>
      <c r="G42" s="1046"/>
    </row>
    <row r="43" spans="1:7" ht="18.75" x14ac:dyDescent="0.25">
      <c r="A43" s="18" t="s">
        <v>330</v>
      </c>
      <c r="B43" s="14"/>
      <c r="C43" s="14"/>
      <c r="D43" s="14"/>
      <c r="E43" s="14"/>
      <c r="F43" s="14"/>
      <c r="G43" s="15"/>
    </row>
    <row r="44" spans="1:7" ht="15.75" x14ac:dyDescent="0.25">
      <c r="A44" s="16"/>
      <c r="B44" s="17"/>
      <c r="C44" s="17"/>
      <c r="D44" s="17"/>
      <c r="E44" s="17"/>
      <c r="F44" s="17"/>
      <c r="G44" s="17"/>
    </row>
    <row r="45" spans="1:7" ht="15.75" x14ac:dyDescent="0.25">
      <c r="A45" s="16"/>
      <c r="B45" s="17"/>
      <c r="C45" s="17"/>
      <c r="D45" s="17"/>
      <c r="E45" s="17"/>
      <c r="F45" s="17"/>
      <c r="G45" s="17"/>
    </row>
    <row r="46" spans="1:7" ht="15.75" x14ac:dyDescent="0.25">
      <c r="A46" s="19" t="s">
        <v>14</v>
      </c>
      <c r="B46" s="20" t="s">
        <v>15</v>
      </c>
      <c r="C46" s="21"/>
      <c r="D46" s="20" t="s">
        <v>16</v>
      </c>
      <c r="E46" s="21"/>
      <c r="F46" s="54" t="s">
        <v>17</v>
      </c>
      <c r="G46" s="55" t="s">
        <v>18</v>
      </c>
    </row>
    <row r="47" spans="1:7" ht="15.75" x14ac:dyDescent="0.25">
      <c r="A47" s="22" t="s">
        <v>19</v>
      </c>
      <c r="B47" s="23" t="s">
        <v>20</v>
      </c>
      <c r="C47" s="23" t="s">
        <v>21</v>
      </c>
      <c r="D47" s="23" t="s">
        <v>20</v>
      </c>
      <c r="E47" s="23" t="s">
        <v>22</v>
      </c>
      <c r="F47" s="53" t="s">
        <v>23</v>
      </c>
      <c r="G47" s="56" t="s">
        <v>23</v>
      </c>
    </row>
    <row r="48" spans="1:7" ht="15.75" x14ac:dyDescent="0.25">
      <c r="A48" s="24" t="s">
        <v>24</v>
      </c>
      <c r="B48" s="25">
        <v>7.3570000000000002</v>
      </c>
      <c r="C48" s="26">
        <v>102.13</v>
      </c>
      <c r="D48" s="27">
        <v>0</v>
      </c>
      <c r="E48" s="26">
        <v>0</v>
      </c>
      <c r="F48" s="28">
        <v>0</v>
      </c>
      <c r="G48" s="26">
        <v>0</v>
      </c>
    </row>
    <row r="49" spans="1:7" ht="15.75" x14ac:dyDescent="0.25">
      <c r="A49" s="29">
        <v>201</v>
      </c>
      <c r="B49" s="25">
        <v>21.914999999999999</v>
      </c>
      <c r="C49" s="26">
        <v>298.05</v>
      </c>
      <c r="D49" s="27">
        <v>0.01</v>
      </c>
      <c r="E49" s="26">
        <v>0.38</v>
      </c>
      <c r="F49" s="26">
        <v>481.27000000000004</v>
      </c>
      <c r="G49" s="26">
        <v>780</v>
      </c>
    </row>
    <row r="50" spans="1:7" ht="15.75" x14ac:dyDescent="0.25">
      <c r="A50" s="29">
        <v>202</v>
      </c>
      <c r="B50" s="25">
        <v>24.036000000000001</v>
      </c>
      <c r="C50" s="26">
        <v>326.62</v>
      </c>
      <c r="D50" s="27">
        <v>4.9710000000000001</v>
      </c>
      <c r="E50" s="26">
        <v>187.28</v>
      </c>
      <c r="F50" s="26">
        <v>481.27000000000004</v>
      </c>
      <c r="G50" s="26">
        <v>996</v>
      </c>
    </row>
    <row r="51" spans="1:7" ht="15.75" x14ac:dyDescent="0.25">
      <c r="A51" s="29">
        <v>301</v>
      </c>
      <c r="B51" s="25">
        <v>22.414999999999999</v>
      </c>
      <c r="C51" s="26">
        <v>305.39</v>
      </c>
      <c r="D51" s="27">
        <v>3.2610000000000001</v>
      </c>
      <c r="E51" s="26">
        <v>122.86</v>
      </c>
      <c r="F51" s="26">
        <v>481.27000000000004</v>
      </c>
      <c r="G51" s="26">
        <v>910</v>
      </c>
    </row>
    <row r="52" spans="1:7" ht="15.75" x14ac:dyDescent="0.25">
      <c r="A52" s="29">
        <v>302</v>
      </c>
      <c r="B52" s="25">
        <v>29.597000000000001</v>
      </c>
      <c r="C52" s="26">
        <v>402.64</v>
      </c>
      <c r="D52" s="27">
        <v>1.601</v>
      </c>
      <c r="E52" s="26">
        <v>60.32</v>
      </c>
      <c r="F52" s="26">
        <v>481.27000000000004</v>
      </c>
      <c r="G52" s="26">
        <v>945</v>
      </c>
    </row>
    <row r="53" spans="1:7" ht="15.75" x14ac:dyDescent="0.25">
      <c r="A53" s="29">
        <v>401</v>
      </c>
      <c r="B53" s="25">
        <v>29.731000000000002</v>
      </c>
      <c r="C53" s="26">
        <v>405.39</v>
      </c>
      <c r="D53" s="27">
        <v>1.579</v>
      </c>
      <c r="E53" s="26">
        <v>59.49</v>
      </c>
      <c r="F53" s="26">
        <v>481.27000000000004</v>
      </c>
      <c r="G53" s="26">
        <v>947</v>
      </c>
    </row>
    <row r="54" spans="1:7" ht="15.75" x14ac:dyDescent="0.25">
      <c r="A54" s="29">
        <v>402</v>
      </c>
      <c r="B54" s="25">
        <v>59.281999999999996</v>
      </c>
      <c r="C54" s="26">
        <v>807.67</v>
      </c>
      <c r="D54" s="27">
        <v>5.2640000000000002</v>
      </c>
      <c r="E54" s="26">
        <v>198.32</v>
      </c>
      <c r="F54" s="26">
        <v>481.27000000000004</v>
      </c>
      <c r="G54" s="26">
        <v>1488</v>
      </c>
    </row>
    <row r="55" spans="1:7" ht="15.75" x14ac:dyDescent="0.25">
      <c r="A55" s="29">
        <v>501</v>
      </c>
      <c r="B55" s="25">
        <v>15.803000000000001</v>
      </c>
      <c r="C55" s="26">
        <v>216.02</v>
      </c>
      <c r="D55" s="27">
        <v>1.038</v>
      </c>
      <c r="E55" s="26">
        <v>39.11</v>
      </c>
      <c r="F55" s="26">
        <v>481.27000000000004</v>
      </c>
      <c r="G55" s="26">
        <v>737</v>
      </c>
    </row>
    <row r="56" spans="1:7" ht="15.75" x14ac:dyDescent="0.25">
      <c r="A56" s="29">
        <v>502</v>
      </c>
      <c r="B56" s="25">
        <v>13.932</v>
      </c>
      <c r="C56" s="26">
        <v>189.4</v>
      </c>
      <c r="D56" s="27">
        <v>1.421</v>
      </c>
      <c r="E56" s="26">
        <v>53.54</v>
      </c>
      <c r="F56" s="26">
        <v>481.27000000000004</v>
      </c>
      <c r="G56" s="26">
        <v>725</v>
      </c>
    </row>
    <row r="57" spans="1:7" ht="15.75" x14ac:dyDescent="0.25">
      <c r="A57" s="29">
        <v>601</v>
      </c>
      <c r="B57" s="25">
        <v>4.7160000000000002</v>
      </c>
      <c r="C57" s="26">
        <v>64.260000000000005</v>
      </c>
      <c r="D57" s="27">
        <v>0.92700000000000005</v>
      </c>
      <c r="E57" s="26">
        <v>34.92</v>
      </c>
      <c r="F57" s="26">
        <v>481.27000000000004</v>
      </c>
      <c r="G57" s="26">
        <v>581</v>
      </c>
    </row>
    <row r="58" spans="1:7" ht="15.75" x14ac:dyDescent="0.25">
      <c r="A58" s="29">
        <v>602</v>
      </c>
      <c r="B58" s="25">
        <v>22.478999999999999</v>
      </c>
      <c r="C58" s="26">
        <v>305.89</v>
      </c>
      <c r="D58" s="27">
        <v>2.1800000000000002</v>
      </c>
      <c r="E58" s="26">
        <v>82.13</v>
      </c>
      <c r="F58" s="26">
        <v>481.27000000000004</v>
      </c>
      <c r="G58" s="26">
        <v>870</v>
      </c>
    </row>
    <row r="59" spans="1:7" ht="15.75" x14ac:dyDescent="0.25">
      <c r="A59" s="29">
        <v>701</v>
      </c>
      <c r="B59" s="25">
        <v>16.55</v>
      </c>
      <c r="C59" s="26">
        <v>225.28</v>
      </c>
      <c r="D59" s="27">
        <v>0.998</v>
      </c>
      <c r="E59" s="26">
        <v>37.6</v>
      </c>
      <c r="F59" s="26">
        <v>481.27000000000004</v>
      </c>
      <c r="G59" s="26">
        <v>745</v>
      </c>
    </row>
    <row r="60" spans="1:7" ht="15.75" x14ac:dyDescent="0.25">
      <c r="A60" s="29">
        <v>702</v>
      </c>
      <c r="B60" s="25">
        <v>7.6449999999999996</v>
      </c>
      <c r="C60" s="26">
        <v>104.29</v>
      </c>
      <c r="D60" s="27">
        <v>5.0289999999999999</v>
      </c>
      <c r="E60" s="26">
        <v>189.47</v>
      </c>
      <c r="F60" s="26">
        <v>481.27000000000004</v>
      </c>
      <c r="G60" s="26">
        <v>776</v>
      </c>
    </row>
    <row r="61" spans="1:7" ht="15.75" x14ac:dyDescent="0.25">
      <c r="A61" s="29">
        <v>801</v>
      </c>
      <c r="B61" s="25">
        <v>5.0359999999999996</v>
      </c>
      <c r="C61" s="26">
        <v>68.48</v>
      </c>
      <c r="D61" s="27">
        <v>1.2E-2</v>
      </c>
      <c r="E61" s="26">
        <v>0.45</v>
      </c>
      <c r="F61" s="26">
        <v>481.27000000000004</v>
      </c>
      <c r="G61" s="26">
        <v>551</v>
      </c>
    </row>
    <row r="62" spans="1:7" ht="15.75" x14ac:dyDescent="0.25">
      <c r="A62" s="29">
        <v>802</v>
      </c>
      <c r="B62" s="25">
        <v>14.506</v>
      </c>
      <c r="C62" s="26">
        <v>197.32</v>
      </c>
      <c r="D62" s="27">
        <v>1.742</v>
      </c>
      <c r="E62" s="26">
        <v>65.63</v>
      </c>
      <c r="F62" s="58">
        <v>481.27000000000004</v>
      </c>
      <c r="G62" s="58">
        <v>745</v>
      </c>
    </row>
    <row r="63" spans="1:7" x14ac:dyDescent="0.25">
      <c r="A63" s="82"/>
      <c r="B63" s="82"/>
      <c r="C63" s="153"/>
      <c r="D63" s="82"/>
      <c r="E63" s="82"/>
      <c r="F63" s="82"/>
      <c r="G63" s="82"/>
    </row>
    <row r="64" spans="1:7" x14ac:dyDescent="0.25">
      <c r="C64" s="63"/>
    </row>
    <row r="65" spans="1:7" x14ac:dyDescent="0.25">
      <c r="C65" s="63"/>
    </row>
    <row r="66" spans="1:7" x14ac:dyDescent="0.25">
      <c r="C66" s="63"/>
    </row>
    <row r="67" spans="1:7" x14ac:dyDescent="0.25">
      <c r="A67" s="154"/>
      <c r="B67" s="154"/>
      <c r="C67" s="155"/>
      <c r="D67" s="154"/>
      <c r="E67" s="154"/>
      <c r="F67" s="154"/>
      <c r="G67" s="154"/>
    </row>
    <row r="68" spans="1:7" ht="15.75" x14ac:dyDescent="0.25">
      <c r="A68" s="33" t="s">
        <v>288</v>
      </c>
      <c r="B68" s="34"/>
      <c r="C68" s="34"/>
      <c r="D68" s="1051">
        <v>45869</v>
      </c>
      <c r="E68" s="1051"/>
      <c r="F68" s="35"/>
      <c r="G68" s="62">
        <v>26157.739999999998</v>
      </c>
    </row>
    <row r="69" spans="1:7" ht="15.75" x14ac:dyDescent="0.25">
      <c r="A69" s="36" t="s">
        <v>289</v>
      </c>
      <c r="B69" s="37"/>
      <c r="C69" s="37"/>
      <c r="D69" s="158">
        <v>45870</v>
      </c>
      <c r="E69" s="37"/>
      <c r="F69" s="38"/>
      <c r="G69" s="62">
        <v>2100</v>
      </c>
    </row>
    <row r="70" spans="1:7" ht="15.75" x14ac:dyDescent="0.25">
      <c r="A70" s="36"/>
      <c r="B70" s="37"/>
      <c r="C70" s="37"/>
      <c r="D70" s="37"/>
      <c r="E70" s="37"/>
      <c r="F70" s="38"/>
      <c r="G70" s="62"/>
    </row>
    <row r="71" spans="1:7" ht="15.75" x14ac:dyDescent="0.25">
      <c r="A71" s="33" t="s">
        <v>291</v>
      </c>
      <c r="B71" s="34"/>
      <c r="C71" s="34"/>
      <c r="D71" s="1051">
        <v>45900</v>
      </c>
      <c r="E71" s="1051"/>
      <c r="F71" s="35"/>
      <c r="G71" s="62">
        <f>G68+G69-G70</f>
        <v>28257.739999999998</v>
      </c>
    </row>
    <row r="72" spans="1:7" ht="18.75" x14ac:dyDescent="0.3">
      <c r="A72" s="39"/>
      <c r="B72" s="39"/>
      <c r="C72" s="39"/>
      <c r="D72" s="39"/>
      <c r="E72" s="39"/>
      <c r="F72" s="39"/>
      <c r="G72" s="39"/>
    </row>
    <row r="73" spans="1:7" ht="31.5" customHeight="1" x14ac:dyDescent="0.25">
      <c r="A73" s="1047" t="s">
        <v>31</v>
      </c>
      <c r="B73" s="1048"/>
      <c r="C73" s="1048"/>
      <c r="D73" s="1048"/>
      <c r="E73" s="1048"/>
      <c r="F73" s="1048"/>
      <c r="G73" s="1049"/>
    </row>
    <row r="74" spans="1:7" ht="15.75" x14ac:dyDescent="0.25">
      <c r="A74" s="40" t="s">
        <v>25</v>
      </c>
      <c r="B74" s="41"/>
      <c r="C74" s="41"/>
      <c r="D74" s="41"/>
      <c r="E74" s="41"/>
      <c r="F74" s="41"/>
      <c r="G74" s="42"/>
    </row>
    <row r="75" spans="1:7" ht="15.75" x14ac:dyDescent="0.25">
      <c r="A75" s="43" t="s">
        <v>26</v>
      </c>
      <c r="B75" s="44"/>
      <c r="C75" s="44"/>
      <c r="D75" s="44"/>
      <c r="E75" s="44"/>
      <c r="F75" s="44"/>
      <c r="G75" s="45"/>
    </row>
    <row r="76" spans="1:7" ht="15.75" x14ac:dyDescent="0.25">
      <c r="A76" s="46"/>
      <c r="B76" s="46"/>
      <c r="C76" s="46"/>
      <c r="D76" s="46"/>
      <c r="E76" s="46"/>
      <c r="F76" s="46"/>
      <c r="G76" s="46"/>
    </row>
    <row r="77" spans="1:7" ht="15.75" x14ac:dyDescent="0.25">
      <c r="A77" s="47" t="s">
        <v>30</v>
      </c>
      <c r="B77" s="48"/>
      <c r="C77" s="48"/>
      <c r="D77" s="48"/>
      <c r="E77" s="48"/>
      <c r="F77" s="48"/>
      <c r="G77" s="49"/>
    </row>
    <row r="78" spans="1:7" ht="15.75" x14ac:dyDescent="0.25">
      <c r="A78" s="46"/>
      <c r="B78" s="46"/>
      <c r="C78" s="46"/>
      <c r="D78" s="46"/>
      <c r="E78" s="46"/>
      <c r="F78" s="46"/>
      <c r="G78" s="46"/>
    </row>
    <row r="79" spans="1:7" ht="15.75" x14ac:dyDescent="0.25">
      <c r="A79" s="46"/>
      <c r="B79" s="46"/>
      <c r="C79" s="46"/>
      <c r="D79" s="46"/>
      <c r="E79" s="46"/>
      <c r="F79" s="46"/>
      <c r="G79" s="46"/>
    </row>
    <row r="80" spans="1:7" ht="15.75" x14ac:dyDescent="0.25">
      <c r="A80" s="46"/>
      <c r="B80" s="46"/>
      <c r="C80" s="46"/>
      <c r="D80" s="46"/>
      <c r="E80" s="46"/>
      <c r="F80" s="46"/>
      <c r="G80" s="46"/>
    </row>
    <row r="81" customFormat="1" x14ac:dyDescent="0.25"/>
    <row r="82" customFormat="1" x14ac:dyDescent="0.25"/>
    <row r="83" customFormat="1" x14ac:dyDescent="0.25"/>
    <row r="84" customFormat="1" x14ac:dyDescent="0.25"/>
  </sheetData>
  <mergeCells count="8">
    <mergeCell ref="D71:E71"/>
    <mergeCell ref="A73:G73"/>
    <mergeCell ref="A1:G1"/>
    <mergeCell ref="A11:G11"/>
    <mergeCell ref="A13:G13"/>
    <mergeCell ref="A15:G15"/>
    <mergeCell ref="A42:G42"/>
    <mergeCell ref="D68:E68"/>
  </mergeCells>
  <printOptions horizontalCentered="1"/>
  <pageMargins left="0.98425196850393704" right="0.78740157480314965" top="0.78740157480314965" bottom="0.78740157480314965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ORIENTAÇÕES E CONF.</vt:lpstr>
      <vt:lpstr>MEDIÇÕES E COPASA HISTÓRICO</vt:lpstr>
      <vt:lpstr>MEDIÇÕES E TABELAS</vt:lpstr>
      <vt:lpstr>LANÇTºS</vt:lpstr>
      <vt:lpstr>VRS. DEVIDOS E OUTROS</vt:lpstr>
      <vt:lpstr>DADOS DO PAGTº</vt:lpstr>
      <vt:lpstr>PLAN P COND</vt:lpstr>
      <vt:lpstr>COPIAR PLAN P COND P TODAS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</dc:creator>
  <cp:lastModifiedBy>Robson Dias Ribeiro</cp:lastModifiedBy>
  <cp:lastPrinted>2026-04-01T22:21:50Z</cp:lastPrinted>
  <dcterms:created xsi:type="dcterms:W3CDTF">2023-03-04T20:08:57Z</dcterms:created>
  <dcterms:modified xsi:type="dcterms:W3CDTF">2026-04-13T21:02:09Z</dcterms:modified>
</cp:coreProperties>
</file>