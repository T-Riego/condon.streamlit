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\Outr\Condomínio Neápolis\Planilhas mensais\"/>
    </mc:Choice>
  </mc:AlternateContent>
  <xr:revisionPtr revIDLastSave="0" documentId="13_ncr:1_{D32F3079-42B8-4F42-BC9E-CDD3F5FB1776}" xr6:coauthVersionLast="47" xr6:coauthVersionMax="47" xr10:uidLastSave="{00000000-0000-0000-0000-000000000000}"/>
  <bookViews>
    <workbookView xWindow="-120" yWindow="-120" windowWidth="29040" windowHeight="15720" xr2:uid="{65981E30-54BF-4E0E-A3F1-84D7676D9C5C}"/>
  </bookViews>
  <sheets>
    <sheet name="TODAS" sheetId="12" r:id="rId1"/>
    <sheet name="202508 VÁLIDA" sheetId="10" r:id="rId2"/>
    <sheet name="202508 INUTILIZADA" sheetId="11" r:id="rId3"/>
  </sheets>
  <externalReferences>
    <externalReference r:id="rId4"/>
  </externalReferences>
  <definedNames>
    <definedName name="D.ACESS.SOBRE_TOT.PROD">#REF!</definedName>
    <definedName name="DESP.ACESS.">#REF!</definedName>
    <definedName name="ICMS_ST_DO_TOTAL_DOS_PRODUTOS">#REF!</definedName>
    <definedName name="PERCENT_ICMS_ST_DO_TOTAL_DOS_PRODUTOS">#REF!</definedName>
    <definedName name="QT.A">#REF!</definedName>
    <definedName name="QT.B">#REF!</definedName>
    <definedName name="QT.C">#REF!</definedName>
    <definedName name="QT.D">#REF!</definedName>
    <definedName name="QTD._A">#REF!</definedName>
    <definedName name="QTD._B">#REF!</definedName>
    <definedName name="QTD._C">#REF!</definedName>
    <definedName name="QTD.A">#REF!</definedName>
    <definedName name="QTD.B">#REF!</definedName>
    <definedName name="QTD.C">#REF!</definedName>
    <definedName name="QTD.D">#REF!</definedName>
    <definedName name="TOT_NF">#REF!</definedName>
    <definedName name="TOT_PROD">#REF!</definedName>
    <definedName name="VALOR_DO_ICMS_ST">#REF!</definedName>
    <definedName name="VALOR_TOTAL_DA_NOTA">#REF!</definedName>
    <definedName name="VALOR_TOTAL_DOS_PRODUTOS">#REF!</definedName>
    <definedName name="VLR.TOTAL_A">#REF!</definedName>
    <definedName name="VLR.TOTAL_B">#REF!</definedName>
    <definedName name="VLR.TOTAL_C">#REF!</definedName>
    <definedName name="VLR.TOTAL_D">#REF!</definedName>
    <definedName name="VR.TOT.A">#REF!</definedName>
    <definedName name="VR.TOT.B">#REF!</definedName>
    <definedName name="VR.TOT.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83" i="12" l="1"/>
  <c r="G3384" i="12" s="1"/>
  <c r="G3340" i="12"/>
  <c r="G3341" i="12" s="1"/>
  <c r="G3297" i="12"/>
  <c r="G3252" i="12"/>
  <c r="G3253" i="12" s="1"/>
  <c r="D3210" i="12"/>
  <c r="G3210" i="12"/>
  <c r="G3165" i="12"/>
  <c r="G3166" i="12" s="1"/>
  <c r="G3123" i="12"/>
  <c r="G3078" i="12"/>
  <c r="G3079" i="12" s="1"/>
  <c r="G3036" i="12"/>
  <c r="G2994" i="12"/>
  <c r="G2995" i="12" s="1"/>
  <c r="G2949" i="12"/>
  <c r="F2940" i="12"/>
  <c r="G2940" i="12" s="1"/>
  <c r="F2939" i="12"/>
  <c r="G2939" i="12" s="1"/>
  <c r="F2938" i="12"/>
  <c r="G2938" i="12" s="1"/>
  <c r="F2937" i="12"/>
  <c r="G2937" i="12" s="1"/>
  <c r="F2936" i="12"/>
  <c r="G2936" i="12" s="1"/>
  <c r="F2935" i="12"/>
  <c r="G2935" i="12" s="1"/>
  <c r="F2934" i="12"/>
  <c r="G2934" i="12" s="1"/>
  <c r="F2933" i="12"/>
  <c r="G2933" i="12" s="1"/>
  <c r="F2932" i="12"/>
  <c r="G2932" i="12" s="1"/>
  <c r="F2931" i="12"/>
  <c r="G2931" i="12" s="1"/>
  <c r="F2930" i="12"/>
  <c r="G2930" i="12" s="1"/>
  <c r="F2929" i="12"/>
  <c r="G2929" i="12" s="1"/>
  <c r="F2928" i="12"/>
  <c r="G2928" i="12" s="1"/>
  <c r="F2927" i="12"/>
  <c r="G2927" i="12" s="1"/>
  <c r="G2904" i="12"/>
  <c r="G2905" i="12" s="1"/>
  <c r="G2862" i="12"/>
  <c r="G2819" i="12"/>
  <c r="G2820" i="12" s="1"/>
  <c r="G31" i="12"/>
  <c r="G32" i="12" s="1"/>
  <c r="G73" i="12"/>
  <c r="G119" i="12"/>
  <c r="G120" i="12" s="1"/>
  <c r="G206" i="12"/>
  <c r="G207" i="12" s="1"/>
  <c r="G248" i="12"/>
  <c r="G296" i="12"/>
  <c r="G297" i="12" s="1"/>
  <c r="G298" i="12" s="1"/>
  <c r="G336" i="12"/>
  <c r="G380" i="12"/>
  <c r="G381" i="12" s="1"/>
  <c r="G423" i="12"/>
  <c r="G468" i="12"/>
  <c r="G469" i="12" s="1"/>
  <c r="G511" i="12"/>
  <c r="G557" i="12"/>
  <c r="G558" i="12" s="1"/>
  <c r="G599" i="12"/>
  <c r="G645" i="12"/>
  <c r="G646" i="12" s="1"/>
  <c r="G647" i="12" s="1"/>
  <c r="G687" i="12"/>
  <c r="G731" i="12"/>
  <c r="G732" i="12" s="1"/>
  <c r="G774" i="12"/>
  <c r="G819" i="12"/>
  <c r="G820" i="12" s="1"/>
  <c r="G862" i="12"/>
  <c r="G906" i="12"/>
  <c r="G907" i="12" s="1"/>
  <c r="G949" i="12"/>
  <c r="G994" i="12"/>
  <c r="G995" i="12" s="1"/>
  <c r="G996" i="12" s="1"/>
  <c r="G1037" i="12"/>
  <c r="G1084" i="12"/>
  <c r="G1085" i="12" s="1"/>
  <c r="G1124" i="12"/>
  <c r="G1170" i="12"/>
  <c r="G1171" i="12" s="1"/>
  <c r="G1208" i="12"/>
  <c r="G1252" i="12"/>
  <c r="G1253" i="12" s="1"/>
  <c r="G1295" i="12"/>
  <c r="G1341" i="12"/>
  <c r="G1342" i="12" s="1"/>
  <c r="G1343" i="12" s="1"/>
  <c r="G1382" i="12"/>
  <c r="G1425" i="12"/>
  <c r="G1426" i="12" s="1"/>
  <c r="G1470" i="12"/>
  <c r="G1514" i="12"/>
  <c r="G1515" i="12" s="1"/>
  <c r="G1557" i="12"/>
  <c r="G1600" i="12"/>
  <c r="G1601" i="12" s="1"/>
  <c r="G1602" i="12" s="1"/>
  <c r="G1644" i="12"/>
  <c r="G1689" i="12"/>
  <c r="G1690" i="12" s="1"/>
  <c r="G1691" i="12" s="1"/>
  <c r="G1731" i="12"/>
  <c r="G1773" i="12"/>
  <c r="G1774" i="12" s="1"/>
  <c r="G1818" i="12"/>
  <c r="G1860" i="12"/>
  <c r="G1861" i="12" s="1"/>
  <c r="G1905" i="12"/>
  <c r="G1948" i="12"/>
  <c r="G1949" i="12" s="1"/>
  <c r="G1992" i="12"/>
  <c r="G2037" i="12"/>
  <c r="G2038" i="12" s="1"/>
  <c r="G2039" i="12" s="1"/>
  <c r="G2079" i="12"/>
  <c r="G2123" i="12"/>
  <c r="G2124" i="12" s="1"/>
  <c r="G2166" i="12"/>
  <c r="G2210" i="12"/>
  <c r="G2211" i="12" s="1"/>
  <c r="G2253" i="12"/>
  <c r="G2296" i="12"/>
  <c r="G2297" i="12" s="1"/>
  <c r="G2340" i="12"/>
  <c r="G2383" i="12"/>
  <c r="G2384" i="12" s="1"/>
  <c r="G2385" i="12" s="1"/>
  <c r="G2427" i="12"/>
  <c r="G2470" i="12"/>
  <c r="G2471" i="12" s="1"/>
  <c r="G2514" i="12"/>
  <c r="G2557" i="12"/>
  <c r="G2558" i="12" s="1"/>
  <c r="G2601" i="12"/>
  <c r="G2644" i="12"/>
  <c r="G2645" i="12" s="1"/>
  <c r="G2688" i="12"/>
  <c r="G2731" i="12"/>
  <c r="G2732" i="12" s="1"/>
  <c r="G2733" i="12" s="1"/>
  <c r="G2775" i="12"/>
  <c r="G71" i="11"/>
  <c r="G28" i="11"/>
  <c r="G29" i="11" s="1"/>
  <c r="G27" i="11"/>
  <c r="G3342" i="12" l="1"/>
  <c r="G3344" i="12"/>
  <c r="G3254" i="12"/>
  <c r="G3256" i="12" s="1"/>
  <c r="G3167" i="12"/>
  <c r="G3169" i="12" s="1"/>
  <c r="G3080" i="12"/>
  <c r="G3082" i="12" s="1"/>
  <c r="G2996" i="12"/>
  <c r="G2998" i="12" s="1"/>
  <c r="G2906" i="12"/>
  <c r="G2908" i="12" s="1"/>
  <c r="G2821" i="12"/>
  <c r="G2823" i="12" s="1"/>
  <c r="G2298" i="12"/>
  <c r="G2300" i="12" s="1"/>
  <c r="G1950" i="12"/>
  <c r="G1952" i="12" s="1"/>
  <c r="G908" i="12"/>
  <c r="G909" i="12" s="1"/>
  <c r="G559" i="12"/>
  <c r="G560" i="12" s="1"/>
  <c r="G208" i="12"/>
  <c r="G209" i="12" s="1"/>
  <c r="G1604" i="12"/>
  <c r="G2646" i="12"/>
  <c r="G2648" i="12" s="1"/>
  <c r="G1254" i="12"/>
  <c r="G1256" i="12" s="1"/>
  <c r="G121" i="12"/>
  <c r="G122" i="12" s="1"/>
  <c r="G1516" i="12"/>
  <c r="G1518" i="12" s="1"/>
  <c r="G733" i="12"/>
  <c r="G734" i="12" s="1"/>
  <c r="G1086" i="12"/>
  <c r="G1088" i="12" s="1"/>
  <c r="G470" i="12"/>
  <c r="G471" i="12" s="1"/>
  <c r="G2212" i="12"/>
  <c r="G2214" i="12" s="1"/>
  <c r="G1427" i="12"/>
  <c r="G1429" i="12" s="1"/>
  <c r="G821" i="12"/>
  <c r="G822" i="12" s="1"/>
  <c r="G2125" i="12"/>
  <c r="G2127" i="12" s="1"/>
  <c r="G2472" i="12"/>
  <c r="G2474" i="12" s="1"/>
  <c r="G1862" i="12"/>
  <c r="G1864" i="12" s="1"/>
  <c r="G2559" i="12"/>
  <c r="G2561" i="12" s="1"/>
  <c r="G1775" i="12"/>
  <c r="G1777" i="12" s="1"/>
  <c r="G1172" i="12"/>
  <c r="G1174" i="12" s="1"/>
  <c r="G382" i="12"/>
  <c r="G383" i="12" s="1"/>
  <c r="G33" i="12"/>
  <c r="G34" i="12" s="1"/>
  <c r="G2735" i="12"/>
  <c r="G2387" i="12"/>
  <c r="G2041" i="12"/>
  <c r="G1693" i="12"/>
  <c r="G1345" i="12"/>
  <c r="G997" i="12"/>
  <c r="G648" i="12"/>
  <c r="G299" i="12"/>
  <c r="G31" i="11"/>
  <c r="G27" i="10" l="1"/>
  <c r="G28" i="10" s="1"/>
  <c r="G29" i="10" l="1"/>
  <c r="G31" i="10" s="1"/>
  <c r="G7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G49" authorId="0" shapeId="0" xr:uid="{9B6989E7-6622-4B20-B4DC-226023C3428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07" authorId="0" shapeId="0" xr:uid="{3ED2C761-9247-4947-97E1-8B7ED4DE83DA}">
      <text>
        <r>
          <rPr>
            <b/>
            <sz val="8"/>
            <color indexed="81"/>
            <rFont val="Segoe UI"/>
            <family val="2"/>
          </rPr>
          <t>OCULTAR OS LANÇAMENTOS COM VALOR ZERADO (ESTÃO TACHADOS APÓS A LINHA 134 OU PRÓXIMA DESTA PLANILHA)- ANOTAÇÃO DE 28/02/23</t>
        </r>
      </text>
    </comment>
    <comment ref="G108" authorId="0" shapeId="0" xr:uid="{4D40E996-3B18-4250-B9A2-A96AA655E8A9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</t>
        </r>
      </text>
    </comment>
    <comment ref="A113" authorId="0" shapeId="0" xr:uid="{246B9CEC-27DA-4DD8-A0E3-6E344B5A755C}">
      <text>
        <r>
          <rPr>
            <b/>
            <sz val="8"/>
            <color indexed="81"/>
            <rFont val="Segoe UI"/>
            <family val="2"/>
          </rPr>
          <t>O VENCIMENTO CORRETO É 15/04/2023 (SÁBADO), DE CUJA CONTA FORAM FEITOS O PRESENTE LANÇAMENTO E O RATEIO DE ESGOTO E RECURSOS HÍDRICOS DO CONDOMÍNIO E DE CADA CONDÔMINO</t>
        </r>
      </text>
    </comment>
    <comment ref="A119" authorId="0" shapeId="0" xr:uid="{E11FFDFE-250E-4442-991A-36AC64F0B85B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G137" authorId="0" shapeId="0" xr:uid="{A09A5138-126C-4BD1-8E65-10525914EB22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B139" authorId="0" shapeId="0" xr:uid="{D3DF1E17-557B-48BC-AAB2-4AEA3456E310}">
      <text>
        <r>
          <rPr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C139" authorId="0" shapeId="0" xr:uid="{26F15FF2-7D74-4382-B016-84CCE4BCB4C3}">
      <text>
        <r>
          <rPr>
            <sz val="8"/>
            <color indexed="81"/>
            <rFont val="Segoe UI"/>
            <family val="2"/>
          </rPr>
          <t xml:space="preserve">FOI LANÇADA AQUI </t>
        </r>
        <r>
          <rPr>
            <b/>
            <u/>
            <sz val="8"/>
            <color indexed="81"/>
            <rFont val="Segoe UI"/>
            <family val="2"/>
          </rPr>
          <t>(SUBTRAÍDA)</t>
        </r>
        <r>
          <rPr>
            <sz val="8"/>
            <color indexed="81"/>
            <rFont val="Segoe UI"/>
            <family val="2"/>
          </rPr>
          <t xml:space="preserve"> A DIFERENÇA DE CENTAVOS GERADA PELOS ARREDONDAMENTOS, IGUAL AO TOTAL DA CONTA COPASA MENOS O TOTAL ORIGINAL DESTA COLUNA, PARA QUE O TOTAL DELA FECHE COM O TOTAL DA CONTA COPASA</t>
        </r>
      </text>
    </comment>
    <comment ref="A155" authorId="0" shapeId="0" xr:uid="{4C0B0FA9-B62B-4D56-B4CE-64FAF2561E39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56" authorId="0" shapeId="0" xr:uid="{6325E24E-A3FF-46B4-94F1-176A6F54D7E1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57" authorId="0" shapeId="0" xr:uid="{7AB20FB2-03EA-46F2-AAD4-B6761EA59DB8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195" authorId="0" shapeId="0" xr:uid="{8EBEB01C-9AE5-494D-90C7-33A32B774E33}">
      <text>
        <r>
          <rPr>
            <b/>
            <sz val="8"/>
            <color indexed="81"/>
            <rFont val="Segoe UI"/>
            <family val="2"/>
          </rPr>
          <t>OCULTAR OS LANÇAMENTOS COM VALOR ZERADO (ESTÃO TACHADOS APÓS A LINHA 134 OU PRÓXIMA DESTA PLANILHA)- ANOTAÇÃO DE 28/02/23</t>
        </r>
      </text>
    </comment>
    <comment ref="G196" authorId="0" shapeId="0" xr:uid="{5152BD27-176F-498C-97AA-CF63B4A7C921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</t>
        </r>
      </text>
    </comment>
    <comment ref="A201" authorId="0" shapeId="0" xr:uid="{51B27DC5-55E2-42E2-A5B1-A9AF135C7D2F}">
      <text>
        <r>
          <rPr>
            <b/>
            <sz val="8"/>
            <color indexed="81"/>
            <rFont val="Segoe UI"/>
            <family val="2"/>
          </rPr>
          <t>O VENCIMENTO CORRETO É 15/04/2023 (SÁBADO), DE CUJA CONTA FORAM FEITOS O PRESENTE LANÇAMENTO E O RATEIO DE ESGOTO E RECURSOS HÍDRICOS DO CONDOMÍNIO E DE CADA CONDÔMINO</t>
        </r>
      </text>
    </comment>
    <comment ref="A206" authorId="0" shapeId="0" xr:uid="{60B9D6F6-9DA8-4797-9AE3-EC80BEAF3347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G224" authorId="0" shapeId="0" xr:uid="{588A6B05-3408-4A3A-80BC-BA52C8F863B7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B226" authorId="0" shapeId="0" xr:uid="{CF3AD9FF-F61A-4B99-B6B6-7B0A989D9E76}">
      <text>
        <r>
          <rPr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C226" authorId="0" shapeId="0" xr:uid="{E6A34F9C-B74B-48B1-92FD-38D23F5A37DE}">
      <text>
        <r>
          <rPr>
            <sz val="8"/>
            <color indexed="81"/>
            <rFont val="Segoe UI"/>
            <family val="2"/>
          </rPr>
          <t xml:space="preserve">FOI LANÇADA AQUI </t>
        </r>
        <r>
          <rPr>
            <b/>
            <u/>
            <sz val="8"/>
            <color indexed="81"/>
            <rFont val="Segoe UI"/>
            <family val="2"/>
          </rPr>
          <t>(SUBTRAÍDA)</t>
        </r>
        <r>
          <rPr>
            <sz val="8"/>
            <color indexed="81"/>
            <rFont val="Segoe UI"/>
            <family val="2"/>
          </rPr>
          <t xml:space="preserve"> A DIFERENÇA DE CENTAVOS GERADA PELOS ARREDONDAMENTOS, IGUAL AO TOTAL DA CONTA COPASA MENOS O TOTAL ORIGINAL DESTA COLUNA, PARA QUE O TOTAL DELA FECHE COM O TOTAL DA CONTA COPASA</t>
        </r>
      </text>
    </comment>
    <comment ref="A242" authorId="0" shapeId="0" xr:uid="{24417C1D-5392-4AB8-8CB1-F47C9E619ED8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243" authorId="0" shapeId="0" xr:uid="{1ABC3C1F-FCA0-4BD0-9A2A-36CE60A93D00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244" authorId="0" shapeId="0" xr:uid="{B9493691-F573-4151-BB96-117A2CEC29B9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282" authorId="0" shapeId="0" xr:uid="{B0A930D3-D24A-49C0-8984-526B0E86EF08}">
      <text>
        <r>
          <rPr>
            <b/>
            <sz val="8"/>
            <color indexed="81"/>
            <rFont val="Segoe UI"/>
            <family val="2"/>
          </rPr>
          <t>OCULTAR OS LANÇAMENTOS COM VALOR ZERADO (ESTÃO TACHADOS APÓS A LINHA 134 OU PRÓXIMA DESTA PLANILHA)- ANOTAÇÃO DE 28/02/23</t>
        </r>
      </text>
    </comment>
    <comment ref="G283" authorId="0" shapeId="0" xr:uid="{7BC6E06B-3E93-4052-A528-A7AB8FA063DD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</t>
        </r>
      </text>
    </comment>
    <comment ref="A291" authorId="0" shapeId="0" xr:uid="{5CBE865D-1FA9-43CE-822E-750DFBBCD7C2}">
      <text>
        <r>
          <rPr>
            <b/>
            <sz val="8"/>
            <color indexed="81"/>
            <rFont val="Segoe UI"/>
            <family val="2"/>
          </rPr>
          <t>O VENCIMENTO CORRETO É 15/04/2023 (SÁBADO), DE CUJA CONTA FORAM FEITOS O PRESENTE LANÇAMENTO E O RATEIO DE ESGOTO E RECURSOS HÍDRICOS DO CONDOMÍNIO E DE CADA CONDÔMINO</t>
        </r>
      </text>
    </comment>
    <comment ref="A296" authorId="0" shapeId="0" xr:uid="{B3B592FF-DBE2-4BB4-9CF5-2CAFEBD30DAD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G312" authorId="0" shapeId="0" xr:uid="{C5941ADC-6F10-4217-A1A6-7D86BD218914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B314" authorId="0" shapeId="0" xr:uid="{CFE28988-9FBE-4459-926D-7DD0A47D125E}">
      <text>
        <r>
          <rPr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C314" authorId="0" shapeId="0" xr:uid="{440FFFE2-4DC0-4537-BD1D-758765C959C1}">
      <text>
        <r>
          <rPr>
            <sz val="8"/>
            <color indexed="81"/>
            <rFont val="Segoe UI"/>
            <family val="2"/>
          </rPr>
          <t xml:space="preserve">FOI LANÇADA AQUI </t>
        </r>
        <r>
          <rPr>
            <b/>
            <u/>
            <sz val="8"/>
            <color indexed="81"/>
            <rFont val="Segoe UI"/>
            <family val="2"/>
          </rPr>
          <t>(SUBTRAÍDA)</t>
        </r>
        <r>
          <rPr>
            <sz val="8"/>
            <color indexed="81"/>
            <rFont val="Segoe UI"/>
            <family val="2"/>
          </rPr>
          <t xml:space="preserve"> A DIFERENÇA DE CENTAVOS GERADA PELOS ARREDONDAMENTOS, IGUAL AO TOTAL DA CONTA COPASA MENOS O TOTAL ORIGINAL DESTA COLUNA, PARA QUE O TOTAL DELA FECHE COM O TOTAL DA CONTA COPASA</t>
        </r>
      </text>
    </comment>
    <comment ref="A330" authorId="0" shapeId="0" xr:uid="{92C0F72F-6ECD-43B3-AA70-3F58F585F71C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331" authorId="0" shapeId="0" xr:uid="{869104DD-8FA9-40E9-B456-142A5E020167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332" authorId="0" shapeId="0" xr:uid="{DD2BD8AF-3953-4ECE-9C2B-157BF2FA4F84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370" authorId="0" shapeId="0" xr:uid="{C3592E30-B93A-496B-8EFB-1CF5147F55B4}">
      <text>
        <r>
          <rPr>
            <b/>
            <sz val="8"/>
            <color indexed="81"/>
            <rFont val="Segoe UI"/>
            <family val="2"/>
          </rPr>
          <t>OCULTAR OS LANÇAMENTOS COM VALOR ZERADO (ESTÃO TACHADOS APÓS A LINHA 134 OU PRÓXIMA DESTA PLANILHA)- ANOTAÇÃO DE 28/02/23</t>
        </r>
      </text>
    </comment>
    <comment ref="G371" authorId="0" shapeId="0" xr:uid="{F5EB9F8A-5EE7-479B-9396-FD75BEB64987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</t>
        </r>
      </text>
    </comment>
    <comment ref="A379" authorId="0" shapeId="0" xr:uid="{F725BC63-BDC0-4385-8556-B39BF4FE659A}">
      <text>
        <r>
          <rPr>
            <b/>
            <sz val="8"/>
            <color indexed="81"/>
            <rFont val="Segoe UI"/>
            <family val="2"/>
          </rPr>
          <t>O VENCIMENTO CORRETO É 15/04/2023 (SÁBADO), DE CUJA CONTA FORAM FEITOS O PRESENTE LANÇAMENTO E O RATEIO DE ESGOTO E RECURSOS HÍDRICOS DO CONDOMÍNIO E DE CADA CONDÔMINO</t>
        </r>
      </text>
    </comment>
    <comment ref="A380" authorId="0" shapeId="0" xr:uid="{B92AAABA-D263-43E5-9FD3-B9FE5006114F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G399" authorId="0" shapeId="0" xr:uid="{23D3BBD6-037A-43B5-8CE3-D6CAE02834F1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B401" authorId="0" shapeId="0" xr:uid="{EC54E9BE-C16B-4E92-BCE1-04264E1FD639}">
      <text>
        <r>
          <rPr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C401" authorId="0" shapeId="0" xr:uid="{F1720174-C0B4-4967-B1C9-0D508CF70A7F}">
      <text>
        <r>
          <rPr>
            <sz val="8"/>
            <color indexed="81"/>
            <rFont val="Segoe UI"/>
            <family val="2"/>
          </rPr>
          <t xml:space="preserve">FOI LANÇADA AQUI </t>
        </r>
        <r>
          <rPr>
            <b/>
            <u/>
            <sz val="8"/>
            <color indexed="81"/>
            <rFont val="Segoe UI"/>
            <family val="2"/>
          </rPr>
          <t>(SUBTRAÍDA)</t>
        </r>
        <r>
          <rPr>
            <sz val="8"/>
            <color indexed="81"/>
            <rFont val="Segoe UI"/>
            <family val="2"/>
          </rPr>
          <t xml:space="preserve"> A DIFERENÇA DE CENTAVOS GERADA PELOS ARREDONDAMENTOS, IGUAL AO TOTAL DA CONTA COPASA MENOS O TOTAL ORIGINAL DESTA COLUNA, PARA QUE O TOTAL DELA FECHE COM O TOTAL DA CONTA COPASA</t>
        </r>
      </text>
    </comment>
    <comment ref="A417" authorId="0" shapeId="0" xr:uid="{F3CC464F-7ED3-4D7E-97A2-BC07F7F52082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418" authorId="0" shapeId="0" xr:uid="{6A818311-ACF7-4BB9-9C1E-45FDCAD91BA8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419" authorId="0" shapeId="0" xr:uid="{E98A7CF1-5AF4-4157-9823-A94E25FC4068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457" authorId="0" shapeId="0" xr:uid="{FC6A6FB6-2373-4EF1-8D01-BF933B7CF116}">
      <text>
        <r>
          <rPr>
            <b/>
            <sz val="8"/>
            <color indexed="81"/>
            <rFont val="Segoe UI"/>
            <family val="2"/>
          </rPr>
          <t>OCULTAR OS LANÇAMENTOS COM VALOR ZERADO (ESTÃO TACHADOS APÓS A LINHA 134 OU PRÓXIMA DESTA PLANILHA)- ANOTAÇÃO DE 28/02/23</t>
        </r>
      </text>
    </comment>
    <comment ref="G458" authorId="0" shapeId="0" xr:uid="{9E38EA9B-A347-4B80-8340-107C36D9515D}">
      <text>
        <r>
          <rPr>
            <b/>
            <sz val="8"/>
            <color indexed="81"/>
            <rFont val="Segoe UI"/>
            <family val="2"/>
          </rPr>
          <t>EXPRESSÃO ANTES USADA PELO SÍNDICO GILBERTO: "A PAGAR". VOLTAR A ELA APÓS REALOCAR O ITEM "FUNDO DE RESERVA" PARA FORA DO "TOTAL LANÇAMENTOS", QUE TINHA ANTES A DENOMINAÇÃO "DESPESAS ORDINÁRIAS"</t>
        </r>
      </text>
    </comment>
    <comment ref="A467" authorId="0" shapeId="0" xr:uid="{7629EDA8-7C3A-44AD-AD82-12B0B983161E}">
      <text>
        <r>
          <rPr>
            <b/>
            <sz val="8"/>
            <color indexed="81"/>
            <rFont val="Segoe UI"/>
            <family val="2"/>
          </rPr>
          <t>O VENCIMENTO CORRETO É 15/04/2023 (SÁBADO), DE CUJA CONTA FORAM FEITOS O PRESENTE LANÇAMENTO E O RATEIO DE ESGOTO E RECURSOS HÍDRICOS DO CONDOMÍNIO E DE CADA CONDÔMINO</t>
        </r>
      </text>
    </comment>
    <comment ref="A468" authorId="0" shapeId="0" xr:uid="{766E5311-0CE4-4AC4-966D-E3A66F5DF962}">
      <text>
        <r>
          <rPr>
            <b/>
            <sz val="8"/>
            <color indexed="81"/>
            <rFont val="Segoe UI"/>
            <family val="2"/>
          </rPr>
          <t xml:space="preserve">EXPRESSÃO ANTES USADA PELO SÍNDICO GILBERTO: "TOTAL DESPESAS ORDINÁRIAS". VOLTAR A ELA APÓS REALOCAR O ITEM "FUNDO DE RESERVA" PARA FORA DAS DESPESAS ORDINÁRIAS, O QUE DIMINUIRÁ O RATEIO PARCIAL DO SÍNDICO PELOS CONDÔMINOS - ANOTAÇÃO DE 02/02/2023 - </t>
        </r>
        <r>
          <rPr>
            <b/>
            <u/>
            <sz val="8"/>
            <color indexed="81"/>
            <rFont val="Segoe UI"/>
            <family val="2"/>
          </rPr>
          <t>EXCLUÍ-LA NA TABELA DO WORD, SE O ICONEZINHO PERMANECER APÓS SALVAR EM PDF</t>
        </r>
      </text>
    </comment>
    <comment ref="G487" authorId="0" shapeId="0" xr:uid="{61D7C1AC-B141-426E-827C-8B6EA2929E23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B489" authorId="0" shapeId="0" xr:uid="{851C7C84-77D4-45E5-8120-EC615C609ADC}">
      <text>
        <r>
          <rPr>
            <sz val="8"/>
            <color indexed="81"/>
            <rFont val="Segoe UI"/>
            <family val="2"/>
          </rPr>
          <t>CONSUMO DE ÁGUA DO CONDOMÍNIO: RAZOÁVEL ENTRE 20 E 40 M3. MENOS DE 20M3 OU MAIS DE 40M3: UMA DAS 2 LEITURAS PODE ESTAR ERRADA. ANOTAR NO FINAL DA TABELA "RESUMO DOS LANÇAMENTOS (RECEITAS/DESPESAS)" O SALDO DE CRÉDITO OU DÉBITO DE DIFERENÇA DE LEITURA (DIFERENÇA DE CONSUMO DE ÁGUA DO CONDOMÍNIO FORA DA PREVISÃO)</t>
        </r>
      </text>
    </comment>
    <comment ref="C489" authorId="0" shapeId="0" xr:uid="{41D70042-0008-43DE-89CB-C6F22F62617A}">
      <text>
        <r>
          <rPr>
            <sz val="8"/>
            <color indexed="81"/>
            <rFont val="Segoe UI"/>
            <family val="2"/>
          </rPr>
          <t xml:space="preserve">FOI LANÇADA AQUI </t>
        </r>
        <r>
          <rPr>
            <b/>
            <u/>
            <sz val="8"/>
            <color indexed="81"/>
            <rFont val="Segoe UI"/>
            <family val="2"/>
          </rPr>
          <t>(SUBTRAÍDA)</t>
        </r>
        <r>
          <rPr>
            <sz val="8"/>
            <color indexed="81"/>
            <rFont val="Segoe UI"/>
            <family val="2"/>
          </rPr>
          <t xml:space="preserve"> A DIFERENÇA DE CENTAVOS GERADA PELOS ARREDONDAMENTOS, IGUAL AO TOTAL DA CONTA COPASA MENOS O TOTAL ORIGINAL DESTA COLUNA, PARA QUE O TOTAL DELA FECHE COM O TOTAL DA CONTA COPASA</t>
        </r>
      </text>
    </comment>
    <comment ref="A505" authorId="0" shapeId="0" xr:uid="{F8F1E049-65A6-418E-9451-591B7AC52F85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506" authorId="0" shapeId="0" xr:uid="{BB464B73-AB04-4F14-B6C4-494CC5375A04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A507" authorId="0" shapeId="0" xr:uid="{6FF47E47-941E-4733-905E-3671122601AE}">
      <text>
        <r>
          <rPr>
            <sz val="8"/>
            <color indexed="81"/>
            <rFont val="Segoe UI"/>
            <family val="2"/>
          </rPr>
          <t>ANOTAR NO RODAPÉ DA TABELA ACIMA AS PECULIARIDADES DE CADA CONDÔMINO (VER MODELOS NAS IMPRESSÕES QUE GILBERTO FEZ) (25/01/2023) - VER ORIENTAÇÕES NA PLANILHA "ORIENTAÇÕES P PLANILHA GERAL"</t>
        </r>
      </text>
    </comment>
    <comment ref="G575" authorId="0" shapeId="0" xr:uid="{BAC948E3-3D88-420F-8DA7-45B55F8E3A98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G663" authorId="0" shapeId="0" xr:uid="{2A41AFA9-F223-48B8-8C3A-75DB039D9029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G750" authorId="0" shapeId="0" xr:uid="{22F5D077-AD12-4624-BA2A-D803630EC25E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G838" authorId="0" shapeId="0" xr:uid="{77159A08-DC99-46CB-A149-4FE12265F11D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G925" authorId="0" shapeId="0" xr:uid="{7EF0AA64-BE18-4CF4-BD60-F02B0C33E940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G1013" authorId="0" shapeId="0" xr:uid="{758E3504-2882-4853-9618-062A9524FC1D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086" authorId="0" shapeId="0" xr:uid="{0AEBC6B1-5C9B-4BD7-B947-B2DB7F10CA9A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100" authorId="0" shapeId="0" xr:uid="{961B496F-7A15-42F2-837E-4A21EC688BE4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172" authorId="0" shapeId="0" xr:uid="{A43F9573-7EE9-411D-9EA5-A6E7A3792A18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184" authorId="0" shapeId="0" xr:uid="{8CD5A4F2-4806-4925-9894-C798935C38DB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254" authorId="0" shapeId="0" xr:uid="{3FE346E0-5FF4-4206-AFBC-88B229E96EED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271" authorId="0" shapeId="0" xr:uid="{4A1C92EA-7543-4A18-89F7-128919BC85DD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343" authorId="0" shapeId="0" xr:uid="{5EB471B7-0065-40FC-9AA2-3AED085839EA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358" authorId="0" shapeId="0" xr:uid="{0DC2C9D9-B6AD-47C0-BFE9-C5507C471EFC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427" authorId="0" shapeId="0" xr:uid="{93C44300-1B52-47CA-ADEB-36C2455B410F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445" authorId="0" shapeId="0" xr:uid="{049BCA04-90E6-4413-8E92-85D0B223C628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516" authorId="0" shapeId="0" xr:uid="{C96BC8B6-FFC6-4DB8-848D-9038DA5410F2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532" authorId="0" shapeId="0" xr:uid="{A9D00DC7-1FA7-49B6-8817-EF15C1B48186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602" authorId="0" shapeId="0" xr:uid="{3BF0D884-D6CE-4C88-9F6A-D28A6B2DA90D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619" authorId="0" shapeId="0" xr:uid="{EDD2D474-DD1B-4E07-9FD9-646F753F7FDD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691" authorId="0" shapeId="0" xr:uid="{42F9578E-98C4-41C8-896A-3B3873621A40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706" authorId="0" shapeId="0" xr:uid="{091B5F06-7B64-4BF7-985E-9FF8D9CD2A8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775" authorId="0" shapeId="0" xr:uid="{63E6F210-5781-47AD-B03B-D20199A5CBA6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793" authorId="0" shapeId="0" xr:uid="{C249CA58-58D9-4F85-BADF-29F2264C78F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862" authorId="0" shapeId="0" xr:uid="{1D85A7EC-C33C-4A72-BFCC-7FC4B7E4361B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880" authorId="0" shapeId="0" xr:uid="{058BA469-D153-4F3A-8857-49A0963E51C7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1950" authorId="0" shapeId="0" xr:uid="{B410A7FA-490A-45F1-BB5B-C0477C89B56D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1967" authorId="0" shapeId="0" xr:uid="{69FB5342-4F89-4D04-8ECE-3AF00E55B910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039" authorId="0" shapeId="0" xr:uid="{0DE797E5-8686-4640-9F60-A224966B5D04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054" authorId="0" shapeId="0" xr:uid="{35A21EC8-5019-4EA5-907C-7484B0F77B9E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125" authorId="0" shapeId="0" xr:uid="{4AFE3022-403E-4C70-8301-DFDB1829EE15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141" authorId="0" shapeId="0" xr:uid="{0D80A6BA-F24B-42F7-83EA-20DB0BC82823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212" authorId="0" shapeId="0" xr:uid="{902EC74B-25C9-4684-A98D-2B78043C3870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228" authorId="0" shapeId="0" xr:uid="{A564B34A-9D92-4021-B5AC-55732525E95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298" authorId="0" shapeId="0" xr:uid="{767AE097-4E01-4D1D-B0A4-0CF29789E162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315" authorId="0" shapeId="0" xr:uid="{600945FE-7C7E-45CA-A7BF-FC5D220CBF46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385" authorId="0" shapeId="0" xr:uid="{EEA1918A-7309-48E5-A43E-DBDF9CF1E26E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402" authorId="0" shapeId="0" xr:uid="{67119B85-9A5D-420F-8413-31FBC74D1F64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472" authorId="0" shapeId="0" xr:uid="{8B13CBFD-A6D7-40D7-8516-E0DDCD69E21B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489" authorId="0" shapeId="0" xr:uid="{EE8C4DC8-68AF-4B2B-AD87-42C8826B2816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559" authorId="0" shapeId="0" xr:uid="{71FB09E7-3B7A-4A0F-9337-D540E22D3F43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576" authorId="0" shapeId="0" xr:uid="{5E84D0C2-25DC-4A89-A4F0-440B29AF075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646" authorId="0" shapeId="0" xr:uid="{4FDD5009-73C3-4FF0-9DB5-DD6E5FF62AA5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663" authorId="0" shapeId="0" xr:uid="{32C76C97-0520-482B-912F-ECF7C73A44A6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733" authorId="0" shapeId="0" xr:uid="{69C43349-0849-4796-92B1-F7B0F59EE982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750" authorId="0" shapeId="0" xr:uid="{5F9B6057-EA1B-4A25-8187-0A8FBB39387F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821" authorId="0" shapeId="0" xr:uid="{B5209B72-5CFE-4C3C-9B9E-5B3C61FDDDF2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837" authorId="0" shapeId="0" xr:uid="{A8783443-6809-4BF1-B523-7D7AA47FCA57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906" authorId="0" shapeId="0" xr:uid="{41831063-9B68-4D67-915F-69AE80E06223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2924" authorId="0" shapeId="0" xr:uid="{4020DDA3-738B-4144-8944-51B23A151A1B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2996" authorId="0" shapeId="0" xr:uid="{2E2FD4D2-74C2-4243-9248-748DBE3FB924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3011" authorId="0" shapeId="0" xr:uid="{715B8180-4E5A-49A5-AA86-2710E095D932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3080" authorId="0" shapeId="0" xr:uid="{4FDE618D-9A51-4B77-AE94-98BC59AA7CEB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3098" authorId="0" shapeId="0" xr:uid="{3AE6649D-A0AC-4DBB-8AB0-7190CC900192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3167" authorId="0" shapeId="0" xr:uid="{0E6B9B39-5304-4EFF-8327-369ECCF5F12F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3185" authorId="0" shapeId="0" xr:uid="{1950BC45-6B8B-484D-BD9C-7989A59E6481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3254" authorId="0" shapeId="0" xr:uid="{F524489A-BC8D-4883-97F1-7AFD3B6CCF82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3272" authorId="0" shapeId="0" xr:uid="{90E9C34D-C53F-4AA2-8B62-8EBFCEEA110D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  <comment ref="A3342" authorId="0" shapeId="0" xr:uid="{987E2B79-76FE-4F6A-A859-DB18788E1B6D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3359" authorId="0" shapeId="0" xr:uid="{EB1A6351-0716-4BCF-8C97-9B64D88C2C37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A29" authorId="0" shapeId="0" xr:uid="{5F2136BD-8455-4CEE-B93F-E6587F174031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46" authorId="0" shapeId="0" xr:uid="{4EE5C26C-F72B-484D-B4E3-784AD3F20005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A29" authorId="0" shapeId="0" xr:uid="{47BCCBC7-C9C9-4A77-9E3B-AA4CEC6E2904}">
      <text>
        <r>
          <rPr>
            <b/>
            <sz val="8"/>
            <color indexed="81"/>
            <rFont val="Segoe UI"/>
            <family val="2"/>
          </rPr>
          <t xml:space="preserve">CRITÉRIO ADOTADO A PARTIR DOS "LANÇAMENTOS-MAIO/2023": RATEIO ENTRE OS 13 CONDÔMINOS RESTANTES, CRITÉRIO ESSE QUE O EX-SÍNDICO GILBERTO ADOTOU ATÉ O CONDOMÍNIO VENCIDO EM 04/2020 E DEPOIS ALTEROU PARA RATEIO ENTRE OS 14 CONDÔMINOS, ATÉ SUA SAÍDA COMO SÍNDICO EM 01/2023. ANOTAÇÃO DE 03/06/2023: ENTENDO QUE NO CÁLCULO DO RATEIO PARCIAL DO SÍNDICO DEVERIA SER PRIMEIRO SER EXCLUÍDO O ITEM "FUNDO DE RESERVA" DO TOTAL DE LANÇAMENTOS PARA DEPOIS ENTÃO SER CALCULADO, MAS AINDA NÃO FIZ ESSA ALTERAÇÃO. O IMPORTANTE É QUE TODO VALOR PAGO A MAIOR REVERTE EM FAVOR DO PRÓPRIO CONDOMÍNIO. </t>
        </r>
        <r>
          <rPr>
            <b/>
            <i/>
            <u/>
            <sz val="8"/>
            <color indexed="81"/>
            <rFont val="Segoe UI"/>
            <family val="2"/>
          </rPr>
          <t>28/02/24: EXCLUÍ O ITEM "FUNDO DE RESERVA" DO TOTAL DE LANÇAMENTOS, PARA DEPOIS CALCULAR O RATEIO PARCIAL. INSERI-O APÓS O "RATEIO PARCIAL DO SÍNDICO", SOMANDO-O AO "RATEIO FINAL"</t>
        </r>
        <r>
          <rPr>
            <b/>
            <u/>
            <sz val="8"/>
            <color indexed="81"/>
            <rFont val="Segoe UI"/>
            <family val="2"/>
          </rPr>
          <t>.</t>
        </r>
      </text>
    </comment>
    <comment ref="G46" authorId="0" shapeId="0" xr:uid="{B7A5E27E-9B82-4FC5-878C-3B757241DC11}">
      <text>
        <r>
          <rPr>
            <b/>
            <sz val="9"/>
            <color indexed="81"/>
            <rFont val="Segoe UI"/>
            <family val="2"/>
          </rPr>
          <t>COM ARREDONDAMENTO PARA CIMA</t>
        </r>
      </text>
    </comment>
  </commentList>
</comments>
</file>

<file path=xl/sharedStrings.xml><?xml version="1.0" encoding="utf-8"?>
<sst xmlns="http://schemas.openxmlformats.org/spreadsheetml/2006/main" count="2252" uniqueCount="497">
  <si>
    <t>LANÇAMENTOS - FEVEREIRO/2023</t>
  </si>
  <si>
    <t>DATA</t>
  </si>
  <si>
    <t>CONTA</t>
  </si>
  <si>
    <t>DESCRIÇÃO</t>
  </si>
  <si>
    <t>CONSERV/PRED.</t>
  </si>
  <si>
    <t xml:space="preserve">CONSERVADORA CAMPOS DE OLIVEIRA  </t>
  </si>
  <si>
    <t>FUNDO DE RESERVA (R$ 300,00 POR APTº)</t>
  </si>
  <si>
    <r>
      <t xml:space="preserve">MANUTENÇÃO ELEVADOR - THYSSENKRUPP                                 </t>
    </r>
    <r>
      <rPr>
        <sz val="11"/>
        <color indexed="10"/>
        <rFont val="Calibri"/>
        <family val="2"/>
      </rPr>
      <t xml:space="preserve">  </t>
    </r>
  </si>
  <si>
    <t>CONTA DE ÁGUA DO CONDOMÍNIO</t>
  </si>
  <si>
    <t>CONTA DE LUZ DO CONDOMÍNIO (CEMIG)</t>
  </si>
  <si>
    <t>MINISTÉRIO DA FAZENDA- RET. FEDERAL PIS/COFINS/CSLL</t>
  </si>
  <si>
    <t>REPARO INFILTRAÇÃO CAIXA D'ÁGUA - MATERIAL</t>
  </si>
  <si>
    <t>SEGURO DO PRÉDIO, PARCELA 2ª/6</t>
  </si>
  <si>
    <t>SEGURO DO PRÉDIO, PARCELA 3ª/6</t>
  </si>
  <si>
    <t>HONORÁRIOS DA CONTADORA - MAYRA S. P. OLIVEIRA</t>
  </si>
  <si>
    <t>INTERNET PARA TRANSMISSÃO DE IMAGENS DAS CÂMERAS</t>
  </si>
  <si>
    <t>TOTAL LANÇAMENTOS</t>
  </si>
  <si>
    <t>RATEIO PARCIAL</t>
  </si>
  <si>
    <t>RATEIO PARCIAL DO SÍNDICO (RP/14)</t>
  </si>
  <si>
    <t>RATEIO FINAL</t>
  </si>
  <si>
    <t>CONDOMÍNIO NEÁPOLIS</t>
  </si>
  <si>
    <t>VALORES DEVIDOS POR UNIDADE - FEVEREIRO/2023</t>
  </si>
  <si>
    <t>APTº</t>
  </si>
  <si>
    <t>COPASA</t>
  </si>
  <si>
    <t>GÁS</t>
  </si>
  <si>
    <t>RATEIO</t>
  </si>
  <si>
    <t>TOTAL A PAGAR</t>
  </si>
  <si>
    <t>Nº</t>
  </si>
  <si>
    <t>CONSUMO M³</t>
  </si>
  <si>
    <t>ÁGUA/ESGOTO (R$)</t>
  </si>
  <si>
    <t>VALOR (R$)</t>
  </si>
  <si>
    <t>(R$)</t>
  </si>
  <si>
    <t>CONDOMÍNIO</t>
  </si>
  <si>
    <t>SALDO DO FUNDO DE RESERVA EM 31/12/2022</t>
  </si>
  <si>
    <t>ENTRADA (CAPTAÇÃO DE JANEIRO/2023)</t>
  </si>
  <si>
    <t>SALDO DISPONíVEL DO FUNDO DE RESERVA EM 31/01/2023</t>
  </si>
  <si>
    <t>BANCO INTER, AGÊNCIA 0001, CONTA CORRENTE 26620410-4</t>
  </si>
  <si>
    <t>CONDOMÍNIO DO RESIDENCIAL NEÁPOLIS, CNPJ 09.408.714/0001-08</t>
  </si>
  <si>
    <t>Ofício nº 03/2023 – Circular</t>
  </si>
  <si>
    <t>Belo Horizonte/MG, 03 de março de 2023.</t>
  </si>
  <si>
    <t>Caro condômino: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</si>
  <si>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março/2023</t>
    </r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</si>
  <si>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</si>
  <si>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09/03/2023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</si>
  <si>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07/03/2023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</si>
  <si>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MARÇO/2023</t>
  </si>
  <si>
    <t>DESPESAS BANCÁRIAS (BRADESCO, PIX DE ENCERRAMENTO)</t>
  </si>
  <si>
    <t>MINISTÉRIO DA FAZENDA- RET. FEDERAL INSS/PIS/COFINS/CSLL</t>
  </si>
  <si>
    <t>SEGURO DO PRÉDIO, PARCELA 4ª/6</t>
  </si>
  <si>
    <t>VALORES DEVIDOS POR UNIDADE - MARÇO/2023</t>
  </si>
  <si>
    <t>A CHAVE PIX É O CNPJ 09.408.714/0001-08</t>
  </si>
  <si>
    <t>SALDO DO FUNDO DE RESERVA EM 31/01/2023 (R$)</t>
  </si>
  <si>
    <t>SALDO DISPONíVEL DO FUNDO DE RESERVA EM 28/02/2023 (R$)</t>
  </si>
  <si>
    <t>ENTRADA (CAPTAÇÃO DE FEVEREIRO/2023 EM R$)</t>
  </si>
  <si>
    <t>SE PREFERIREM PODEM FAZER TRANSFERÊNCIA OU DEPOSITAR DIRETAMENTE NA CONTA DO CONDOMíNIO:</t>
  </si>
  <si>
    <t>Ofício nº 04/2023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</si>
  <si>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abril/2023</t>
    </r>
  </si>
  <si>
    <t>Belo Horizonte/MG, 31 de março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</si>
  <si>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</si>
  <si>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10/04/2023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</si>
  <si>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06/04/2023</t>
    </r>
    <r>
      <rPr>
        <sz val="13"/>
        <color theme="1"/>
        <rFont val="Calibri"/>
        <family val="2"/>
        <scheme val="minor"/>
      </rPr>
      <t>, visando tempo suficiente para compensação.</t>
    </r>
  </si>
  <si>
    <t xml:space="preserve">MANUTENÇÃO ELEVADOR - THYSSENKRUPP                                   </t>
  </si>
  <si>
    <t>SEGURO DO PRÉDIO, PARCELA 5ª/6</t>
  </si>
  <si>
    <t>LANÇAMENTOS - ABRIL/2023</t>
  </si>
  <si>
    <t>VALORES DEVIDOS POR UNIDADE - ABRIL/2023</t>
  </si>
  <si>
    <t>SALDO DO FUNDO DE RESERVA EM 28/02/2023 (R$)</t>
  </si>
  <si>
    <t>ENTRADA (CAPTAÇÃO DE MARÇO/2023 EM R$)</t>
  </si>
  <si>
    <t>SALDO DISPONíVEL DO FUNDO DE RESERVA EM 31/03/2023 (R$)</t>
  </si>
  <si>
    <t>Ofício nº 05/2023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</si>
  <si>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maio/2023</t>
    </r>
  </si>
  <si>
    <t>Belo Horizonte/MG, 01 de maio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</si>
  <si>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</si>
  <si>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10/05/2023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</si>
  <si>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08/05/2023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</si>
  <si>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RATEIO PARCIAL DO SÍNDICO (RP/13)</t>
  </si>
  <si>
    <t>LANÇAMENTOS - MAIO/2023</t>
  </si>
  <si>
    <t>LIVRO "REGISTRO DE OCORRÊNCIA DE ELEVADOR"</t>
  </si>
  <si>
    <t>SEGURO DO PRÉDIO, PARCELA 6ª/6</t>
  </si>
  <si>
    <t>RECARGA ANUAL E REPARO DOS EXTINTORES</t>
  </si>
  <si>
    <t>MANUTENÇÃO ELEVADOR - THYSSENKRUPP</t>
  </si>
  <si>
    <t>VALORES DEVIDOS POR UNIDADE - MAIO/2023</t>
  </si>
  <si>
    <t>SALDO DO FUNDO DE RESERVA EM 31/03/2023 (R$)</t>
  </si>
  <si>
    <t>ENTRADA (CAPTAÇÃO DE ABRIL/2023 EM R$)</t>
  </si>
  <si>
    <t>SALDO DISPONíVEL DO FUNDO DE RESERVA EM 30/04/2023 (R$)</t>
  </si>
  <si>
    <t>LÂMPADAS 9W DE LED, 5 (RESERVA)</t>
  </si>
  <si>
    <t>Ofício nº 06/2023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</si>
  <si>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junho/2023</t>
    </r>
  </si>
  <si>
    <t>Belo Horizonte/MG, 03 de junho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</si>
  <si>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</si>
  <si>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09/06/2023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</si>
  <si>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07/06/2023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</si>
  <si>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JUNHO/2023</t>
  </si>
  <si>
    <t>VALORES DEVIDOS POR UNIDADE - JUNHO/2023</t>
  </si>
  <si>
    <t>SALDO DO FUNDO DE RESERVA EM 30/04/2023 (R$)</t>
  </si>
  <si>
    <t>ENTRADA (CAPTAÇÃO DE MAIO/2023 EM R$)</t>
  </si>
  <si>
    <t>SALDO DISPONíVEL DO FUNDO DE RESERVA EM 31/05/2023 (R$)</t>
  </si>
  <si>
    <t>Ofício nº 07/2023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</si>
  <si>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julho/2023</t>
    </r>
  </si>
  <si>
    <t>Belo Horizonte/MG, 01 de julho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</si>
  <si>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</si>
  <si>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10/07/2023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</si>
  <si>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06/07/2023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</si>
  <si>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ASSISTÊNCIA TÉCNICA NO SISTEMA DE CÂMERAS DO PRÉDIO</t>
  </si>
  <si>
    <t>LANÇAMENTOS - JULHO/2023</t>
  </si>
  <si>
    <t>VALORES DEVIDOS POR UNIDADE - JULHO/2023</t>
  </si>
  <si>
    <t>SALDO DO FUNDO DE RESERVA EM 31/05/2023 (R$)</t>
  </si>
  <si>
    <t>ENTRADA (CAPTAÇÃO DE JUNHO/2023 EM R$)</t>
  </si>
  <si>
    <t>SALDO DISPONíVEL DO FUNDO DE RESERVA EM 30/06/2023 (R$)</t>
  </si>
  <si>
    <t>Ofício nº 08/2023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</si>
  <si>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agosto/2023</t>
    </r>
  </si>
  <si>
    <t>Belo Horizonte/MG, 01 de agosto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</si>
  <si>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</si>
  <si>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09/08/2023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</si>
  <si>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07/08/2023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</si>
  <si>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AGOSTO/2023</t>
  </si>
  <si>
    <t>SENSOR DA LÂMPADA DO 7º ANDAR</t>
  </si>
  <si>
    <t>LÂMPADAS TUBULARES 9W DE LED, 2 (RESERVA)</t>
  </si>
  <si>
    <t>VALORES DEVIDOS POR UNIDADE - AGOSTO/2023</t>
  </si>
  <si>
    <t>SALDO DO FUNDO DE RESERVA EM 30/06/2023 (R$)</t>
  </si>
  <si>
    <t>ENTRADA (CAPTAÇÃO DE JULHO/2023 EM R$)</t>
  </si>
  <si>
    <t>SALDO DISPONíVEL DO FUNDO DE RESERVA EM 31/07/2023 (R$)</t>
  </si>
  <si>
    <t>Ofício nº 02/2023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</si>
  <si>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fevereiro/2023</t>
    </r>
  </si>
  <si>
    <t>Belo Horizonte/MG, 02 de fevereiro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</si>
  <si>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</si>
  <si>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09/02/2023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</si>
  <si>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06/02/2023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</si>
  <si>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Ofício nº 09/2023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</si>
  <si>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setembro/2023</t>
    </r>
  </si>
  <si>
    <t>Belo Horizonte/MG, 31 de agosto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</si>
  <si>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</si>
  <si>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08/09/2023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</si>
  <si>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06/09/2023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</si>
  <si>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SETEMBRO/2023</t>
  </si>
  <si>
    <t>VALORES DEVIDOS POR UNIDADE - SETEMBRO/2023</t>
  </si>
  <si>
    <t>LANÇAS DE SEGURANÇA PARA COMPARTIMENTO DE GÁS</t>
  </si>
  <si>
    <t>MANGUEIRA PARA JARDIM (25M) COM ESGUICHO E ENGATE</t>
  </si>
  <si>
    <t>SALDO DO FUNDO DE RESERVA EM 31/07/2023 (R$)</t>
  </si>
  <si>
    <t>ENTRADA (CAPTAÇÃO DE AGOSTO/2023 EM R$)</t>
  </si>
  <si>
    <t>SALDO DISPONíVEL DO FUNDO DE RESERVA EM 31/08/2023 (R$)</t>
  </si>
  <si>
    <t>Ofício nº 10/2023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</si>
  <si>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outubro/2023</t>
    </r>
  </si>
  <si>
    <t>Belo Horizonte/MG, 02 de outubro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</si>
  <si>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</si>
  <si>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06/10/2023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</si>
  <si>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OUTUBRO/2023</t>
  </si>
  <si>
    <t>VALORES DEVIDOS POR UNIDADE - OUTUBRO/2023</t>
  </si>
  <si>
    <t>SALDO DO FUNDO DE RESERVA EM 31/08/2023 (R$)</t>
  </si>
  <si>
    <t>ENTRADA (CAPTAÇÃO DE SETEMBRO/2023 EM R$)</t>
  </si>
  <si>
    <t>SALDO DISPONíVEL DO FUNDO DE RESERVA EM 30/09/2023 (R$)</t>
  </si>
  <si>
    <t>Ofício nº 11/2023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</si>
  <si>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novembro/2023</t>
    </r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</si>
  <si>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</si>
  <si>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09/11/2023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</si>
  <si>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07/11/2023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</si>
  <si>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NOVEMBRO/2023</t>
  </si>
  <si>
    <t>VALORES DEVIDOS POR UNIDADE - NOVEMBRO/2023</t>
  </si>
  <si>
    <t>SALDO DO FUNDO DE RESERVA EM 30/09/2023 (R$)</t>
  </si>
  <si>
    <t>ENTRADA (CAPTAÇÃO DE OUTUBRO/2023 EM R$)</t>
  </si>
  <si>
    <t>SALDO DISPONíVEL DO FUNDO DE RESERVA EM 31/10/2023 (R$)</t>
  </si>
  <si>
    <t>LÂMPADAS 9W DE LED, 5</t>
  </si>
  <si>
    <t>Belo Horizonte/MG, 02 de novembro de 2023.</t>
  </si>
  <si>
    <t>Ofício nº 12/2023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</si>
  <si>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dezembro/2023</t>
    </r>
  </si>
  <si>
    <t>Belo Horizonte/MG, 30 de novembro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</si>
  <si>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dezembro/2023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</si>
  <si>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08/12/2023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</si>
  <si>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05/12/2023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</si>
  <si>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DEZEMBRO/2023</t>
  </si>
  <si>
    <t>VALORES DEVIDOS POR UNIDADE - DEZEMBRO/2023</t>
  </si>
  <si>
    <t>SALDO DO FUNDO DE RESERVA EM 31/10/2023 (R$)</t>
  </si>
  <si>
    <t>ENTRADA (CAPTAÇÃO DE NOVEMBRO/2023 EM R$)</t>
  </si>
  <si>
    <t>SALDO DISPONíVEL DO FUNDO DE RESERVA EM 30/11/2023 (R$)</t>
  </si>
  <si>
    <t>Ofício nº 01/2024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</si>
  <si>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janeiro/2024</t>
    </r>
  </si>
  <si>
    <t>Belo Horizonte/MG, 29 de dezembro de 2023.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</si>
  <si>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</si>
  <si>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09/01/2024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</si>
  <si>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05/01/2024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</si>
  <si>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JANEIRO/2024</t>
  </si>
  <si>
    <t>VALORES DEVIDOS POR UNIDADE - JANEIRO/2024</t>
  </si>
  <si>
    <t>SEGURO DO PRÉDIO, PARCELA 1ª/6</t>
  </si>
  <si>
    <t>SALDO DO FUNDO DE RESERVA EM 30/11/2023 (R$)</t>
  </si>
  <si>
    <t>ENTRADA (CAPTAÇÃO DE DEZEMBRO/2023 EM R$)</t>
  </si>
  <si>
    <t>SALDO DISPONíVEL DO FUNDO DE RESERVA EM 31/12/2023 (R$)</t>
  </si>
  <si>
    <t>Ofício nº 02/2024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</si>
  <si>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fevereiro/2024</t>
    </r>
  </si>
  <si>
    <t>Belo Horizonte/MG, 02 de fevereiro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</si>
  <si>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</si>
  <si>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09/02/2024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</si>
  <si>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06/02/2024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</si>
  <si>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FEVEREIRO/2024</t>
  </si>
  <si>
    <t>VALORES DEVIDOS POR UNIDADE - FEVEREIRO/2024</t>
  </si>
  <si>
    <t>LÂMPADAS DE LED: 5 DE 9W, 2 DE 15W</t>
  </si>
  <si>
    <t>CHAVES, 3 CÓPIAS-RESERVA (BANHEIRO DA GARAGEM, DESPENSA, PORTÃO DO GÁS)</t>
  </si>
  <si>
    <t>LIMPEZA DA 2ª CAIXA D'ÁGUA</t>
  </si>
  <si>
    <t>FUNDO DE RESERVA</t>
  </si>
  <si>
    <t>SALDO DO FUNDO DE RESERVA EM 31/12/2023 (R$)</t>
  </si>
  <si>
    <t>ENTRADA (CAPTAÇÃO DE JANEIRO/2024 EM R$)</t>
  </si>
  <si>
    <t>SALDO DISPONíVEL DO FUNDO DE RESERVA EM 31/01/2024 (R$)</t>
  </si>
  <si>
    <t>Ofício nº 03/2024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</si>
  <si>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março/2024</t>
    </r>
  </si>
  <si>
    <t>Belo Horizonte/MG, 05 de março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</si>
  <si>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</si>
  <si>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11/03/2024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</si>
  <si>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08/03/2024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</si>
  <si>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MARÇO/2024</t>
  </si>
  <si>
    <t>VALORES DEVIDOS POR UNIDADE - MARÇO/2024</t>
  </si>
  <si>
    <t>DESENTUPIMENTO DO ESGOTO ENTRE A GARAGEM E A RUA</t>
  </si>
  <si>
    <t>LÂMPADAS DE LED: 6 DE 9W, 1 DE 15W</t>
  </si>
  <si>
    <t>SENSORES PARA A ÁREA EXTERNA DOS ANDARES 2, 4, 5, 6 E 7</t>
  </si>
  <si>
    <t>CHAVES, 3 CÓPIAS-RESERVA (CADEADO DO INTERFONE E 2 DO PAINEL DO ELEVADOR NO 8º ANDAR)</t>
  </si>
  <si>
    <t>SALDO DO FUNDO DE RESERVA EM 31/01/2024 (R$)</t>
  </si>
  <si>
    <t>ENTRADA (CAPTAÇÃO DE FEVEREIRO/2024 EM R$)</t>
  </si>
  <si>
    <t>SALDO DISPONíVEL DO FUNDO DE RESERVA EM 29/02/2024 (R$)</t>
  </si>
  <si>
    <t>Ofício nº 04/2024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</si>
  <si>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abril/2024</t>
    </r>
  </si>
  <si>
    <t>Belo Horizonte/MG, 03 de abril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</si>
  <si>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</si>
  <si>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10/04/2024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</si>
  <si>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08/04/2024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</si>
  <si>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ABRIL/2024</t>
  </si>
  <si>
    <t>VALORES DEVIDOS POR UNIDADE - ABRIL/2024</t>
  </si>
  <si>
    <t>SALDO DO FUNDO DE RESERVA EM 29/02/2024 (R$)</t>
  </si>
  <si>
    <t>ENTRADA (CAPTAÇÃO DE MARÇO/2024 EM R$)</t>
  </si>
  <si>
    <t>SALDO DISPONíVEL DO FUNDO DE RESERVA EM 31/03/2024 (R$)</t>
  </si>
  <si>
    <t>Ofício nº 05/2024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</si>
  <si>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maio/2024</t>
    </r>
  </si>
  <si>
    <t>Belo Horizonte/MG, 02 de maio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</si>
  <si>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</si>
  <si>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10/05/2024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</si>
  <si>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08/05/2024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</si>
  <si>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MAIO/2024</t>
  </si>
  <si>
    <t>VALORES DEVIDOS POR UNIDADE - MAIO/2024</t>
  </si>
  <si>
    <t>LÂMPADAS DE LED: 6 DE 9W</t>
  </si>
  <si>
    <t>SALDO DO FUNDO DE RESERVA EM 31/03/2024 (R$)</t>
  </si>
  <si>
    <t>ENTRADA (CAPTAÇÃO DE ABRIL/2024 EM R$)</t>
  </si>
  <si>
    <t>SALDO DISPONíVEL DO FUNDO DE RESERVA EM 30/04/2024 (R$)</t>
  </si>
  <si>
    <t>Ofício nº 06/2024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</si>
  <si>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junho/2024</t>
    </r>
  </si>
  <si>
    <t>Belo Horizonte/MG, 01 de junho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</si>
  <si>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</si>
  <si>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10/06/2024</t>
    </r>
    <r>
      <rPr>
        <sz val="13"/>
        <color theme="1"/>
        <rFont val="Calibri"/>
        <family val="2"/>
        <scheme val="minor"/>
      </rPr>
      <t>.</t>
    </r>
  </si>
  <si>
    <t>LANÇAMENTOS - JUNHO/2024</t>
  </si>
  <si>
    <t>VALORES DEVIDOS POR UNIDADE - LANÇAMENTOS - JUNHO/2024</t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</si>
  <si>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07/06/2024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</si>
  <si>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SALDO DO FUNDO DE RESERVA EM 30/04/2024 (R$)</t>
  </si>
  <si>
    <t>ENTRADA (CAPTAÇÃO DE MAIO/2024 EM R$)</t>
  </si>
  <si>
    <t>PAGAMENTO DA PARCELA 1/4 DA REFORMA DO PRÉDIO (FREMA REFORMAS)</t>
  </si>
  <si>
    <t>SALDO DISPONíVEL DO FUNDO DE RESERVA EM 31/05/2024 (R$)</t>
  </si>
  <si>
    <t>Ofício nº 07/2024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</si>
  <si>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julho/2024</t>
    </r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</si>
  <si>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</si>
  <si>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10/07/2024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</si>
  <si>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08/07/2024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</si>
  <si>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JULHO/2024</t>
  </si>
  <si>
    <t>VALORES DEVIDOS POR UNIDADE - LANÇAMENTOS - JULHO/2024</t>
  </si>
  <si>
    <t>GÁS, CONSERTO DE VAZAMENTO NO HALL DO 3º ANDAR</t>
  </si>
  <si>
    <t>ATA DE ELEIÇÃO DE NOVO SÍNDICO, REGISTRO NO CARTÓRIO</t>
  </si>
  <si>
    <t>SALDO DO FUNDO DE RESERVA EM 31/05/2024 (R$)</t>
  </si>
  <si>
    <t>ENTRADA (CAPTAÇÃO DE JUNHO/2024 EM R$)</t>
  </si>
  <si>
    <t>PAGAMENTO DA PARCELA 2/4 DA REFORMA DO PRÉDIO (FREMA REFORMAS)</t>
  </si>
  <si>
    <t>SALDO DISPONíVEL DO FUNDO DE RESERVA EM 30/06/2024 (R$)</t>
  </si>
  <si>
    <t>Belo Horizonte/MG, 01 de julho de 2024.</t>
  </si>
  <si>
    <t>Ofício nº 08/2024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</si>
  <si>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agosto/2024</t>
    </r>
  </si>
  <si>
    <t>Belo Horizonte/MG, 01 de agosto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</si>
  <si>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</si>
  <si>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09/08/2024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</si>
  <si>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07/08/2024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</si>
  <si>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AGOSTO/2024</t>
  </si>
  <si>
    <t>VALORES DEVIDOS POR UNIDADE - LANÇAMENTOS - AGOSTO/2024</t>
  </si>
  <si>
    <t>SALDO DO FUNDO DE RESERVA EM 30/06/2024 (R$)</t>
  </si>
  <si>
    <t>ENTRADA (CAPTAÇÃO DE JULHO/2024 EM R$)</t>
  </si>
  <si>
    <t>PAGAMENTO DA PARCELA 3/4 DA REFORMA DO PRÉDIO (FREMA REFORMAS)</t>
  </si>
  <si>
    <t>SALDO DISPONíVEL DO FUNDO DE RESERVA EM 31/07/2024 (R$)</t>
  </si>
  <si>
    <t>SERVIÇOS DE SERRALHEIRO NA PORTA ENTRE A GARAGEM E O ELEVADOR</t>
  </si>
  <si>
    <t>SERVIÇOS DE SERRALHEIRO NO PORTÃO DA GARAGEM: DESEMPENAMENTO E SOLDAS</t>
  </si>
  <si>
    <t>SERVIÇOS NA PORTA DE VIDRO, A 2ª APÓS A ENTRADA: ALINHAMENTO E TROCA DE PEÇAS</t>
  </si>
  <si>
    <t>Ofício nº 09/2024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</si>
  <si>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setembro/2024</t>
    </r>
  </si>
  <si>
    <t>Belo Horizonte/MG, 04 de setembro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</si>
  <si>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</si>
  <si>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10/09/2024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</si>
  <si>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06/09/2024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</si>
  <si>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SETEMBRO/2024</t>
  </si>
  <si>
    <t>VALORES DEVIDOS POR UNIDADE - LANÇAMENTOS - SETEMBRO/2024</t>
  </si>
  <si>
    <t>SALDO DO FUNDO DE RESERVA EM 31/07/2024 (R$)</t>
  </si>
  <si>
    <t>ENTRADA (CAPTAÇÃO DE AGOSTO/2024 EM R$)</t>
  </si>
  <si>
    <t>PAGAMENTO DA PARCELA 4/4 DA REFORMA DO PRÉDIO (FREMA REFORMAS)</t>
  </si>
  <si>
    <t>SALDO DISPONíVEL DO FUNDO DE RESERVA EM 31/08/2024 (R$)</t>
  </si>
  <si>
    <t>Ofício nº 10/2024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</si>
  <si>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outubro/2024</t>
    </r>
  </si>
  <si>
    <t>Belo Horizonte/MG, 01 de outubro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</si>
  <si>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</si>
  <si>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10/10/2024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</si>
  <si>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07/10/2024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</si>
  <si>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OUTUBRO/2024</t>
  </si>
  <si>
    <t>VALORES DEVIDOS POR UNIDADE - OUTUBRO/2024</t>
  </si>
  <si>
    <t>SALDO DO FUNDO DE RESERVA EM 31/08/2024 (R$)</t>
  </si>
  <si>
    <t>ENTRADA (CAPTAÇÃO DE SETEMBRO/2024 EM R$)</t>
  </si>
  <si>
    <t>SALDO DISPONíVEL DO FUNDO DE RESERVA EM 30/09/2024 (R$)</t>
  </si>
  <si>
    <t>Ofício nº 11/2024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</si>
  <si>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novembro/2024</t>
    </r>
  </si>
  <si>
    <t>Belo Horizonte/MG, 02 de novembro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</si>
  <si>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</si>
  <si>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08/11/2024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</si>
  <si>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06/11/2024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</si>
  <si>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NOVEMBRO/2024</t>
  </si>
  <si>
    <t>VALORES DEVIDOS POR UNIDADE - NOVEMBRO/2024</t>
  </si>
  <si>
    <t>SALDO DO FUNDO DE RESERVA EM 30/09/2024 (R$)</t>
  </si>
  <si>
    <t>ENTRADA (CAPTAÇÃO DE OUTUBRO/2024 EM R$)</t>
  </si>
  <si>
    <t>DESPESAS COM PINTURA DE GRADIS, PORTAS E GARAGEM DO PRÉDIO</t>
  </si>
  <si>
    <t>SALDO DISPONíVEL DO FUNDO DE RESERVA EM 31/10/2024 (R$)</t>
  </si>
  <si>
    <t>Ofício nº 12/2024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</si>
  <si>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dezembro/2024</t>
    </r>
  </si>
  <si>
    <t>Belo Horizonte/MG, 02 de dezembro de 2024.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</si>
  <si>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dezembro/2024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</si>
  <si>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10/12/2024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</si>
  <si>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06/12/2024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</si>
  <si>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DEZEMBRO/2024</t>
  </si>
  <si>
    <t>VALORES DEVIDOS POR UNIDADE - DEZEMBRO/2024</t>
  </si>
  <si>
    <t>CONSERTO DA BOMBA D'ÁGUA</t>
  </si>
  <si>
    <t>SALDO DO FUNDO DE RESERVA EM 31/10/2024 (R$)</t>
  </si>
  <si>
    <t>ENTRADA (CAPTAÇÃO DE NOVEMBRO/2024 EM R$)</t>
  </si>
  <si>
    <t>DESPESAS COM PINTURA DE GRADIS, PORTAS, ESCADAS E GARAGEM DO PRÉDIO</t>
  </si>
  <si>
    <t>SALDO DISPONíVEL DO FUNDO DE RESERVA EM 30/11/2024 (R$)</t>
  </si>
  <si>
    <t>Ofício nº 01/2025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</si>
  <si>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janeiro/2025</t>
    </r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</si>
  <si>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</si>
  <si>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10/01/2025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</si>
  <si>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08/01/2025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</si>
  <si>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Belo Horizonte/MG, 03 de janeiro de 2025.</t>
  </si>
  <si>
    <t>CHAVES, 2 CÓPIAS-RESERVA DOS JARDINS</t>
  </si>
  <si>
    <t>LÂMPADAS E OUTROS MATERIAIS ELÉTRICOS PARA GARAGEM</t>
  </si>
  <si>
    <t>LANÇAMENTOS - JANEIRO/2025</t>
  </si>
  <si>
    <t>VALORES DEVIDOS POR UNIDADE - JANEIRO/2025</t>
  </si>
  <si>
    <t>SALDO DO FUNDO DE RESERVA EM 30/11/2024 (R$)</t>
  </si>
  <si>
    <t>ENTRADA (CAPTAÇÃO DE DEZEMBRO/2024 EM R$)</t>
  </si>
  <si>
    <t>SALDO DISPONíVEL DO FUNDO DE RESERVA EM 31/12/2024 (R$)</t>
  </si>
  <si>
    <t>Ofício nº 02/2025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</si>
  <si>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fevereiro/2025</t>
    </r>
  </si>
  <si>
    <t>Belo Horizonte/MG, 01 de fevereiro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</si>
  <si>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</si>
  <si>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10/02/2025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</si>
  <si>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07/02/2025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</si>
  <si>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FEVEREIRO/2025</t>
  </si>
  <si>
    <t>VALORES DEVIDOS POR UNIDADE - FEVEREIRO/2025</t>
  </si>
  <si>
    <t>LÂMPADAS 9W DE LED, 12</t>
  </si>
  <si>
    <t>SALDO DO FUNDO DE RESERVA EM 31/12/2024 (R$)</t>
  </si>
  <si>
    <t>ENTRADA (CAPTAÇÃO DE JANEIRO/2025 EM R$)</t>
  </si>
  <si>
    <t>SALDO DISPONíVEL DO FUNDO DE RESERVA EM 31/01/2025 (R$)</t>
  </si>
  <si>
    <t>Ofício nº 03/2025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</si>
  <si>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março/2025</t>
    </r>
  </si>
  <si>
    <t>Belo Horizonte/MG, 01 de março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</si>
  <si>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</si>
  <si>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10/03/2025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</si>
  <si>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07/03/2025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</si>
  <si>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MARÇO/2025</t>
  </si>
  <si>
    <t>VALORES DEVIDOS POR UNIDADE - MARÇO/2025</t>
  </si>
  <si>
    <t>SALDO DO FUNDO DE RESERVA EM 31/01/2025 (R$)</t>
  </si>
  <si>
    <t>ENTRADA (CAPTAÇÃO DE FEVEREIRO/2025 EM R$)</t>
  </si>
  <si>
    <t>SALDO DISPONíVEL DO FUNDO DE RESERVA EM 28/02/2025 (R$)</t>
  </si>
  <si>
    <t>Ofício nº 04/2025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</si>
  <si>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abril/2025</t>
    </r>
  </si>
  <si>
    <t>Belo Horizonte/MG, 04 de abril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</si>
  <si>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</si>
  <si>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10/04/2025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</si>
  <si>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08/04/2025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</si>
  <si>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ABRIL/2025</t>
  </si>
  <si>
    <t>VALORES DEVIDOS POR UNIDADE - ABRIL/2025</t>
  </si>
  <si>
    <t>SALDO DO FUNDO DE RESERVA EM 28/02/2025</t>
  </si>
  <si>
    <t>ENTRADA (CAPTAÇÃO DE MARÇO/2025)</t>
  </si>
  <si>
    <t>SALDO DISPONíVEL DO FUNDO DE RESERVA EM 31/03/2025</t>
  </si>
  <si>
    <t>Ofício nº 05/2025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</si>
  <si>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maio/2025</t>
    </r>
  </si>
  <si>
    <t>Belo Horizonte/MG, 01 de maio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</si>
  <si>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maio/2025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</si>
  <si>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09/05/2025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</si>
  <si>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07/05/2025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</si>
  <si>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MAIO/2025</t>
  </si>
  <si>
    <t>VALORES DEVIDOS POR UNIDADE - MAIO/2025</t>
  </si>
  <si>
    <t>SALDO DO FUNDO DE RESERVA EM 31/03/2025</t>
  </si>
  <si>
    <t>ENTRADA (CAPTAÇÃO DE ABRIL/2025)</t>
  </si>
  <si>
    <t>SALDO DISPONíVEL DO FUNDO DE RESERVA EM 30/04/2025</t>
  </si>
  <si>
    <t>Ofício nº 06/2025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</si>
  <si>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junho/2025</t>
    </r>
  </si>
  <si>
    <t>Belo Horizonte/MG, 01 de junho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</si>
  <si>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junho/2025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</si>
  <si>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10/06/2025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</si>
  <si>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06/06/2025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</si>
  <si>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JUNHO/2025</t>
  </si>
  <si>
    <t>VALORES DEVIDOS POR UNIDADE - JUNHO/2025</t>
  </si>
  <si>
    <t>SALDO DO FUNDO DE RESERVA EM 30/04/2025</t>
  </si>
  <si>
    <t>ENTRADA (CAPTAÇÃO DE MAIO/2025)</t>
  </si>
  <si>
    <t>RECUPERAÇÃO DO TETO E DO GESSO DE PARTE DO APTº 201 DO CONDOMÍNIO</t>
  </si>
  <si>
    <t>SALDO DISPONíVEL DO FUNDO DE RESERVA EM 31/05/2025</t>
  </si>
  <si>
    <t>Ofício nº 07/2025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</si>
  <si>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julho/2025</t>
    </r>
  </si>
  <si>
    <t>Belo Horizonte/MG, 01 de julho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</si>
  <si>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julho/2025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</si>
  <si>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10/07/2025</t>
    </r>
    <r>
      <rPr>
        <sz val="13"/>
        <color theme="1"/>
        <rFont val="Calibri"/>
        <family val="2"/>
        <scheme val="minor"/>
      </rPr>
      <t>.</t>
    </r>
  </si>
  <si>
    <r>
      <t xml:space="preserve">Em caso de cheques, que o pagamento seja efetuado </t>
    </r>
    <r>
      <rPr>
        <b/>
        <i/>
        <u/>
        <sz val="13"/>
        <color theme="1"/>
        <rFont val="Calibri"/>
        <family val="2"/>
        <scheme val="minor"/>
      </rPr>
      <t>até o dia 08/07/2025</t>
    </r>
    <r>
      <rPr>
        <sz val="13"/>
        <color theme="1"/>
        <rFont val="Calibri"/>
        <family val="2"/>
        <scheme val="minor"/>
      </rPr>
      <t>, visando tempo suficiente para compensação.</t>
    </r>
  </si>
  <si>
    <t>LANÇAMENTOS - JULHO/2025</t>
  </si>
  <si>
    <t>VALORES DEVIDOS POR UNIDADE - JULHO/2025</t>
  </si>
  <si>
    <t>AÇÃO CONTRA COPASA, CUSTAS DE RECURSO JUDICIAL</t>
  </si>
  <si>
    <t>SALDO DO FUNDO DE RESERVA EM 31/05/2025</t>
  </si>
  <si>
    <t>ENTRADA (CAPTAÇÃO DE JUNHO/2025)</t>
  </si>
  <si>
    <t>GASTOS COM ATUALIZAÇÃO DO SISTEMA DE CÂMERAS E INTERFONES</t>
  </si>
  <si>
    <t>SALDO DISPONíVEL DO FUNDO DE RESERVA EM 30/06/2025</t>
  </si>
  <si>
    <t>Ofício nº 08/2025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</si>
  <si>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agosto/2025</t>
    </r>
  </si>
  <si>
    <t>Belo Horizonte/MG, 07 de agosto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</si>
  <si>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agosto/2025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</si>
  <si>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11/08/2025</t>
    </r>
    <r>
      <rPr>
        <sz val="13"/>
        <color theme="1"/>
        <rFont val="Calibri"/>
        <family val="2"/>
        <scheme val="minor"/>
      </rPr>
      <t>.</t>
    </r>
  </si>
  <si>
    <t>LANÇAMENTOS - AGOSTO/2025</t>
  </si>
  <si>
    <t>VALORES DEVIDOS POR UNIDADE - AGOSTO/2025</t>
  </si>
  <si>
    <t>CADEADO E 2 CHAVES-RESERVA PARA CX. CORREIO DA GARAGEM</t>
  </si>
  <si>
    <t>SALDO DO FUNDO DE RESERVA EM 30/06/2025</t>
  </si>
  <si>
    <t>ENTRADA (CAPTAÇÃO DE JULHO/2025)</t>
  </si>
  <si>
    <t>SALDO DISPONíVEL DO FUNDO DE RESERVA EM 31/07/2025</t>
  </si>
  <si>
    <t>LÂMPADAS 9W DE LED, 6</t>
  </si>
  <si>
    <t>SALDO DISPONÍVEL FUNDO DE RESERVA EM</t>
  </si>
  <si>
    <t>FUNDO DE RESERVA,     ENTRADAS NO MÊS</t>
  </si>
  <si>
    <t>FUNDO DE RESERVA,  SALDO EXISTENTE EM</t>
  </si>
  <si>
    <t>VALORES DEVIDOS POR UNIDADE - SETEMBRO/2025</t>
  </si>
  <si>
    <t>SERVIÇOS DE SERRALHEIRO NO PORTÃO DA GARAGEM E NO PORTEIRO ELETRÔNICO</t>
  </si>
  <si>
    <t>LANÇAMENTOS - SETEMBRO/2025</t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</si>
  <si>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10/09/2025</t>
    </r>
    <r>
      <rPr>
        <sz val="13"/>
        <color theme="1"/>
        <rFont val="Calibri"/>
        <family val="2"/>
        <scheme val="minor"/>
      </rPr>
      <t>.</t>
    </r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</si>
  <si>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setembro/2025</t>
    </r>
    <r>
      <rPr>
        <sz val="13"/>
        <color theme="1"/>
        <rFont val="Calibri"/>
        <family val="2"/>
        <scheme val="minor"/>
      </rPr>
      <t>.</t>
    </r>
  </si>
  <si>
    <t>Belo Horizonte/MG, 01 de setembro de 2025.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</si>
  <si>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setembro/2025</t>
    </r>
  </si>
  <si>
    <t>Ofício nº 09/2025 – Circular</t>
  </si>
  <si>
    <t>Ofício nº 10/2025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</si>
  <si>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outubro/2025</t>
    </r>
  </si>
  <si>
    <t>Belo Horizonte/MG, 01 de outubro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</si>
  <si>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outubro/2025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</si>
  <si>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10/10/2025</t>
    </r>
    <r>
      <rPr>
        <sz val="13"/>
        <color theme="1"/>
        <rFont val="Calibri"/>
        <family val="2"/>
        <scheme val="minor"/>
      </rPr>
      <t>.</t>
    </r>
  </si>
  <si>
    <t>RETENÇÕES FEDERAIS / MUNICIPAIS DE TRIBUTOS A RECOLHER</t>
  </si>
  <si>
    <t>MATERIAL PARA PINTURA EM PARTE DO PORTÃO DA GARAGEM E ELEVADOR</t>
  </si>
  <si>
    <t>XEROX PROJ.ELÉTRICO P/RENOV.AUTO DE VISTORIA/CORPO DE BOMBEIROS</t>
  </si>
  <si>
    <t>SINALIZAÇÃO HORIZONTAL NA RUA EM FRENTE À GARAGEM</t>
  </si>
  <si>
    <t>LANÇAMENTOS - OUTUBRO/2025</t>
  </si>
  <si>
    <t>VALORES DEVIDOS POR UNIDADE - OUTUBRO/2025</t>
  </si>
  <si>
    <t>Ofício nº 11/2025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</si>
  <si>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novembro/2025</t>
    </r>
  </si>
  <si>
    <t>Belo Horizonte/MG, 31 de outubro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</si>
  <si>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novembro/2025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</si>
  <si>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10/11/2025</t>
    </r>
    <r>
      <rPr>
        <sz val="13"/>
        <color theme="1"/>
        <rFont val="Calibri"/>
        <family val="2"/>
        <scheme val="minor"/>
      </rPr>
      <t>.</t>
    </r>
  </si>
  <si>
    <t>CONTA DE ÁGUA DO CONDOMÍNIO (A SER RATEADA ENTRE OS CONDÔMINOS)</t>
  </si>
  <si>
    <t>CONSULT. E A.R.T. P/RENOV.AUTO DE VISTORIA/CORPO DE BOMBEIROS</t>
  </si>
  <si>
    <t>LANÇAMENTOS - NOVEMBRO/2025</t>
  </si>
  <si>
    <t>VALORES DEVIDOS POR UNIDADE - NOVEMBRO/2025</t>
  </si>
  <si>
    <t>Ofício nº 12/2025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</si>
  <si>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dezembro/2025</t>
    </r>
  </si>
  <si>
    <t>Belo Horizonte/MG, 02 de dezembro de 2025.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</si>
  <si>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dezembro/2025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</si>
  <si>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10/12/2025</t>
    </r>
    <r>
      <rPr>
        <sz val="13"/>
        <color theme="1"/>
        <rFont val="Calibri"/>
        <family val="2"/>
        <scheme val="minor"/>
      </rPr>
      <t>.</t>
    </r>
  </si>
  <si>
    <t>CONSERTO DA CERCA ELÉTRICA</t>
  </si>
  <si>
    <t>LUMINÁRIA DE EMERGÊNCIA - 1 UNIDADE</t>
  </si>
  <si>
    <t>RECUPERAÇÃO DA PAREDE DAS VAGAS 402 E 601 FUNDOS - MATERIAL</t>
  </si>
  <si>
    <t>DESENTUPIMENTO DO ESGOTO DO PRÉDIO</t>
  </si>
  <si>
    <t>Ofício nº 01/2026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</si>
  <si>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janeiro/2026</t>
    </r>
  </si>
  <si>
    <t>Belo Horizonte/MG, 02 de janeiro de 2026.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</si>
  <si>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janeiro/2026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</si>
  <si>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09/01/2026</t>
    </r>
    <r>
      <rPr>
        <sz val="13"/>
        <color theme="1"/>
        <rFont val="Calibri"/>
        <family val="2"/>
        <scheme val="minor"/>
      </rPr>
      <t>.</t>
    </r>
  </si>
  <si>
    <t>10 E 20/01/26</t>
  </si>
  <si>
    <t>SEGURO DO PRÉDIO</t>
  </si>
  <si>
    <t>PORTA DE VIDRO, 1º ANDAR - MANUTENÇÃO E INSTALAÇÃO DE MOLA</t>
  </si>
  <si>
    <t>LANÇAMENTOS - JANEIRO/2026</t>
  </si>
  <si>
    <t>VALORES DEVIDOS POR UNIDADE - JANEIRO/2026</t>
  </si>
  <si>
    <t>VALORES DEVIDOS POR UNIDADE - DEZEMBRO/2025</t>
  </si>
  <si>
    <t>Ofício nº 02/2026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</si>
  <si>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fevereiro/2026</t>
    </r>
  </si>
  <si>
    <t>Belo Horizonte/MG, 01 de fevereiro de 2026.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</si>
  <si>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fevereiro/2026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</si>
  <si>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10/02/2026</t>
    </r>
    <r>
      <rPr>
        <sz val="13"/>
        <color theme="1"/>
        <rFont val="Calibri"/>
        <family val="2"/>
        <scheme val="minor"/>
      </rPr>
      <t>.</t>
    </r>
  </si>
  <si>
    <t>SEGURO DO PRÉDIO - PARCELA 2ª/6</t>
  </si>
  <si>
    <t>LANÇAMENTOS - FEVEREIRO/2026</t>
  </si>
  <si>
    <t>VALORES DEVIDOS POR UNIDADE - FEVEREIRO/2026</t>
  </si>
  <si>
    <t>Ofício nº 03/2026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</si>
  <si>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março/2026</t>
    </r>
  </si>
  <si>
    <t>Belo Horizonte/MG, 03 de março de 2026.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</si>
  <si>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março/2026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</si>
  <si>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10/03/2026</t>
    </r>
    <r>
      <rPr>
        <sz val="13"/>
        <color theme="1"/>
        <rFont val="Calibri"/>
        <family val="2"/>
        <scheme val="minor"/>
      </rPr>
      <t>.</t>
    </r>
  </si>
  <si>
    <t>SEGURO DO PRÉDIO - PARCELA 3ª/6</t>
  </si>
  <si>
    <t>LANÇAMENTOS - MARÇO/2026</t>
  </si>
  <si>
    <t>VALORES DEVIDOS POR UNIDADE - MARÇO/2026</t>
  </si>
  <si>
    <t>Ofício nº 04/2026 – Circular</t>
  </si>
  <si>
    <r>
      <rPr>
        <b/>
        <i/>
        <u/>
        <sz val="13"/>
        <color theme="1"/>
        <rFont val="Calibri"/>
        <family val="2"/>
        <scheme val="minor"/>
      </rPr>
      <t>Assunto:</t>
    </r>
    <r>
      <rPr>
        <sz val="13"/>
        <color theme="1"/>
        <rFont val="Calibri"/>
        <family val="2"/>
        <scheme val="minor"/>
      </rPr>
      <t xml:space="preserve">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abril/2026</t>
    </r>
  </si>
  <si>
    <t>Belo Horizonte/MG, 01 de abril de 2026.</t>
  </si>
  <si>
    <r>
      <t xml:space="preserve">Seguem abaixo os valores devidos por unidade para fazer face às despesas do condomínio, com vencimento em </t>
    </r>
    <r>
      <rPr>
        <b/>
        <i/>
        <u/>
        <sz val="13"/>
        <color theme="1"/>
        <rFont val="Calibri"/>
        <family val="2"/>
        <scheme val="minor"/>
      </rPr>
      <t>abril/2026</t>
    </r>
    <r>
      <rPr>
        <sz val="13"/>
        <color theme="1"/>
        <rFont val="Calibri"/>
        <family val="2"/>
        <scheme val="minor"/>
      </rPr>
      <t>.</t>
    </r>
  </si>
  <si>
    <r>
      <t xml:space="preserve">Para que possamos honrar com os pagamentos em tempo hábil, solicitamos que os valores sejam repassados </t>
    </r>
    <r>
      <rPr>
        <b/>
        <i/>
        <u/>
        <sz val="13"/>
        <color theme="1"/>
        <rFont val="Calibri"/>
        <family val="2"/>
        <scheme val="minor"/>
      </rPr>
      <t>impreterivelmente até o dia 10/04/2026</t>
    </r>
    <r>
      <rPr>
        <sz val="13"/>
        <color theme="1"/>
        <rFont val="Calibri"/>
        <family val="2"/>
        <scheme val="minor"/>
      </rPr>
      <t>.</t>
    </r>
  </si>
  <si>
    <t>LANÇAMENTOS - ABRIL/2026</t>
  </si>
  <si>
    <t>VALORES DEVIDOS POR UNIDADE - ABRIL/2026</t>
  </si>
  <si>
    <t>SEGURO DO PRÉDIO - PARCELA 4ª/6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</si>
</sst>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164" formatCode="dd/mm/yy"/>
    <numFmt numFmtId="165" formatCode="#,##0.00_ ;[Red]\-#,##0.00\ "/>
    <numFmt numFmtId="166" formatCode="dd/mm/yy;@"/>
    <numFmt numFmtId="167" formatCode="#,##0.000_ ;[Red]\-#,##0.000\ "/>
    <numFmt numFmtId="168" formatCode="#,##0.000"/>
    <numFmt numFmtId="169" formatCode="mm/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6"/>
      <color indexed="8"/>
      <name val="Calibri"/>
      <family val="2"/>
    </font>
    <font>
      <sz val="12"/>
      <color indexed="8"/>
      <name val="Calibri"/>
      <family val="2"/>
    </font>
    <font>
      <sz val="11"/>
      <color indexed="10"/>
      <name val="Calibri"/>
      <family val="2"/>
    </font>
    <font>
      <b/>
      <sz val="16"/>
      <color indexed="8"/>
      <name val="Calibri"/>
      <family val="2"/>
    </font>
    <font>
      <b/>
      <sz val="9"/>
      <color indexed="81"/>
      <name val="Segoe UI"/>
      <family val="2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b/>
      <sz val="12"/>
      <name val="Calibri"/>
      <family val="2"/>
    </font>
    <font>
      <b/>
      <sz val="14"/>
      <color rgb="FFFF0000"/>
      <name val="Calibri"/>
      <family val="2"/>
    </font>
    <font>
      <sz val="8"/>
      <color indexed="81"/>
      <name val="Segoe UI"/>
      <family val="2"/>
    </font>
    <font>
      <b/>
      <u/>
      <sz val="8"/>
      <color indexed="81"/>
      <name val="Segoe UI"/>
      <family val="2"/>
    </font>
    <font>
      <sz val="13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indexed="81"/>
      <name val="Segoe UI"/>
      <family val="2"/>
    </font>
    <font>
      <strike/>
      <sz val="12"/>
      <color indexed="8"/>
      <name val="Calibri"/>
      <family val="2"/>
    </font>
    <font>
      <b/>
      <i/>
      <u/>
      <sz val="8"/>
      <color indexed="81"/>
      <name val="Segoe U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164" fontId="0" fillId="0" borderId="5" xfId="0" quotePrefix="1" applyNumberForma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2" xfId="0" applyBorder="1"/>
    <xf numFmtId="164" fontId="0" fillId="0" borderId="5" xfId="0" applyNumberForma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165" fontId="3" fillId="0" borderId="5" xfId="0" applyNumberFormat="1" applyFont="1" applyBorder="1" applyAlignment="1">
      <alignment horizontal="right"/>
    </xf>
    <xf numFmtId="0" fontId="7" fillId="0" borderId="10" xfId="0" applyFont="1" applyBorder="1"/>
    <xf numFmtId="165" fontId="3" fillId="0" borderId="5" xfId="0" applyNumberFormat="1" applyFont="1" applyBorder="1"/>
    <xf numFmtId="0" fontId="9" fillId="0" borderId="2" xfId="1" applyFont="1" applyBorder="1" applyAlignment="1">
      <alignment horizontal="centerContinuous" vertical="center"/>
    </xf>
    <xf numFmtId="0" fontId="9" fillId="0" borderId="4" xfId="1" applyFont="1" applyBorder="1" applyAlignment="1">
      <alignment horizontal="centerContinuous" vertical="center"/>
    </xf>
    <xf numFmtId="166" fontId="10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6" fontId="12" fillId="0" borderId="1" xfId="1" applyNumberFormat="1" applyFont="1" applyBorder="1" applyAlignment="1">
      <alignment horizontal="centerContinuous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3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5" fillId="0" borderId="5" xfId="0" applyNumberFormat="1" applyFont="1" applyBorder="1" applyAlignment="1">
      <alignment vertical="center"/>
    </xf>
    <xf numFmtId="165" fontId="5" fillId="0" borderId="5" xfId="0" applyNumberFormat="1" applyFont="1" applyBorder="1" applyAlignment="1">
      <alignment vertical="center"/>
    </xf>
    <xf numFmtId="168" fontId="10" fillId="0" borderId="5" xfId="1" applyNumberFormat="1" applyFont="1" applyBorder="1" applyAlignment="1">
      <alignment vertical="center"/>
    </xf>
    <xf numFmtId="165" fontId="5" fillId="0" borderId="1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68" fontId="5" fillId="0" borderId="5" xfId="0" applyNumberFormat="1" applyFont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16" fillId="0" borderId="1" xfId="0" applyFont="1" applyBorder="1"/>
    <xf numFmtId="0" fontId="16" fillId="0" borderId="2" xfId="0" applyFont="1" applyBorder="1"/>
    <xf numFmtId="0" fontId="16" fillId="0" borderId="4" xfId="0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2" fontId="3" fillId="0" borderId="4" xfId="0" applyNumberFormat="1" applyFont="1" applyBorder="1"/>
    <xf numFmtId="14" fontId="17" fillId="0" borderId="0" xfId="0" applyNumberFormat="1" applyFont="1" applyAlignment="1">
      <alignment horizontal="left"/>
    </xf>
    <xf numFmtId="2" fontId="3" fillId="0" borderId="15" xfId="0" applyNumberFormat="1" applyFont="1" applyBorder="1"/>
    <xf numFmtId="2" fontId="3" fillId="0" borderId="3" xfId="0" applyNumberFormat="1" applyFont="1" applyBorder="1"/>
    <xf numFmtId="2" fontId="3" fillId="0" borderId="6" xfId="0" applyNumberFormat="1" applyFont="1" applyBorder="1"/>
    <xf numFmtId="2" fontId="3" fillId="0" borderId="16" xfId="0" applyNumberFormat="1" applyFont="1" applyBorder="1"/>
    <xf numFmtId="2" fontId="3" fillId="0" borderId="17" xfId="0" applyNumberFormat="1" applyFont="1" applyBorder="1"/>
    <xf numFmtId="2" fontId="3" fillId="0" borderId="18" xfId="0" applyNumberFormat="1" applyFont="1" applyBorder="1"/>
    <xf numFmtId="2" fontId="5" fillId="0" borderId="0" xfId="0" applyNumberFormat="1" applyFont="1"/>
    <xf numFmtId="2" fontId="16" fillId="0" borderId="1" xfId="0" applyNumberFormat="1" applyFont="1" applyBorder="1" applyAlignment="1">
      <alignment horizontal="centerContinuous"/>
    </xf>
    <xf numFmtId="2" fontId="16" fillId="0" borderId="2" xfId="0" applyNumberFormat="1" applyFont="1" applyBorder="1" applyAlignment="1">
      <alignment horizontal="centerContinuous"/>
    </xf>
    <xf numFmtId="2" fontId="16" fillId="0" borderId="4" xfId="0" applyNumberFormat="1" applyFont="1" applyBorder="1" applyAlignment="1">
      <alignment horizontal="centerContinuous"/>
    </xf>
    <xf numFmtId="0" fontId="20" fillId="0" borderId="0" xfId="0" applyFont="1"/>
    <xf numFmtId="165" fontId="5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Continuous"/>
    </xf>
    <xf numFmtId="166" fontId="4" fillId="0" borderId="5" xfId="0" applyNumberFormat="1" applyFont="1" applyBorder="1" applyAlignment="1">
      <alignment horizontal="center"/>
    </xf>
    <xf numFmtId="0" fontId="20" fillId="0" borderId="0" xfId="0" applyFont="1" applyAlignment="1">
      <alignment wrapText="1"/>
    </xf>
    <xf numFmtId="0" fontId="22" fillId="0" borderId="0" xfId="0" applyFont="1"/>
    <xf numFmtId="4" fontId="16" fillId="0" borderId="5" xfId="0" applyNumberFormat="1" applyFont="1" applyBorder="1"/>
    <xf numFmtId="0" fontId="3" fillId="0" borderId="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165" fontId="24" fillId="0" borderId="5" xfId="0" applyNumberFormat="1" applyFont="1" applyBorder="1" applyAlignment="1">
      <alignment vertical="center"/>
    </xf>
    <xf numFmtId="0" fontId="4" fillId="0" borderId="5" xfId="0" applyFont="1" applyBorder="1"/>
    <xf numFmtId="165" fontId="5" fillId="0" borderId="7" xfId="0" applyNumberFormat="1" applyFont="1" applyBorder="1" applyAlignment="1">
      <alignment horizontal="right"/>
    </xf>
    <xf numFmtId="0" fontId="11" fillId="0" borderId="2" xfId="0" applyFont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4" fillId="0" borderId="5" xfId="0" applyFont="1" applyBorder="1" applyAlignment="1">
      <alignment vertical="center"/>
    </xf>
    <xf numFmtId="165" fontId="5" fillId="0" borderId="5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165" fontId="16" fillId="0" borderId="5" xfId="0" applyNumberFormat="1" applyFont="1" applyBorder="1"/>
    <xf numFmtId="2" fontId="26" fillId="0" borderId="1" xfId="0" applyNumberFormat="1" applyFont="1" applyBorder="1"/>
    <xf numFmtId="0" fontId="3" fillId="0" borderId="5" xfId="0" applyFont="1" applyBorder="1" applyAlignment="1">
      <alignment horizontal="centerContinuous"/>
    </xf>
    <xf numFmtId="169" fontId="3" fillId="0" borderId="2" xfId="0" applyNumberFormat="1" applyFont="1" applyBorder="1" applyAlignment="1">
      <alignment horizontal="left"/>
    </xf>
    <xf numFmtId="0" fontId="0" fillId="0" borderId="17" xfId="0" applyBorder="1"/>
    <xf numFmtId="169" fontId="0" fillId="0" borderId="17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3" xfId="0" applyBorder="1"/>
    <xf numFmtId="169" fontId="0" fillId="0" borderId="3" xfId="0" applyNumberFormat="1" applyBorder="1" applyAlignment="1">
      <alignment horizontal="center"/>
    </xf>
    <xf numFmtId="0" fontId="28" fillId="0" borderId="1" xfId="0" applyFont="1" applyBorder="1"/>
    <xf numFmtId="0" fontId="29" fillId="0" borderId="0" xfId="0" applyFont="1"/>
    <xf numFmtId="7" fontId="29" fillId="0" borderId="0" xfId="0" applyNumberFormat="1" applyFont="1" applyAlignment="1">
      <alignment horizontal="left"/>
    </xf>
    <xf numFmtId="165" fontId="30" fillId="0" borderId="5" xfId="0" applyNumberFormat="1" applyFont="1" applyBorder="1"/>
    <xf numFmtId="2" fontId="16" fillId="0" borderId="1" xfId="0" applyNumberFormat="1" applyFont="1" applyBorder="1" applyAlignment="1">
      <alignment horizontal="justify" wrapText="1"/>
    </xf>
    <xf numFmtId="2" fontId="16" fillId="0" borderId="2" xfId="0" applyNumberFormat="1" applyFont="1" applyBorder="1" applyAlignment="1">
      <alignment horizontal="justify" wrapText="1"/>
    </xf>
    <xf numFmtId="2" fontId="16" fillId="0" borderId="4" xfId="0" applyNumberFormat="1" applyFont="1" applyBorder="1" applyAlignment="1">
      <alignment horizontal="justify" wrapText="1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0" fillId="0" borderId="0" xfId="0" applyFont="1" applyAlignment="1">
      <alignment horizontal="justify" wrapText="1"/>
    </xf>
    <xf numFmtId="14" fontId="27" fillId="0" borderId="2" xfId="0" applyNumberFormat="1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Normal" xfId="0" builtinId="0"/>
    <cellStyle name="Normal 2" xfId="1" xr:uid="{3E94E255-97D8-480C-AFE0-AD7A44B6F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168</xdr:row>
      <xdr:rowOff>85725</xdr:rowOff>
    </xdr:from>
    <xdr:ext cx="3550553" cy="942975"/>
    <xdr:pic>
      <xdr:nvPicPr>
        <xdr:cNvPr id="2" name="Imagem 1">
          <a:extLst>
            <a:ext uri="{FF2B5EF4-FFF2-40B4-BE49-F238E27FC236}">
              <a16:creationId xmlns:a16="http://schemas.microsoft.com/office/drawing/2014/main" id="{3CAF5C45-0857-403D-AB97-C8551CBC7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2089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165</xdr:row>
      <xdr:rowOff>133350</xdr:rowOff>
    </xdr:from>
    <xdr:to>
      <xdr:col>1</xdr:col>
      <xdr:colOff>66674</xdr:colOff>
      <xdr:row>167</xdr:row>
      <xdr:rowOff>57150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087AA434-A1EA-408F-8B25-ABCA11AF5018}"/>
            </a:ext>
          </a:extLst>
        </xdr:cNvPr>
        <xdr:cNvSpPr/>
      </xdr:nvSpPr>
      <xdr:spPr bwMode="auto">
        <a:xfrm>
          <a:off x="76199" y="31565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165</xdr:row>
      <xdr:rowOff>133350</xdr:rowOff>
    </xdr:from>
    <xdr:to>
      <xdr:col>6</xdr:col>
      <xdr:colOff>600074</xdr:colOff>
      <xdr:row>167</xdr:row>
      <xdr:rowOff>57150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483A3970-8B3A-4FDD-A652-965C7C8F760B}"/>
            </a:ext>
          </a:extLst>
        </xdr:cNvPr>
        <xdr:cNvSpPr/>
      </xdr:nvSpPr>
      <xdr:spPr bwMode="auto">
        <a:xfrm rot="10800000">
          <a:off x="3690937" y="31565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295275</xdr:colOff>
      <xdr:row>123</xdr:row>
      <xdr:rowOff>152400</xdr:rowOff>
    </xdr:from>
    <xdr:ext cx="3550553" cy="942975"/>
    <xdr:pic>
      <xdr:nvPicPr>
        <xdr:cNvPr id="5" name="Imagem 4">
          <a:extLst>
            <a:ext uri="{FF2B5EF4-FFF2-40B4-BE49-F238E27FC236}">
              <a16:creationId xmlns:a16="http://schemas.microsoft.com/office/drawing/2014/main" id="{3E1BDDD5-B969-4F77-83D7-856BD0C8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235839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255</xdr:row>
      <xdr:rowOff>85725</xdr:rowOff>
    </xdr:from>
    <xdr:ext cx="3550553" cy="942975"/>
    <xdr:pic>
      <xdr:nvPicPr>
        <xdr:cNvPr id="6" name="Imagem 5">
          <a:extLst>
            <a:ext uri="{FF2B5EF4-FFF2-40B4-BE49-F238E27FC236}">
              <a16:creationId xmlns:a16="http://schemas.microsoft.com/office/drawing/2014/main" id="{6907C9BA-1172-4FD1-AE12-55E38F10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8663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252</xdr:row>
      <xdr:rowOff>133350</xdr:rowOff>
    </xdr:from>
    <xdr:to>
      <xdr:col>1</xdr:col>
      <xdr:colOff>66674</xdr:colOff>
      <xdr:row>254</xdr:row>
      <xdr:rowOff>57150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26D369B7-1171-439F-90FF-01E640620AB9}"/>
            </a:ext>
          </a:extLst>
        </xdr:cNvPr>
        <xdr:cNvSpPr/>
      </xdr:nvSpPr>
      <xdr:spPr bwMode="auto">
        <a:xfrm>
          <a:off x="76199" y="48139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252</xdr:row>
      <xdr:rowOff>133350</xdr:rowOff>
    </xdr:from>
    <xdr:to>
      <xdr:col>6</xdr:col>
      <xdr:colOff>600074</xdr:colOff>
      <xdr:row>254</xdr:row>
      <xdr:rowOff>57150</xdr:rowOff>
    </xdr:to>
    <xdr:sp macro="" textlink="">
      <xdr:nvSpPr>
        <xdr:cNvPr id="8" name="Seta: para a Direita 7">
          <a:extLst>
            <a:ext uri="{FF2B5EF4-FFF2-40B4-BE49-F238E27FC236}">
              <a16:creationId xmlns:a16="http://schemas.microsoft.com/office/drawing/2014/main" id="{5D9F897C-B5B1-420D-9558-F57627D66689}"/>
            </a:ext>
          </a:extLst>
        </xdr:cNvPr>
        <xdr:cNvSpPr/>
      </xdr:nvSpPr>
      <xdr:spPr bwMode="auto">
        <a:xfrm rot="10800000">
          <a:off x="3690937" y="48139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295275</xdr:colOff>
      <xdr:row>210</xdr:row>
      <xdr:rowOff>152400</xdr:rowOff>
    </xdr:from>
    <xdr:ext cx="3550553" cy="942975"/>
    <xdr:pic>
      <xdr:nvPicPr>
        <xdr:cNvPr id="9" name="Imagem 8">
          <a:extLst>
            <a:ext uri="{FF2B5EF4-FFF2-40B4-BE49-F238E27FC236}">
              <a16:creationId xmlns:a16="http://schemas.microsoft.com/office/drawing/2014/main" id="{2C90AF5C-2C67-4D76-8209-8A4E06BD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401574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343</xdr:row>
      <xdr:rowOff>85725</xdr:rowOff>
    </xdr:from>
    <xdr:ext cx="3550553" cy="942975"/>
    <xdr:pic>
      <xdr:nvPicPr>
        <xdr:cNvPr id="10" name="Imagem 9">
          <a:extLst>
            <a:ext uri="{FF2B5EF4-FFF2-40B4-BE49-F238E27FC236}">
              <a16:creationId xmlns:a16="http://schemas.microsoft.com/office/drawing/2014/main" id="{17F778FF-B80F-4869-9E56-B4B0E0AFC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65427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340</xdr:row>
      <xdr:rowOff>133350</xdr:rowOff>
    </xdr:from>
    <xdr:to>
      <xdr:col>1</xdr:col>
      <xdr:colOff>66674</xdr:colOff>
      <xdr:row>342</xdr:row>
      <xdr:rowOff>57150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90C691A2-739E-4643-95DB-9B7B3E49AC37}"/>
            </a:ext>
          </a:extLst>
        </xdr:cNvPr>
        <xdr:cNvSpPr/>
      </xdr:nvSpPr>
      <xdr:spPr bwMode="auto">
        <a:xfrm>
          <a:off x="76199" y="64903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340</xdr:row>
      <xdr:rowOff>133350</xdr:rowOff>
    </xdr:from>
    <xdr:to>
      <xdr:col>6</xdr:col>
      <xdr:colOff>600074</xdr:colOff>
      <xdr:row>342</xdr:row>
      <xdr:rowOff>57150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216C2EA0-0301-4832-924D-8E47188FC962}"/>
            </a:ext>
          </a:extLst>
        </xdr:cNvPr>
        <xdr:cNvSpPr/>
      </xdr:nvSpPr>
      <xdr:spPr bwMode="auto">
        <a:xfrm rot="10800000">
          <a:off x="3690937" y="64903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304800</xdr:colOff>
      <xdr:row>299</xdr:row>
      <xdr:rowOff>66675</xdr:rowOff>
    </xdr:from>
    <xdr:ext cx="3550553" cy="942975"/>
    <xdr:pic>
      <xdr:nvPicPr>
        <xdr:cNvPr id="13" name="Imagem 12">
          <a:extLst>
            <a:ext uri="{FF2B5EF4-FFF2-40B4-BE49-F238E27FC236}">
              <a16:creationId xmlns:a16="http://schemas.microsoft.com/office/drawing/2014/main" id="{16F8E321-1084-4DAD-9CBE-4FC549A9E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5702617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430</xdr:row>
      <xdr:rowOff>85725</xdr:rowOff>
    </xdr:from>
    <xdr:ext cx="3550553" cy="942975"/>
    <xdr:pic>
      <xdr:nvPicPr>
        <xdr:cNvPr id="14" name="Imagem 13">
          <a:extLst>
            <a:ext uri="{FF2B5EF4-FFF2-40B4-BE49-F238E27FC236}">
              <a16:creationId xmlns:a16="http://schemas.microsoft.com/office/drawing/2014/main" id="{49CA8360-5E80-4EA5-B60D-B3A53354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82000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427</xdr:row>
      <xdr:rowOff>133350</xdr:rowOff>
    </xdr:from>
    <xdr:to>
      <xdr:col>1</xdr:col>
      <xdr:colOff>66674</xdr:colOff>
      <xdr:row>429</xdr:row>
      <xdr:rowOff>57150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4EF7A91B-D24D-4241-A201-EE847342EE9D}"/>
            </a:ext>
          </a:extLst>
        </xdr:cNvPr>
        <xdr:cNvSpPr/>
      </xdr:nvSpPr>
      <xdr:spPr bwMode="auto">
        <a:xfrm>
          <a:off x="76199" y="81476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427</xdr:row>
      <xdr:rowOff>133350</xdr:rowOff>
    </xdr:from>
    <xdr:to>
      <xdr:col>6</xdr:col>
      <xdr:colOff>600074</xdr:colOff>
      <xdr:row>429</xdr:row>
      <xdr:rowOff>57150</xdr:rowOff>
    </xdr:to>
    <xdr:sp macro="" textlink="">
      <xdr:nvSpPr>
        <xdr:cNvPr id="16" name="Seta: para a Direita 15">
          <a:extLst>
            <a:ext uri="{FF2B5EF4-FFF2-40B4-BE49-F238E27FC236}">
              <a16:creationId xmlns:a16="http://schemas.microsoft.com/office/drawing/2014/main" id="{A38C597A-0720-404B-92EF-A5EA70FF819B}"/>
            </a:ext>
          </a:extLst>
        </xdr:cNvPr>
        <xdr:cNvSpPr/>
      </xdr:nvSpPr>
      <xdr:spPr bwMode="auto">
        <a:xfrm rot="10800000">
          <a:off x="3690937" y="81476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304800</xdr:colOff>
      <xdr:row>383</xdr:row>
      <xdr:rowOff>66675</xdr:rowOff>
    </xdr:from>
    <xdr:ext cx="3550553" cy="942975"/>
    <xdr:pic>
      <xdr:nvPicPr>
        <xdr:cNvPr id="17" name="Imagem 16">
          <a:extLst>
            <a:ext uri="{FF2B5EF4-FFF2-40B4-BE49-F238E27FC236}">
              <a16:creationId xmlns:a16="http://schemas.microsoft.com/office/drawing/2014/main" id="{5A4EB8B4-E2DF-41EF-AE68-367EB14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7302817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518</xdr:row>
      <xdr:rowOff>85725</xdr:rowOff>
    </xdr:from>
    <xdr:ext cx="3550553" cy="942975"/>
    <xdr:pic>
      <xdr:nvPicPr>
        <xdr:cNvPr id="18" name="Imagem 17">
          <a:extLst>
            <a:ext uri="{FF2B5EF4-FFF2-40B4-BE49-F238E27FC236}">
              <a16:creationId xmlns:a16="http://schemas.microsoft.com/office/drawing/2014/main" id="{E8177624-3EC1-4B51-803A-FC5828DD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98764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515</xdr:row>
      <xdr:rowOff>133350</xdr:rowOff>
    </xdr:from>
    <xdr:to>
      <xdr:col>1</xdr:col>
      <xdr:colOff>66674</xdr:colOff>
      <xdr:row>517</xdr:row>
      <xdr:rowOff>57150</xdr:rowOff>
    </xdr:to>
    <xdr:sp macro="" textlink="">
      <xdr:nvSpPr>
        <xdr:cNvPr id="19" name="Seta: para a Direita 18">
          <a:extLst>
            <a:ext uri="{FF2B5EF4-FFF2-40B4-BE49-F238E27FC236}">
              <a16:creationId xmlns:a16="http://schemas.microsoft.com/office/drawing/2014/main" id="{23A1E2A8-4413-40BA-8C9B-DCB6C3A7DB54}"/>
            </a:ext>
          </a:extLst>
        </xdr:cNvPr>
        <xdr:cNvSpPr/>
      </xdr:nvSpPr>
      <xdr:spPr bwMode="auto">
        <a:xfrm>
          <a:off x="76199" y="98240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515</xdr:row>
      <xdr:rowOff>133350</xdr:rowOff>
    </xdr:from>
    <xdr:to>
      <xdr:col>6</xdr:col>
      <xdr:colOff>600074</xdr:colOff>
      <xdr:row>517</xdr:row>
      <xdr:rowOff>57150</xdr:rowOff>
    </xdr:to>
    <xdr:sp macro="" textlink="">
      <xdr:nvSpPr>
        <xdr:cNvPr id="20" name="Seta: para a Direita 19">
          <a:extLst>
            <a:ext uri="{FF2B5EF4-FFF2-40B4-BE49-F238E27FC236}">
              <a16:creationId xmlns:a16="http://schemas.microsoft.com/office/drawing/2014/main" id="{945CF818-5049-4C2F-BF06-33D70C78BC4C}"/>
            </a:ext>
          </a:extLst>
        </xdr:cNvPr>
        <xdr:cNvSpPr/>
      </xdr:nvSpPr>
      <xdr:spPr bwMode="auto">
        <a:xfrm rot="10800000">
          <a:off x="3690937" y="98240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473</xdr:row>
      <xdr:rowOff>57150</xdr:rowOff>
    </xdr:from>
    <xdr:ext cx="3550553" cy="942975"/>
    <xdr:pic>
      <xdr:nvPicPr>
        <xdr:cNvPr id="21" name="Imagem 20">
          <a:extLst>
            <a:ext uri="{FF2B5EF4-FFF2-40B4-BE49-F238E27FC236}">
              <a16:creationId xmlns:a16="http://schemas.microsoft.com/office/drawing/2014/main" id="{DE39C627-55D0-45C0-932B-B16439892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901636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606</xdr:row>
      <xdr:rowOff>85725</xdr:rowOff>
    </xdr:from>
    <xdr:ext cx="3550553" cy="942975"/>
    <xdr:pic>
      <xdr:nvPicPr>
        <xdr:cNvPr id="22" name="Imagem 21">
          <a:extLst>
            <a:ext uri="{FF2B5EF4-FFF2-40B4-BE49-F238E27FC236}">
              <a16:creationId xmlns:a16="http://schemas.microsoft.com/office/drawing/2014/main" id="{17F3E0CC-AED2-4C93-B427-EBFA3446E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15528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603</xdr:row>
      <xdr:rowOff>133350</xdr:rowOff>
    </xdr:from>
    <xdr:to>
      <xdr:col>1</xdr:col>
      <xdr:colOff>66674</xdr:colOff>
      <xdr:row>605</xdr:row>
      <xdr:rowOff>57150</xdr:rowOff>
    </xdr:to>
    <xdr:sp macro="" textlink="">
      <xdr:nvSpPr>
        <xdr:cNvPr id="23" name="Seta: para a Direita 22">
          <a:extLst>
            <a:ext uri="{FF2B5EF4-FFF2-40B4-BE49-F238E27FC236}">
              <a16:creationId xmlns:a16="http://schemas.microsoft.com/office/drawing/2014/main" id="{5FDED29B-2E7A-4414-9422-17D4B6ECB0A0}"/>
            </a:ext>
          </a:extLst>
        </xdr:cNvPr>
        <xdr:cNvSpPr/>
      </xdr:nvSpPr>
      <xdr:spPr bwMode="auto">
        <a:xfrm>
          <a:off x="76199" y="115004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603</xdr:row>
      <xdr:rowOff>133350</xdr:rowOff>
    </xdr:from>
    <xdr:to>
      <xdr:col>6</xdr:col>
      <xdr:colOff>600074</xdr:colOff>
      <xdr:row>605</xdr:row>
      <xdr:rowOff>57150</xdr:rowOff>
    </xdr:to>
    <xdr:sp macro="" textlink="">
      <xdr:nvSpPr>
        <xdr:cNvPr id="24" name="Seta: para a Direita 23">
          <a:extLst>
            <a:ext uri="{FF2B5EF4-FFF2-40B4-BE49-F238E27FC236}">
              <a16:creationId xmlns:a16="http://schemas.microsoft.com/office/drawing/2014/main" id="{A27D6841-7B1F-46B4-8EA2-53B58DEAF439}"/>
            </a:ext>
          </a:extLst>
        </xdr:cNvPr>
        <xdr:cNvSpPr/>
      </xdr:nvSpPr>
      <xdr:spPr bwMode="auto">
        <a:xfrm rot="10800000">
          <a:off x="3690937" y="115004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562</xdr:row>
      <xdr:rowOff>57150</xdr:rowOff>
    </xdr:from>
    <xdr:ext cx="3550553" cy="942975"/>
    <xdr:pic>
      <xdr:nvPicPr>
        <xdr:cNvPr id="25" name="Imagem 24">
          <a:extLst>
            <a:ext uri="{FF2B5EF4-FFF2-40B4-BE49-F238E27FC236}">
              <a16:creationId xmlns:a16="http://schemas.microsoft.com/office/drawing/2014/main" id="{17E56AFF-56D2-4F50-BC54-C4D75F83E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071181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80</xdr:row>
      <xdr:rowOff>85725</xdr:rowOff>
    </xdr:from>
    <xdr:ext cx="3550553" cy="942975"/>
    <xdr:pic>
      <xdr:nvPicPr>
        <xdr:cNvPr id="26" name="Imagem 25">
          <a:extLst>
            <a:ext uri="{FF2B5EF4-FFF2-40B4-BE49-F238E27FC236}">
              <a16:creationId xmlns:a16="http://schemas.microsoft.com/office/drawing/2014/main" id="{99314313-DA76-4AF7-B629-625ABD6CD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5325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77</xdr:row>
      <xdr:rowOff>133350</xdr:rowOff>
    </xdr:from>
    <xdr:to>
      <xdr:col>1</xdr:col>
      <xdr:colOff>66674</xdr:colOff>
      <xdr:row>79</xdr:row>
      <xdr:rowOff>57150</xdr:rowOff>
    </xdr:to>
    <xdr:sp macro="" textlink="">
      <xdr:nvSpPr>
        <xdr:cNvPr id="27" name="Seta: para a Direita 26">
          <a:extLst>
            <a:ext uri="{FF2B5EF4-FFF2-40B4-BE49-F238E27FC236}">
              <a16:creationId xmlns:a16="http://schemas.microsoft.com/office/drawing/2014/main" id="{560B8141-32A8-437E-9305-BAA16C2CAFF4}"/>
            </a:ext>
          </a:extLst>
        </xdr:cNvPr>
        <xdr:cNvSpPr/>
      </xdr:nvSpPr>
      <xdr:spPr bwMode="auto">
        <a:xfrm>
          <a:off x="76199" y="14801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77</xdr:row>
      <xdr:rowOff>133350</xdr:rowOff>
    </xdr:from>
    <xdr:to>
      <xdr:col>6</xdr:col>
      <xdr:colOff>600074</xdr:colOff>
      <xdr:row>79</xdr:row>
      <xdr:rowOff>57150</xdr:rowOff>
    </xdr:to>
    <xdr:sp macro="" textlink="">
      <xdr:nvSpPr>
        <xdr:cNvPr id="28" name="Seta: para a Direita 27">
          <a:extLst>
            <a:ext uri="{FF2B5EF4-FFF2-40B4-BE49-F238E27FC236}">
              <a16:creationId xmlns:a16="http://schemas.microsoft.com/office/drawing/2014/main" id="{4FCC73DB-E094-4B57-AF3B-E98FBA50D1F2}"/>
            </a:ext>
          </a:extLst>
        </xdr:cNvPr>
        <xdr:cNvSpPr/>
      </xdr:nvSpPr>
      <xdr:spPr bwMode="auto">
        <a:xfrm rot="10800000">
          <a:off x="3690937" y="14801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36</xdr:row>
      <xdr:rowOff>57150</xdr:rowOff>
    </xdr:from>
    <xdr:ext cx="3550553" cy="942975"/>
    <xdr:pic>
      <xdr:nvPicPr>
        <xdr:cNvPr id="29" name="Imagem 28">
          <a:extLst>
            <a:ext uri="{FF2B5EF4-FFF2-40B4-BE49-F238E27FC236}">
              <a16:creationId xmlns:a16="http://schemas.microsoft.com/office/drawing/2014/main" id="{74C72EE7-79D6-4D34-988D-F49C6D70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69151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694</xdr:row>
      <xdr:rowOff>85725</xdr:rowOff>
    </xdr:from>
    <xdr:ext cx="3550553" cy="942975"/>
    <xdr:pic>
      <xdr:nvPicPr>
        <xdr:cNvPr id="30" name="Imagem 29">
          <a:extLst>
            <a:ext uri="{FF2B5EF4-FFF2-40B4-BE49-F238E27FC236}">
              <a16:creationId xmlns:a16="http://schemas.microsoft.com/office/drawing/2014/main" id="{436AABDB-2531-46C9-A376-E973A0567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32292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691</xdr:row>
      <xdr:rowOff>133350</xdr:rowOff>
    </xdr:from>
    <xdr:to>
      <xdr:col>1</xdr:col>
      <xdr:colOff>66674</xdr:colOff>
      <xdr:row>693</xdr:row>
      <xdr:rowOff>57150</xdr:rowOff>
    </xdr:to>
    <xdr:sp macro="" textlink="">
      <xdr:nvSpPr>
        <xdr:cNvPr id="31" name="Seta: para a Direita 30">
          <a:extLst>
            <a:ext uri="{FF2B5EF4-FFF2-40B4-BE49-F238E27FC236}">
              <a16:creationId xmlns:a16="http://schemas.microsoft.com/office/drawing/2014/main" id="{4DE09DEE-82BD-497A-9BD6-974C11907C66}"/>
            </a:ext>
          </a:extLst>
        </xdr:cNvPr>
        <xdr:cNvSpPr/>
      </xdr:nvSpPr>
      <xdr:spPr bwMode="auto">
        <a:xfrm>
          <a:off x="76199" y="131768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691</xdr:row>
      <xdr:rowOff>133350</xdr:rowOff>
    </xdr:from>
    <xdr:to>
      <xdr:col>6</xdr:col>
      <xdr:colOff>600074</xdr:colOff>
      <xdr:row>693</xdr:row>
      <xdr:rowOff>57150</xdr:rowOff>
    </xdr:to>
    <xdr:sp macro="" textlink="">
      <xdr:nvSpPr>
        <xdr:cNvPr id="32" name="Seta: para a Direita 31">
          <a:extLst>
            <a:ext uri="{FF2B5EF4-FFF2-40B4-BE49-F238E27FC236}">
              <a16:creationId xmlns:a16="http://schemas.microsoft.com/office/drawing/2014/main" id="{0527486C-4F64-441D-9054-6566627A3E01}"/>
            </a:ext>
          </a:extLst>
        </xdr:cNvPr>
        <xdr:cNvSpPr/>
      </xdr:nvSpPr>
      <xdr:spPr bwMode="auto">
        <a:xfrm rot="10800000">
          <a:off x="3690937" y="131768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650</xdr:row>
      <xdr:rowOff>57150</xdr:rowOff>
    </xdr:from>
    <xdr:ext cx="3550553" cy="942975"/>
    <xdr:pic>
      <xdr:nvPicPr>
        <xdr:cNvPr id="33" name="Imagem 32">
          <a:extLst>
            <a:ext uri="{FF2B5EF4-FFF2-40B4-BE49-F238E27FC236}">
              <a16:creationId xmlns:a16="http://schemas.microsoft.com/office/drawing/2014/main" id="{7D7A5F7A-5D64-493D-9163-5F20551A6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238821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781</xdr:row>
      <xdr:rowOff>85725</xdr:rowOff>
    </xdr:from>
    <xdr:ext cx="3550553" cy="942975"/>
    <xdr:pic>
      <xdr:nvPicPr>
        <xdr:cNvPr id="34" name="Imagem 33">
          <a:extLst>
            <a:ext uri="{FF2B5EF4-FFF2-40B4-BE49-F238E27FC236}">
              <a16:creationId xmlns:a16="http://schemas.microsoft.com/office/drawing/2014/main" id="{14AF2984-0D31-4825-9424-7E89A5201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48866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778</xdr:row>
      <xdr:rowOff>133350</xdr:rowOff>
    </xdr:from>
    <xdr:to>
      <xdr:col>1</xdr:col>
      <xdr:colOff>66674</xdr:colOff>
      <xdr:row>780</xdr:row>
      <xdr:rowOff>57150</xdr:rowOff>
    </xdr:to>
    <xdr:sp macro="" textlink="">
      <xdr:nvSpPr>
        <xdr:cNvPr id="35" name="Seta: para a Direita 34">
          <a:extLst>
            <a:ext uri="{FF2B5EF4-FFF2-40B4-BE49-F238E27FC236}">
              <a16:creationId xmlns:a16="http://schemas.microsoft.com/office/drawing/2014/main" id="{01A0FE23-FF68-4401-A860-5DA4A52790D8}"/>
            </a:ext>
          </a:extLst>
        </xdr:cNvPr>
        <xdr:cNvSpPr/>
      </xdr:nvSpPr>
      <xdr:spPr bwMode="auto">
        <a:xfrm>
          <a:off x="76199" y="148342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778</xdr:row>
      <xdr:rowOff>133350</xdr:rowOff>
    </xdr:from>
    <xdr:to>
      <xdr:col>6</xdr:col>
      <xdr:colOff>600074</xdr:colOff>
      <xdr:row>780</xdr:row>
      <xdr:rowOff>57150</xdr:rowOff>
    </xdr:to>
    <xdr:sp macro="" textlink="">
      <xdr:nvSpPr>
        <xdr:cNvPr id="36" name="Seta: para a Direita 35">
          <a:extLst>
            <a:ext uri="{FF2B5EF4-FFF2-40B4-BE49-F238E27FC236}">
              <a16:creationId xmlns:a16="http://schemas.microsoft.com/office/drawing/2014/main" id="{2DC28268-29B9-4ADA-B035-95D3E7C08B99}"/>
            </a:ext>
          </a:extLst>
        </xdr:cNvPr>
        <xdr:cNvSpPr/>
      </xdr:nvSpPr>
      <xdr:spPr bwMode="auto">
        <a:xfrm rot="10800000">
          <a:off x="3690937" y="148342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736</xdr:row>
      <xdr:rowOff>57150</xdr:rowOff>
    </xdr:from>
    <xdr:ext cx="3550553" cy="942975"/>
    <xdr:pic>
      <xdr:nvPicPr>
        <xdr:cNvPr id="37" name="Imagem 36">
          <a:extLst>
            <a:ext uri="{FF2B5EF4-FFF2-40B4-BE49-F238E27FC236}">
              <a16:creationId xmlns:a16="http://schemas.microsoft.com/office/drawing/2014/main" id="{25D7A9A6-092A-4774-BFCA-97D68A0B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402651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869</xdr:row>
      <xdr:rowOff>85725</xdr:rowOff>
    </xdr:from>
    <xdr:ext cx="3550553" cy="942975"/>
    <xdr:pic>
      <xdr:nvPicPr>
        <xdr:cNvPr id="38" name="Imagem 37">
          <a:extLst>
            <a:ext uri="{FF2B5EF4-FFF2-40B4-BE49-F238E27FC236}">
              <a16:creationId xmlns:a16="http://schemas.microsoft.com/office/drawing/2014/main" id="{036DF5E0-16EA-46F1-BD9B-390E0732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65630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866</xdr:row>
      <xdr:rowOff>133350</xdr:rowOff>
    </xdr:from>
    <xdr:to>
      <xdr:col>1</xdr:col>
      <xdr:colOff>66674</xdr:colOff>
      <xdr:row>868</xdr:row>
      <xdr:rowOff>57150</xdr:rowOff>
    </xdr:to>
    <xdr:sp macro="" textlink="">
      <xdr:nvSpPr>
        <xdr:cNvPr id="39" name="Seta: para a Direita 38">
          <a:extLst>
            <a:ext uri="{FF2B5EF4-FFF2-40B4-BE49-F238E27FC236}">
              <a16:creationId xmlns:a16="http://schemas.microsoft.com/office/drawing/2014/main" id="{D8A0957A-343D-419F-AB1D-F301D654E5CD}"/>
            </a:ext>
          </a:extLst>
        </xdr:cNvPr>
        <xdr:cNvSpPr/>
      </xdr:nvSpPr>
      <xdr:spPr bwMode="auto">
        <a:xfrm>
          <a:off x="76199" y="165106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866</xdr:row>
      <xdr:rowOff>133350</xdr:rowOff>
    </xdr:from>
    <xdr:to>
      <xdr:col>6</xdr:col>
      <xdr:colOff>600074</xdr:colOff>
      <xdr:row>868</xdr:row>
      <xdr:rowOff>57150</xdr:rowOff>
    </xdr:to>
    <xdr:sp macro="" textlink="">
      <xdr:nvSpPr>
        <xdr:cNvPr id="40" name="Seta: para a Direita 39">
          <a:extLst>
            <a:ext uri="{FF2B5EF4-FFF2-40B4-BE49-F238E27FC236}">
              <a16:creationId xmlns:a16="http://schemas.microsoft.com/office/drawing/2014/main" id="{5C28E0BE-20B0-4CFE-99D0-23E44FD7D95D}"/>
            </a:ext>
          </a:extLst>
        </xdr:cNvPr>
        <xdr:cNvSpPr/>
      </xdr:nvSpPr>
      <xdr:spPr bwMode="auto">
        <a:xfrm rot="10800000">
          <a:off x="3690937" y="165106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824</xdr:row>
      <xdr:rowOff>57150</xdr:rowOff>
    </xdr:from>
    <xdr:ext cx="3550553" cy="942975"/>
    <xdr:pic>
      <xdr:nvPicPr>
        <xdr:cNvPr id="41" name="Imagem 40">
          <a:extLst>
            <a:ext uri="{FF2B5EF4-FFF2-40B4-BE49-F238E27FC236}">
              <a16:creationId xmlns:a16="http://schemas.microsoft.com/office/drawing/2014/main" id="{FFEF785F-7424-4F69-9CD8-109877E3F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570291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956</xdr:row>
      <xdr:rowOff>85725</xdr:rowOff>
    </xdr:from>
    <xdr:ext cx="3550553" cy="942975"/>
    <xdr:pic>
      <xdr:nvPicPr>
        <xdr:cNvPr id="42" name="Imagem 41">
          <a:extLst>
            <a:ext uri="{FF2B5EF4-FFF2-40B4-BE49-F238E27FC236}">
              <a16:creationId xmlns:a16="http://schemas.microsoft.com/office/drawing/2014/main" id="{0F01E18D-AC0A-4FFB-9DB2-D1D3C89A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82203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953</xdr:row>
      <xdr:rowOff>133350</xdr:rowOff>
    </xdr:from>
    <xdr:to>
      <xdr:col>1</xdr:col>
      <xdr:colOff>66674</xdr:colOff>
      <xdr:row>955</xdr:row>
      <xdr:rowOff>57150</xdr:rowOff>
    </xdr:to>
    <xdr:sp macro="" textlink="">
      <xdr:nvSpPr>
        <xdr:cNvPr id="43" name="Seta: para a Direita 42">
          <a:extLst>
            <a:ext uri="{FF2B5EF4-FFF2-40B4-BE49-F238E27FC236}">
              <a16:creationId xmlns:a16="http://schemas.microsoft.com/office/drawing/2014/main" id="{77177AEE-FD45-40A2-8073-24A9341467CB}"/>
            </a:ext>
          </a:extLst>
        </xdr:cNvPr>
        <xdr:cNvSpPr/>
      </xdr:nvSpPr>
      <xdr:spPr bwMode="auto">
        <a:xfrm>
          <a:off x="76199" y="181679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953</xdr:row>
      <xdr:rowOff>133350</xdr:rowOff>
    </xdr:from>
    <xdr:to>
      <xdr:col>6</xdr:col>
      <xdr:colOff>600074</xdr:colOff>
      <xdr:row>955</xdr:row>
      <xdr:rowOff>57150</xdr:rowOff>
    </xdr:to>
    <xdr:sp macro="" textlink="">
      <xdr:nvSpPr>
        <xdr:cNvPr id="44" name="Seta: para a Direita 43">
          <a:extLst>
            <a:ext uri="{FF2B5EF4-FFF2-40B4-BE49-F238E27FC236}">
              <a16:creationId xmlns:a16="http://schemas.microsoft.com/office/drawing/2014/main" id="{74A02BB1-C8D6-4A11-AA0E-6F814F61C7AF}"/>
            </a:ext>
          </a:extLst>
        </xdr:cNvPr>
        <xdr:cNvSpPr/>
      </xdr:nvSpPr>
      <xdr:spPr bwMode="auto">
        <a:xfrm rot="10800000">
          <a:off x="3690937" y="181679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911</xdr:row>
      <xdr:rowOff>57150</xdr:rowOff>
    </xdr:from>
    <xdr:ext cx="3550553" cy="942975"/>
    <xdr:pic>
      <xdr:nvPicPr>
        <xdr:cNvPr id="45" name="Imagem 44">
          <a:extLst>
            <a:ext uri="{FF2B5EF4-FFF2-40B4-BE49-F238E27FC236}">
              <a16:creationId xmlns:a16="http://schemas.microsoft.com/office/drawing/2014/main" id="{FB1ABC38-00EF-441E-BBAD-AB587B937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736026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1044</xdr:row>
      <xdr:rowOff>85725</xdr:rowOff>
    </xdr:from>
    <xdr:ext cx="3550553" cy="942975"/>
    <xdr:pic>
      <xdr:nvPicPr>
        <xdr:cNvPr id="46" name="Imagem 45">
          <a:extLst>
            <a:ext uri="{FF2B5EF4-FFF2-40B4-BE49-F238E27FC236}">
              <a16:creationId xmlns:a16="http://schemas.microsoft.com/office/drawing/2014/main" id="{D6A9DACD-7338-4787-8B2D-151EC0BC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98967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1041</xdr:row>
      <xdr:rowOff>133350</xdr:rowOff>
    </xdr:from>
    <xdr:to>
      <xdr:col>1</xdr:col>
      <xdr:colOff>66674</xdr:colOff>
      <xdr:row>1043</xdr:row>
      <xdr:rowOff>57150</xdr:rowOff>
    </xdr:to>
    <xdr:sp macro="" textlink="">
      <xdr:nvSpPr>
        <xdr:cNvPr id="47" name="Seta: para a Direita 46">
          <a:extLst>
            <a:ext uri="{FF2B5EF4-FFF2-40B4-BE49-F238E27FC236}">
              <a16:creationId xmlns:a16="http://schemas.microsoft.com/office/drawing/2014/main" id="{A506C6E8-E9F2-4E15-B9FD-EDBA53D0036F}"/>
            </a:ext>
          </a:extLst>
        </xdr:cNvPr>
        <xdr:cNvSpPr/>
      </xdr:nvSpPr>
      <xdr:spPr bwMode="auto">
        <a:xfrm>
          <a:off x="76199" y="198443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1041</xdr:row>
      <xdr:rowOff>133350</xdr:rowOff>
    </xdr:from>
    <xdr:to>
      <xdr:col>6</xdr:col>
      <xdr:colOff>600074</xdr:colOff>
      <xdr:row>1043</xdr:row>
      <xdr:rowOff>57150</xdr:rowOff>
    </xdr:to>
    <xdr:sp macro="" textlink="">
      <xdr:nvSpPr>
        <xdr:cNvPr id="48" name="Seta: para a Direita 47">
          <a:extLst>
            <a:ext uri="{FF2B5EF4-FFF2-40B4-BE49-F238E27FC236}">
              <a16:creationId xmlns:a16="http://schemas.microsoft.com/office/drawing/2014/main" id="{47CE0B31-E3F9-46F9-8C69-6FE794686BF8}"/>
            </a:ext>
          </a:extLst>
        </xdr:cNvPr>
        <xdr:cNvSpPr/>
      </xdr:nvSpPr>
      <xdr:spPr bwMode="auto">
        <a:xfrm rot="10800000">
          <a:off x="3690937" y="198443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314325</xdr:colOff>
      <xdr:row>999</xdr:row>
      <xdr:rowOff>57150</xdr:rowOff>
    </xdr:from>
    <xdr:ext cx="3550553" cy="942975"/>
    <xdr:pic>
      <xdr:nvPicPr>
        <xdr:cNvPr id="49" name="Imagem 48">
          <a:extLst>
            <a:ext uri="{FF2B5EF4-FFF2-40B4-BE49-F238E27FC236}">
              <a16:creationId xmlns:a16="http://schemas.microsoft.com/office/drawing/2014/main" id="{F29D9AEE-2D1D-4D74-A04E-E5548CDB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1903666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1131</xdr:row>
      <xdr:rowOff>85725</xdr:rowOff>
    </xdr:from>
    <xdr:ext cx="3550553" cy="942975"/>
    <xdr:pic>
      <xdr:nvPicPr>
        <xdr:cNvPr id="50" name="Imagem 49">
          <a:extLst>
            <a:ext uri="{FF2B5EF4-FFF2-40B4-BE49-F238E27FC236}">
              <a16:creationId xmlns:a16="http://schemas.microsoft.com/office/drawing/2014/main" id="{70144113-E8B2-4D45-9BCC-1846582C8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15541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1128</xdr:row>
      <xdr:rowOff>133350</xdr:rowOff>
    </xdr:from>
    <xdr:to>
      <xdr:col>1</xdr:col>
      <xdr:colOff>66674</xdr:colOff>
      <xdr:row>1130</xdr:row>
      <xdr:rowOff>57150</xdr:rowOff>
    </xdr:to>
    <xdr:sp macro="" textlink="">
      <xdr:nvSpPr>
        <xdr:cNvPr id="51" name="Seta: para a Direita 50">
          <a:extLst>
            <a:ext uri="{FF2B5EF4-FFF2-40B4-BE49-F238E27FC236}">
              <a16:creationId xmlns:a16="http://schemas.microsoft.com/office/drawing/2014/main" id="{92B0D453-12FE-4039-859C-8A44E0E5A4E0}"/>
            </a:ext>
          </a:extLst>
        </xdr:cNvPr>
        <xdr:cNvSpPr/>
      </xdr:nvSpPr>
      <xdr:spPr bwMode="auto">
        <a:xfrm>
          <a:off x="76199" y="215017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1128</xdr:row>
      <xdr:rowOff>133350</xdr:rowOff>
    </xdr:from>
    <xdr:to>
      <xdr:col>6</xdr:col>
      <xdr:colOff>600074</xdr:colOff>
      <xdr:row>1130</xdr:row>
      <xdr:rowOff>57150</xdr:rowOff>
    </xdr:to>
    <xdr:sp macro="" textlink="">
      <xdr:nvSpPr>
        <xdr:cNvPr id="52" name="Seta: para a Direita 51">
          <a:extLst>
            <a:ext uri="{FF2B5EF4-FFF2-40B4-BE49-F238E27FC236}">
              <a16:creationId xmlns:a16="http://schemas.microsoft.com/office/drawing/2014/main" id="{88E1E9E4-8F43-4A3C-A94D-6AD8F2D779FC}"/>
            </a:ext>
          </a:extLst>
        </xdr:cNvPr>
        <xdr:cNvSpPr/>
      </xdr:nvSpPr>
      <xdr:spPr bwMode="auto">
        <a:xfrm rot="10800000">
          <a:off x="3690937" y="215017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342900</xdr:colOff>
      <xdr:row>1087</xdr:row>
      <xdr:rowOff>219075</xdr:rowOff>
    </xdr:from>
    <xdr:ext cx="3550553" cy="942975"/>
    <xdr:pic>
      <xdr:nvPicPr>
        <xdr:cNvPr id="53" name="Imagem 52">
          <a:extLst>
            <a:ext uri="{FF2B5EF4-FFF2-40B4-BE49-F238E27FC236}">
              <a16:creationId xmlns:a16="http://schemas.microsoft.com/office/drawing/2014/main" id="{E040AF6C-6D78-49E0-B6E5-70F254BBE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2072640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1215</xdr:row>
      <xdr:rowOff>85725</xdr:rowOff>
    </xdr:from>
    <xdr:ext cx="3550553" cy="942975"/>
    <xdr:pic>
      <xdr:nvPicPr>
        <xdr:cNvPr id="54" name="Imagem 53">
          <a:extLst>
            <a:ext uri="{FF2B5EF4-FFF2-40B4-BE49-F238E27FC236}">
              <a16:creationId xmlns:a16="http://schemas.microsoft.com/office/drawing/2014/main" id="{946F26B9-FA07-4771-B953-354D63F1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31543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1212</xdr:row>
      <xdr:rowOff>133350</xdr:rowOff>
    </xdr:from>
    <xdr:to>
      <xdr:col>1</xdr:col>
      <xdr:colOff>66674</xdr:colOff>
      <xdr:row>1214</xdr:row>
      <xdr:rowOff>57150</xdr:rowOff>
    </xdr:to>
    <xdr:sp macro="" textlink="">
      <xdr:nvSpPr>
        <xdr:cNvPr id="55" name="Seta: para a Direita 54">
          <a:extLst>
            <a:ext uri="{FF2B5EF4-FFF2-40B4-BE49-F238E27FC236}">
              <a16:creationId xmlns:a16="http://schemas.microsoft.com/office/drawing/2014/main" id="{5F6BE5CB-06E6-47CF-A638-8906A77C5E30}"/>
            </a:ext>
          </a:extLst>
        </xdr:cNvPr>
        <xdr:cNvSpPr/>
      </xdr:nvSpPr>
      <xdr:spPr bwMode="auto">
        <a:xfrm>
          <a:off x="76199" y="231019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1212</xdr:row>
      <xdr:rowOff>133350</xdr:rowOff>
    </xdr:from>
    <xdr:to>
      <xdr:col>6</xdr:col>
      <xdr:colOff>600074</xdr:colOff>
      <xdr:row>1214</xdr:row>
      <xdr:rowOff>57150</xdr:rowOff>
    </xdr:to>
    <xdr:sp macro="" textlink="">
      <xdr:nvSpPr>
        <xdr:cNvPr id="56" name="Seta: para a Direita 55">
          <a:extLst>
            <a:ext uri="{FF2B5EF4-FFF2-40B4-BE49-F238E27FC236}">
              <a16:creationId xmlns:a16="http://schemas.microsoft.com/office/drawing/2014/main" id="{9C3E880F-8185-4F84-ADC8-E37E480746A6}"/>
            </a:ext>
          </a:extLst>
        </xdr:cNvPr>
        <xdr:cNvSpPr/>
      </xdr:nvSpPr>
      <xdr:spPr bwMode="auto">
        <a:xfrm rot="10800000">
          <a:off x="3690937" y="231019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342900</xdr:colOff>
      <xdr:row>1173</xdr:row>
      <xdr:rowOff>219075</xdr:rowOff>
    </xdr:from>
    <xdr:ext cx="3550553" cy="942975"/>
    <xdr:pic>
      <xdr:nvPicPr>
        <xdr:cNvPr id="57" name="Imagem 56">
          <a:extLst>
            <a:ext uri="{FF2B5EF4-FFF2-40B4-BE49-F238E27FC236}">
              <a16:creationId xmlns:a16="http://schemas.microsoft.com/office/drawing/2014/main" id="{D7D64172-EA63-4E1A-910E-C412E5496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2236470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1302</xdr:row>
      <xdr:rowOff>85725</xdr:rowOff>
    </xdr:from>
    <xdr:ext cx="3550553" cy="942975"/>
    <xdr:pic>
      <xdr:nvPicPr>
        <xdr:cNvPr id="58" name="Imagem 57">
          <a:extLst>
            <a:ext uri="{FF2B5EF4-FFF2-40B4-BE49-F238E27FC236}">
              <a16:creationId xmlns:a16="http://schemas.microsoft.com/office/drawing/2014/main" id="{02B4E19C-4747-43CB-B60B-04AFBF35A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48116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1299</xdr:row>
      <xdr:rowOff>133350</xdr:rowOff>
    </xdr:from>
    <xdr:to>
      <xdr:col>1</xdr:col>
      <xdr:colOff>66674</xdr:colOff>
      <xdr:row>1301</xdr:row>
      <xdr:rowOff>57150</xdr:rowOff>
    </xdr:to>
    <xdr:sp macro="" textlink="">
      <xdr:nvSpPr>
        <xdr:cNvPr id="59" name="Seta: para a Direita 58">
          <a:extLst>
            <a:ext uri="{FF2B5EF4-FFF2-40B4-BE49-F238E27FC236}">
              <a16:creationId xmlns:a16="http://schemas.microsoft.com/office/drawing/2014/main" id="{4F37FBA3-F755-4F67-BD80-1C8CA2C9983C}"/>
            </a:ext>
          </a:extLst>
        </xdr:cNvPr>
        <xdr:cNvSpPr/>
      </xdr:nvSpPr>
      <xdr:spPr bwMode="auto">
        <a:xfrm>
          <a:off x="76199" y="247592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1299</xdr:row>
      <xdr:rowOff>133350</xdr:rowOff>
    </xdr:from>
    <xdr:to>
      <xdr:col>6</xdr:col>
      <xdr:colOff>600074</xdr:colOff>
      <xdr:row>1301</xdr:row>
      <xdr:rowOff>57150</xdr:rowOff>
    </xdr:to>
    <xdr:sp macro="" textlink="">
      <xdr:nvSpPr>
        <xdr:cNvPr id="60" name="Seta: para a Direita 59">
          <a:extLst>
            <a:ext uri="{FF2B5EF4-FFF2-40B4-BE49-F238E27FC236}">
              <a16:creationId xmlns:a16="http://schemas.microsoft.com/office/drawing/2014/main" id="{FFD93200-F856-4665-A80E-CB66D1ED9FC4}"/>
            </a:ext>
          </a:extLst>
        </xdr:cNvPr>
        <xdr:cNvSpPr/>
      </xdr:nvSpPr>
      <xdr:spPr bwMode="auto">
        <a:xfrm rot="10800000">
          <a:off x="3690937" y="2475928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342900</xdr:colOff>
      <xdr:row>1255</xdr:row>
      <xdr:rowOff>219075</xdr:rowOff>
    </xdr:from>
    <xdr:ext cx="3550553" cy="942975"/>
    <xdr:pic>
      <xdr:nvPicPr>
        <xdr:cNvPr id="61" name="Imagem 60">
          <a:extLst>
            <a:ext uri="{FF2B5EF4-FFF2-40B4-BE49-F238E27FC236}">
              <a16:creationId xmlns:a16="http://schemas.microsoft.com/office/drawing/2014/main" id="{AD0EAAB0-4120-4CA0-A3F3-F000D6DB2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2392680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1389</xdr:row>
      <xdr:rowOff>85725</xdr:rowOff>
    </xdr:from>
    <xdr:ext cx="3550553" cy="942975"/>
    <xdr:pic>
      <xdr:nvPicPr>
        <xdr:cNvPr id="62" name="Imagem 61">
          <a:extLst>
            <a:ext uri="{FF2B5EF4-FFF2-40B4-BE49-F238E27FC236}">
              <a16:creationId xmlns:a16="http://schemas.microsoft.com/office/drawing/2014/main" id="{9702931A-5769-420C-979A-0CC0CD10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64690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1386</xdr:row>
      <xdr:rowOff>133350</xdr:rowOff>
    </xdr:from>
    <xdr:to>
      <xdr:col>1</xdr:col>
      <xdr:colOff>66674</xdr:colOff>
      <xdr:row>1388</xdr:row>
      <xdr:rowOff>57150</xdr:rowOff>
    </xdr:to>
    <xdr:sp macro="" textlink="">
      <xdr:nvSpPr>
        <xdr:cNvPr id="63" name="Seta: para a Direita 62">
          <a:extLst>
            <a:ext uri="{FF2B5EF4-FFF2-40B4-BE49-F238E27FC236}">
              <a16:creationId xmlns:a16="http://schemas.microsoft.com/office/drawing/2014/main" id="{AAB4FC9F-5DA9-42EF-87CA-6BF1F8FBE5A3}"/>
            </a:ext>
          </a:extLst>
        </xdr:cNvPr>
        <xdr:cNvSpPr/>
      </xdr:nvSpPr>
      <xdr:spPr bwMode="auto">
        <a:xfrm>
          <a:off x="76199" y="264166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33337</xdr:colOff>
      <xdr:row>1386</xdr:row>
      <xdr:rowOff>133350</xdr:rowOff>
    </xdr:from>
    <xdr:to>
      <xdr:col>6</xdr:col>
      <xdr:colOff>600074</xdr:colOff>
      <xdr:row>1388</xdr:row>
      <xdr:rowOff>57150</xdr:rowOff>
    </xdr:to>
    <xdr:sp macro="" textlink="">
      <xdr:nvSpPr>
        <xdr:cNvPr id="64" name="Seta: para a Direita 63">
          <a:extLst>
            <a:ext uri="{FF2B5EF4-FFF2-40B4-BE49-F238E27FC236}">
              <a16:creationId xmlns:a16="http://schemas.microsoft.com/office/drawing/2014/main" id="{35EA6DB1-2EE5-4D34-A119-EA7F3A40452F}"/>
            </a:ext>
          </a:extLst>
        </xdr:cNvPr>
        <xdr:cNvSpPr/>
      </xdr:nvSpPr>
      <xdr:spPr bwMode="auto">
        <a:xfrm rot="10800000">
          <a:off x="3690937" y="264166350"/>
          <a:ext cx="5667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1347</xdr:row>
      <xdr:rowOff>95250</xdr:rowOff>
    </xdr:from>
    <xdr:ext cx="3550553" cy="942975"/>
    <xdr:pic>
      <xdr:nvPicPr>
        <xdr:cNvPr id="65" name="Imagem 64">
          <a:extLst>
            <a:ext uri="{FF2B5EF4-FFF2-40B4-BE49-F238E27FC236}">
              <a16:creationId xmlns:a16="http://schemas.microsoft.com/office/drawing/2014/main" id="{3AEAFF37-0CE1-44D5-81D3-8BF4B42F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56698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1477</xdr:row>
      <xdr:rowOff>85725</xdr:rowOff>
    </xdr:from>
    <xdr:ext cx="3550553" cy="942975"/>
    <xdr:pic>
      <xdr:nvPicPr>
        <xdr:cNvPr id="66" name="Imagem 65">
          <a:extLst>
            <a:ext uri="{FF2B5EF4-FFF2-40B4-BE49-F238E27FC236}">
              <a16:creationId xmlns:a16="http://schemas.microsoft.com/office/drawing/2014/main" id="{ED452DD7-CCBA-40C0-8A26-00BB532D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81454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1474</xdr:row>
      <xdr:rowOff>133350</xdr:rowOff>
    </xdr:from>
    <xdr:to>
      <xdr:col>1</xdr:col>
      <xdr:colOff>66674</xdr:colOff>
      <xdr:row>1476</xdr:row>
      <xdr:rowOff>57150</xdr:rowOff>
    </xdr:to>
    <xdr:sp macro="" textlink="">
      <xdr:nvSpPr>
        <xdr:cNvPr id="67" name="Seta: para a Direita 66">
          <a:extLst>
            <a:ext uri="{FF2B5EF4-FFF2-40B4-BE49-F238E27FC236}">
              <a16:creationId xmlns:a16="http://schemas.microsoft.com/office/drawing/2014/main" id="{D3653B3F-AD39-4781-89B4-96CA4C15D672}"/>
            </a:ext>
          </a:extLst>
        </xdr:cNvPr>
        <xdr:cNvSpPr/>
      </xdr:nvSpPr>
      <xdr:spPr bwMode="auto">
        <a:xfrm>
          <a:off x="76199" y="280930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128587</xdr:colOff>
      <xdr:row>1474</xdr:row>
      <xdr:rowOff>133350</xdr:rowOff>
    </xdr:from>
    <xdr:to>
      <xdr:col>6</xdr:col>
      <xdr:colOff>695324</xdr:colOff>
      <xdr:row>1476</xdr:row>
      <xdr:rowOff>57150</xdr:rowOff>
    </xdr:to>
    <xdr:sp macro="" textlink="">
      <xdr:nvSpPr>
        <xdr:cNvPr id="68" name="Seta: para a Direita 67">
          <a:extLst>
            <a:ext uri="{FF2B5EF4-FFF2-40B4-BE49-F238E27FC236}">
              <a16:creationId xmlns:a16="http://schemas.microsoft.com/office/drawing/2014/main" id="{93D0BD05-BA6D-405E-8E04-C36A2BF2A4C5}"/>
            </a:ext>
          </a:extLst>
        </xdr:cNvPr>
        <xdr:cNvSpPr/>
      </xdr:nvSpPr>
      <xdr:spPr bwMode="auto">
        <a:xfrm rot="10800000">
          <a:off x="3786187" y="280930350"/>
          <a:ext cx="481012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1431</xdr:row>
      <xdr:rowOff>95250</xdr:rowOff>
    </xdr:from>
    <xdr:ext cx="3550553" cy="942975"/>
    <xdr:pic>
      <xdr:nvPicPr>
        <xdr:cNvPr id="69" name="Imagem 68">
          <a:extLst>
            <a:ext uri="{FF2B5EF4-FFF2-40B4-BE49-F238E27FC236}">
              <a16:creationId xmlns:a16="http://schemas.microsoft.com/office/drawing/2014/main" id="{66944C14-6918-4625-BC39-CAA1B402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72700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1564</xdr:row>
      <xdr:rowOff>85725</xdr:rowOff>
    </xdr:from>
    <xdr:ext cx="3550553" cy="942975"/>
    <xdr:pic>
      <xdr:nvPicPr>
        <xdr:cNvPr id="70" name="Imagem 69">
          <a:extLst>
            <a:ext uri="{FF2B5EF4-FFF2-40B4-BE49-F238E27FC236}">
              <a16:creationId xmlns:a16="http://schemas.microsoft.com/office/drawing/2014/main" id="{6566AFA1-950A-41EA-BC74-F0E187FB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298027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1561</xdr:row>
      <xdr:rowOff>133350</xdr:rowOff>
    </xdr:from>
    <xdr:to>
      <xdr:col>1</xdr:col>
      <xdr:colOff>66674</xdr:colOff>
      <xdr:row>1563</xdr:row>
      <xdr:rowOff>57150</xdr:rowOff>
    </xdr:to>
    <xdr:sp macro="" textlink="">
      <xdr:nvSpPr>
        <xdr:cNvPr id="71" name="Seta: para a Direita 70">
          <a:extLst>
            <a:ext uri="{FF2B5EF4-FFF2-40B4-BE49-F238E27FC236}">
              <a16:creationId xmlns:a16="http://schemas.microsoft.com/office/drawing/2014/main" id="{431CF972-936F-48A5-A381-AD466CCDE8F9}"/>
            </a:ext>
          </a:extLst>
        </xdr:cNvPr>
        <xdr:cNvSpPr/>
      </xdr:nvSpPr>
      <xdr:spPr bwMode="auto">
        <a:xfrm>
          <a:off x="76199" y="297503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1561</xdr:row>
      <xdr:rowOff>133350</xdr:rowOff>
    </xdr:from>
    <xdr:to>
      <xdr:col>6</xdr:col>
      <xdr:colOff>723899</xdr:colOff>
      <xdr:row>1563</xdr:row>
      <xdr:rowOff>57150</xdr:rowOff>
    </xdr:to>
    <xdr:sp macro="" textlink="">
      <xdr:nvSpPr>
        <xdr:cNvPr id="72" name="Seta: para a Direita 71">
          <a:extLst>
            <a:ext uri="{FF2B5EF4-FFF2-40B4-BE49-F238E27FC236}">
              <a16:creationId xmlns:a16="http://schemas.microsoft.com/office/drawing/2014/main" id="{DF9A5D12-EEF9-4022-8605-15EEA666054E}"/>
            </a:ext>
          </a:extLst>
        </xdr:cNvPr>
        <xdr:cNvSpPr/>
      </xdr:nvSpPr>
      <xdr:spPr bwMode="auto">
        <a:xfrm rot="10800000">
          <a:off x="3814762" y="297503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1520</xdr:row>
      <xdr:rowOff>95250</xdr:rowOff>
    </xdr:from>
    <xdr:ext cx="3550553" cy="942975"/>
    <xdr:pic>
      <xdr:nvPicPr>
        <xdr:cNvPr id="73" name="Imagem 72">
          <a:extLst>
            <a:ext uri="{FF2B5EF4-FFF2-40B4-BE49-F238E27FC236}">
              <a16:creationId xmlns:a16="http://schemas.microsoft.com/office/drawing/2014/main" id="{7410AA18-0B9F-4F2A-9CAE-C18A5A015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289655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1651</xdr:row>
      <xdr:rowOff>85725</xdr:rowOff>
    </xdr:from>
    <xdr:ext cx="3550553" cy="942975"/>
    <xdr:pic>
      <xdr:nvPicPr>
        <xdr:cNvPr id="74" name="Imagem 73">
          <a:extLst>
            <a:ext uri="{FF2B5EF4-FFF2-40B4-BE49-F238E27FC236}">
              <a16:creationId xmlns:a16="http://schemas.microsoft.com/office/drawing/2014/main" id="{DBEB1D9B-6764-4D28-9A71-FF8B7E839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14601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1648</xdr:row>
      <xdr:rowOff>133350</xdr:rowOff>
    </xdr:from>
    <xdr:to>
      <xdr:col>1</xdr:col>
      <xdr:colOff>66674</xdr:colOff>
      <xdr:row>1650</xdr:row>
      <xdr:rowOff>57150</xdr:rowOff>
    </xdr:to>
    <xdr:sp macro="" textlink="">
      <xdr:nvSpPr>
        <xdr:cNvPr id="75" name="Seta: para a Direita 74">
          <a:extLst>
            <a:ext uri="{FF2B5EF4-FFF2-40B4-BE49-F238E27FC236}">
              <a16:creationId xmlns:a16="http://schemas.microsoft.com/office/drawing/2014/main" id="{05147761-3EDE-4450-8D87-3B2487AF145E}"/>
            </a:ext>
          </a:extLst>
        </xdr:cNvPr>
        <xdr:cNvSpPr/>
      </xdr:nvSpPr>
      <xdr:spPr bwMode="auto">
        <a:xfrm>
          <a:off x="76199" y="314077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1648</xdr:row>
      <xdr:rowOff>133350</xdr:rowOff>
    </xdr:from>
    <xdr:to>
      <xdr:col>6</xdr:col>
      <xdr:colOff>723899</xdr:colOff>
      <xdr:row>1650</xdr:row>
      <xdr:rowOff>57150</xdr:rowOff>
    </xdr:to>
    <xdr:sp macro="" textlink="">
      <xdr:nvSpPr>
        <xdr:cNvPr id="76" name="Seta: para a Direita 75">
          <a:extLst>
            <a:ext uri="{FF2B5EF4-FFF2-40B4-BE49-F238E27FC236}">
              <a16:creationId xmlns:a16="http://schemas.microsoft.com/office/drawing/2014/main" id="{0B8626B1-85EC-4E00-B06C-F6838EA73115}"/>
            </a:ext>
          </a:extLst>
        </xdr:cNvPr>
        <xdr:cNvSpPr/>
      </xdr:nvSpPr>
      <xdr:spPr bwMode="auto">
        <a:xfrm rot="10800000">
          <a:off x="3814762" y="314077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1606</xdr:row>
      <xdr:rowOff>95250</xdr:rowOff>
    </xdr:from>
    <xdr:ext cx="3550553" cy="942975"/>
    <xdr:pic>
      <xdr:nvPicPr>
        <xdr:cNvPr id="77" name="Imagem 76">
          <a:extLst>
            <a:ext uri="{FF2B5EF4-FFF2-40B4-BE49-F238E27FC236}">
              <a16:creationId xmlns:a16="http://schemas.microsoft.com/office/drawing/2014/main" id="{684C73E4-8A66-4E55-8D30-EA110FEF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06038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1738</xdr:row>
      <xdr:rowOff>85725</xdr:rowOff>
    </xdr:from>
    <xdr:ext cx="3550553" cy="942975"/>
    <xdr:pic>
      <xdr:nvPicPr>
        <xdr:cNvPr id="78" name="Imagem 77">
          <a:extLst>
            <a:ext uri="{FF2B5EF4-FFF2-40B4-BE49-F238E27FC236}">
              <a16:creationId xmlns:a16="http://schemas.microsoft.com/office/drawing/2014/main" id="{9729EEAF-A668-4439-817A-F002DFBCE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31174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1735</xdr:row>
      <xdr:rowOff>133350</xdr:rowOff>
    </xdr:from>
    <xdr:to>
      <xdr:col>1</xdr:col>
      <xdr:colOff>66674</xdr:colOff>
      <xdr:row>1737</xdr:row>
      <xdr:rowOff>57150</xdr:rowOff>
    </xdr:to>
    <xdr:sp macro="" textlink="">
      <xdr:nvSpPr>
        <xdr:cNvPr id="79" name="Seta: para a Direita 78">
          <a:extLst>
            <a:ext uri="{FF2B5EF4-FFF2-40B4-BE49-F238E27FC236}">
              <a16:creationId xmlns:a16="http://schemas.microsoft.com/office/drawing/2014/main" id="{CDCCC2AE-9CA3-4915-8FDB-1E5088C71205}"/>
            </a:ext>
          </a:extLst>
        </xdr:cNvPr>
        <xdr:cNvSpPr/>
      </xdr:nvSpPr>
      <xdr:spPr bwMode="auto">
        <a:xfrm>
          <a:off x="76199" y="330650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1735</xdr:row>
      <xdr:rowOff>133350</xdr:rowOff>
    </xdr:from>
    <xdr:to>
      <xdr:col>6</xdr:col>
      <xdr:colOff>723899</xdr:colOff>
      <xdr:row>1737</xdr:row>
      <xdr:rowOff>57150</xdr:rowOff>
    </xdr:to>
    <xdr:sp macro="" textlink="">
      <xdr:nvSpPr>
        <xdr:cNvPr id="80" name="Seta: para a Direita 79">
          <a:extLst>
            <a:ext uri="{FF2B5EF4-FFF2-40B4-BE49-F238E27FC236}">
              <a16:creationId xmlns:a16="http://schemas.microsoft.com/office/drawing/2014/main" id="{C3ED5F51-B7C0-4B10-B333-D20D09670B0A}"/>
            </a:ext>
          </a:extLst>
        </xdr:cNvPr>
        <xdr:cNvSpPr/>
      </xdr:nvSpPr>
      <xdr:spPr bwMode="auto">
        <a:xfrm rot="10800000">
          <a:off x="3814762" y="330650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1695</xdr:row>
      <xdr:rowOff>95250</xdr:rowOff>
    </xdr:from>
    <xdr:ext cx="3550553" cy="942975"/>
    <xdr:pic>
      <xdr:nvPicPr>
        <xdr:cNvPr id="81" name="Imagem 80">
          <a:extLst>
            <a:ext uri="{FF2B5EF4-FFF2-40B4-BE49-F238E27FC236}">
              <a16:creationId xmlns:a16="http://schemas.microsoft.com/office/drawing/2014/main" id="{FA01532A-325C-432F-9706-E1FDFCF1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22992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1825</xdr:row>
      <xdr:rowOff>85725</xdr:rowOff>
    </xdr:from>
    <xdr:ext cx="3550553" cy="942975"/>
    <xdr:pic>
      <xdr:nvPicPr>
        <xdr:cNvPr id="82" name="Imagem 81">
          <a:extLst>
            <a:ext uri="{FF2B5EF4-FFF2-40B4-BE49-F238E27FC236}">
              <a16:creationId xmlns:a16="http://schemas.microsoft.com/office/drawing/2014/main" id="{E4E2F56D-7D4C-4314-814E-877789F43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47748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1822</xdr:row>
      <xdr:rowOff>133350</xdr:rowOff>
    </xdr:from>
    <xdr:to>
      <xdr:col>1</xdr:col>
      <xdr:colOff>66674</xdr:colOff>
      <xdr:row>1824</xdr:row>
      <xdr:rowOff>57150</xdr:rowOff>
    </xdr:to>
    <xdr:sp macro="" textlink="">
      <xdr:nvSpPr>
        <xdr:cNvPr id="83" name="Seta: para a Direita 82">
          <a:extLst>
            <a:ext uri="{FF2B5EF4-FFF2-40B4-BE49-F238E27FC236}">
              <a16:creationId xmlns:a16="http://schemas.microsoft.com/office/drawing/2014/main" id="{678BFFFD-A37C-4748-9550-24861A66B4BB}"/>
            </a:ext>
          </a:extLst>
        </xdr:cNvPr>
        <xdr:cNvSpPr/>
      </xdr:nvSpPr>
      <xdr:spPr bwMode="auto">
        <a:xfrm>
          <a:off x="76199" y="347224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1822</xdr:row>
      <xdr:rowOff>133350</xdr:rowOff>
    </xdr:from>
    <xdr:to>
      <xdr:col>6</xdr:col>
      <xdr:colOff>723899</xdr:colOff>
      <xdr:row>1824</xdr:row>
      <xdr:rowOff>57150</xdr:rowOff>
    </xdr:to>
    <xdr:sp macro="" textlink="">
      <xdr:nvSpPr>
        <xdr:cNvPr id="84" name="Seta: para a Direita 83">
          <a:extLst>
            <a:ext uri="{FF2B5EF4-FFF2-40B4-BE49-F238E27FC236}">
              <a16:creationId xmlns:a16="http://schemas.microsoft.com/office/drawing/2014/main" id="{56D4B8A8-6133-4337-828E-A8EECFB88B0F}"/>
            </a:ext>
          </a:extLst>
        </xdr:cNvPr>
        <xdr:cNvSpPr/>
      </xdr:nvSpPr>
      <xdr:spPr bwMode="auto">
        <a:xfrm rot="10800000">
          <a:off x="3814762" y="347224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1779</xdr:row>
      <xdr:rowOff>95250</xdr:rowOff>
    </xdr:from>
    <xdr:ext cx="3550553" cy="942975"/>
    <xdr:pic>
      <xdr:nvPicPr>
        <xdr:cNvPr id="85" name="Imagem 84">
          <a:extLst>
            <a:ext uri="{FF2B5EF4-FFF2-40B4-BE49-F238E27FC236}">
              <a16:creationId xmlns:a16="http://schemas.microsoft.com/office/drawing/2014/main" id="{F5CC242B-A04A-4536-83BD-05C67B46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38994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1912</xdr:row>
      <xdr:rowOff>85725</xdr:rowOff>
    </xdr:from>
    <xdr:ext cx="3550553" cy="942975"/>
    <xdr:pic>
      <xdr:nvPicPr>
        <xdr:cNvPr id="86" name="Imagem 85">
          <a:extLst>
            <a:ext uri="{FF2B5EF4-FFF2-40B4-BE49-F238E27FC236}">
              <a16:creationId xmlns:a16="http://schemas.microsoft.com/office/drawing/2014/main" id="{4AB7EF1C-558E-454C-96E5-95D3899DF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64321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1909</xdr:row>
      <xdr:rowOff>133350</xdr:rowOff>
    </xdr:from>
    <xdr:to>
      <xdr:col>1</xdr:col>
      <xdr:colOff>66674</xdr:colOff>
      <xdr:row>1911</xdr:row>
      <xdr:rowOff>57150</xdr:rowOff>
    </xdr:to>
    <xdr:sp macro="" textlink="">
      <xdr:nvSpPr>
        <xdr:cNvPr id="87" name="Seta: para a Direita 86">
          <a:extLst>
            <a:ext uri="{FF2B5EF4-FFF2-40B4-BE49-F238E27FC236}">
              <a16:creationId xmlns:a16="http://schemas.microsoft.com/office/drawing/2014/main" id="{99930CD5-81D7-403C-8881-4B0D1EFBC264}"/>
            </a:ext>
          </a:extLst>
        </xdr:cNvPr>
        <xdr:cNvSpPr/>
      </xdr:nvSpPr>
      <xdr:spPr bwMode="auto">
        <a:xfrm>
          <a:off x="76199" y="363797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1909</xdr:row>
      <xdr:rowOff>133350</xdr:rowOff>
    </xdr:from>
    <xdr:to>
      <xdr:col>6</xdr:col>
      <xdr:colOff>723899</xdr:colOff>
      <xdr:row>1911</xdr:row>
      <xdr:rowOff>57150</xdr:rowOff>
    </xdr:to>
    <xdr:sp macro="" textlink="">
      <xdr:nvSpPr>
        <xdr:cNvPr id="88" name="Seta: para a Direita 87">
          <a:extLst>
            <a:ext uri="{FF2B5EF4-FFF2-40B4-BE49-F238E27FC236}">
              <a16:creationId xmlns:a16="http://schemas.microsoft.com/office/drawing/2014/main" id="{4AC21E2E-287C-4DA3-825F-02EFD1C0D662}"/>
            </a:ext>
          </a:extLst>
        </xdr:cNvPr>
        <xdr:cNvSpPr/>
      </xdr:nvSpPr>
      <xdr:spPr bwMode="auto">
        <a:xfrm rot="10800000">
          <a:off x="3814762" y="363797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1866</xdr:row>
      <xdr:rowOff>95250</xdr:rowOff>
    </xdr:from>
    <xdr:ext cx="3550553" cy="942975"/>
    <xdr:pic>
      <xdr:nvPicPr>
        <xdr:cNvPr id="89" name="Imagem 88">
          <a:extLst>
            <a:ext uri="{FF2B5EF4-FFF2-40B4-BE49-F238E27FC236}">
              <a16:creationId xmlns:a16="http://schemas.microsoft.com/office/drawing/2014/main" id="{8A87136E-66FC-414E-9662-6EEBF3B0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55568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1999</xdr:row>
      <xdr:rowOff>85725</xdr:rowOff>
    </xdr:from>
    <xdr:ext cx="3550553" cy="942975"/>
    <xdr:pic>
      <xdr:nvPicPr>
        <xdr:cNvPr id="90" name="Imagem 89">
          <a:extLst>
            <a:ext uri="{FF2B5EF4-FFF2-40B4-BE49-F238E27FC236}">
              <a16:creationId xmlns:a16="http://schemas.microsoft.com/office/drawing/2014/main" id="{6F5CD707-BB15-4C68-9F4B-19CB6DCA6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80895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1996</xdr:row>
      <xdr:rowOff>133350</xdr:rowOff>
    </xdr:from>
    <xdr:to>
      <xdr:col>1</xdr:col>
      <xdr:colOff>66674</xdr:colOff>
      <xdr:row>1998</xdr:row>
      <xdr:rowOff>57150</xdr:rowOff>
    </xdr:to>
    <xdr:sp macro="" textlink="">
      <xdr:nvSpPr>
        <xdr:cNvPr id="91" name="Seta: para a Direita 90">
          <a:extLst>
            <a:ext uri="{FF2B5EF4-FFF2-40B4-BE49-F238E27FC236}">
              <a16:creationId xmlns:a16="http://schemas.microsoft.com/office/drawing/2014/main" id="{E65B03AC-0A28-46B8-9740-E646AD62B59D}"/>
            </a:ext>
          </a:extLst>
        </xdr:cNvPr>
        <xdr:cNvSpPr/>
      </xdr:nvSpPr>
      <xdr:spPr bwMode="auto">
        <a:xfrm>
          <a:off x="76199" y="380371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1996</xdr:row>
      <xdr:rowOff>133350</xdr:rowOff>
    </xdr:from>
    <xdr:to>
      <xdr:col>6</xdr:col>
      <xdr:colOff>723899</xdr:colOff>
      <xdr:row>1998</xdr:row>
      <xdr:rowOff>57150</xdr:rowOff>
    </xdr:to>
    <xdr:sp macro="" textlink="">
      <xdr:nvSpPr>
        <xdr:cNvPr id="92" name="Seta: para a Direita 91">
          <a:extLst>
            <a:ext uri="{FF2B5EF4-FFF2-40B4-BE49-F238E27FC236}">
              <a16:creationId xmlns:a16="http://schemas.microsoft.com/office/drawing/2014/main" id="{0B60B60C-E951-49AA-80E0-D987982902DF}"/>
            </a:ext>
          </a:extLst>
        </xdr:cNvPr>
        <xdr:cNvSpPr/>
      </xdr:nvSpPr>
      <xdr:spPr bwMode="auto">
        <a:xfrm rot="10800000">
          <a:off x="3814762" y="380371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1954</xdr:row>
      <xdr:rowOff>95250</xdr:rowOff>
    </xdr:from>
    <xdr:ext cx="3550553" cy="942975"/>
    <xdr:pic>
      <xdr:nvPicPr>
        <xdr:cNvPr id="93" name="Imagem 92">
          <a:extLst>
            <a:ext uri="{FF2B5EF4-FFF2-40B4-BE49-F238E27FC236}">
              <a16:creationId xmlns:a16="http://schemas.microsoft.com/office/drawing/2014/main" id="{B5F84FBE-F69C-478C-894B-BB6EAE4C0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72332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2086</xdr:row>
      <xdr:rowOff>85725</xdr:rowOff>
    </xdr:from>
    <xdr:ext cx="3550553" cy="942975"/>
    <xdr:pic>
      <xdr:nvPicPr>
        <xdr:cNvPr id="94" name="Imagem 93">
          <a:extLst>
            <a:ext uri="{FF2B5EF4-FFF2-40B4-BE49-F238E27FC236}">
              <a16:creationId xmlns:a16="http://schemas.microsoft.com/office/drawing/2014/main" id="{32DDD5C0-3CEE-4E7C-BD43-4DB93B28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397468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2083</xdr:row>
      <xdr:rowOff>133350</xdr:rowOff>
    </xdr:from>
    <xdr:to>
      <xdr:col>1</xdr:col>
      <xdr:colOff>66674</xdr:colOff>
      <xdr:row>2085</xdr:row>
      <xdr:rowOff>57150</xdr:rowOff>
    </xdr:to>
    <xdr:sp macro="" textlink="">
      <xdr:nvSpPr>
        <xdr:cNvPr id="95" name="Seta: para a Direita 94">
          <a:extLst>
            <a:ext uri="{FF2B5EF4-FFF2-40B4-BE49-F238E27FC236}">
              <a16:creationId xmlns:a16="http://schemas.microsoft.com/office/drawing/2014/main" id="{E2546C56-6F0D-4069-A41A-6DEBC59BCBB7}"/>
            </a:ext>
          </a:extLst>
        </xdr:cNvPr>
        <xdr:cNvSpPr/>
      </xdr:nvSpPr>
      <xdr:spPr bwMode="auto">
        <a:xfrm>
          <a:off x="76199" y="396944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2083</xdr:row>
      <xdr:rowOff>133350</xdr:rowOff>
    </xdr:from>
    <xdr:to>
      <xdr:col>6</xdr:col>
      <xdr:colOff>723899</xdr:colOff>
      <xdr:row>2085</xdr:row>
      <xdr:rowOff>57150</xdr:rowOff>
    </xdr:to>
    <xdr:sp macro="" textlink="">
      <xdr:nvSpPr>
        <xdr:cNvPr id="96" name="Seta: para a Direita 95">
          <a:extLst>
            <a:ext uri="{FF2B5EF4-FFF2-40B4-BE49-F238E27FC236}">
              <a16:creationId xmlns:a16="http://schemas.microsoft.com/office/drawing/2014/main" id="{37F23445-64EF-4A0D-A237-71A73D762848}"/>
            </a:ext>
          </a:extLst>
        </xdr:cNvPr>
        <xdr:cNvSpPr/>
      </xdr:nvSpPr>
      <xdr:spPr bwMode="auto">
        <a:xfrm rot="10800000">
          <a:off x="3814762" y="396944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2043</xdr:row>
      <xdr:rowOff>95250</xdr:rowOff>
    </xdr:from>
    <xdr:ext cx="3550553" cy="942975"/>
    <xdr:pic>
      <xdr:nvPicPr>
        <xdr:cNvPr id="97" name="Imagem 96">
          <a:extLst>
            <a:ext uri="{FF2B5EF4-FFF2-40B4-BE49-F238E27FC236}">
              <a16:creationId xmlns:a16="http://schemas.microsoft.com/office/drawing/2014/main" id="{7BDED64F-2E7C-4E3E-836F-7D4D3E50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89286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2173</xdr:row>
      <xdr:rowOff>85725</xdr:rowOff>
    </xdr:from>
    <xdr:ext cx="3550553" cy="942975"/>
    <xdr:pic>
      <xdr:nvPicPr>
        <xdr:cNvPr id="98" name="Imagem 97">
          <a:extLst>
            <a:ext uri="{FF2B5EF4-FFF2-40B4-BE49-F238E27FC236}">
              <a16:creationId xmlns:a16="http://schemas.microsoft.com/office/drawing/2014/main" id="{7D4F458C-D00D-4B10-9B8F-B8FC429F5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14042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2170</xdr:row>
      <xdr:rowOff>133350</xdr:rowOff>
    </xdr:from>
    <xdr:to>
      <xdr:col>1</xdr:col>
      <xdr:colOff>66674</xdr:colOff>
      <xdr:row>2172</xdr:row>
      <xdr:rowOff>57150</xdr:rowOff>
    </xdr:to>
    <xdr:sp macro="" textlink="">
      <xdr:nvSpPr>
        <xdr:cNvPr id="99" name="Seta: para a Direita 98">
          <a:extLst>
            <a:ext uri="{FF2B5EF4-FFF2-40B4-BE49-F238E27FC236}">
              <a16:creationId xmlns:a16="http://schemas.microsoft.com/office/drawing/2014/main" id="{3D5DC3B7-DB81-4CBB-9EDD-EB6A808BABAC}"/>
            </a:ext>
          </a:extLst>
        </xdr:cNvPr>
        <xdr:cNvSpPr/>
      </xdr:nvSpPr>
      <xdr:spPr bwMode="auto">
        <a:xfrm>
          <a:off x="76199" y="413518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2170</xdr:row>
      <xdr:rowOff>133350</xdr:rowOff>
    </xdr:from>
    <xdr:to>
      <xdr:col>6</xdr:col>
      <xdr:colOff>723899</xdr:colOff>
      <xdr:row>2172</xdr:row>
      <xdr:rowOff>57150</xdr:rowOff>
    </xdr:to>
    <xdr:sp macro="" textlink="">
      <xdr:nvSpPr>
        <xdr:cNvPr id="100" name="Seta: para a Direita 99">
          <a:extLst>
            <a:ext uri="{FF2B5EF4-FFF2-40B4-BE49-F238E27FC236}">
              <a16:creationId xmlns:a16="http://schemas.microsoft.com/office/drawing/2014/main" id="{D8CB0493-E2E5-4E30-A4CC-8A7156B1DEF0}"/>
            </a:ext>
          </a:extLst>
        </xdr:cNvPr>
        <xdr:cNvSpPr/>
      </xdr:nvSpPr>
      <xdr:spPr bwMode="auto">
        <a:xfrm rot="10800000">
          <a:off x="3814762" y="413518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2129</xdr:row>
      <xdr:rowOff>95250</xdr:rowOff>
    </xdr:from>
    <xdr:ext cx="3550553" cy="942975"/>
    <xdr:pic>
      <xdr:nvPicPr>
        <xdr:cNvPr id="101" name="Imagem 100">
          <a:extLst>
            <a:ext uri="{FF2B5EF4-FFF2-40B4-BE49-F238E27FC236}">
              <a16:creationId xmlns:a16="http://schemas.microsoft.com/office/drawing/2014/main" id="{87EF6CB5-BA5F-48E7-A99E-59056DA26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05669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2260</xdr:row>
      <xdr:rowOff>85725</xdr:rowOff>
    </xdr:from>
    <xdr:ext cx="3550553" cy="942975"/>
    <xdr:pic>
      <xdr:nvPicPr>
        <xdr:cNvPr id="102" name="Imagem 101">
          <a:extLst>
            <a:ext uri="{FF2B5EF4-FFF2-40B4-BE49-F238E27FC236}">
              <a16:creationId xmlns:a16="http://schemas.microsoft.com/office/drawing/2014/main" id="{F332CB51-7CA1-4C95-857A-344CE956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30615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2257</xdr:row>
      <xdr:rowOff>133350</xdr:rowOff>
    </xdr:from>
    <xdr:to>
      <xdr:col>1</xdr:col>
      <xdr:colOff>66674</xdr:colOff>
      <xdr:row>2259</xdr:row>
      <xdr:rowOff>57150</xdr:rowOff>
    </xdr:to>
    <xdr:sp macro="" textlink="">
      <xdr:nvSpPr>
        <xdr:cNvPr id="103" name="Seta: para a Direita 102">
          <a:extLst>
            <a:ext uri="{FF2B5EF4-FFF2-40B4-BE49-F238E27FC236}">
              <a16:creationId xmlns:a16="http://schemas.microsoft.com/office/drawing/2014/main" id="{0C260295-189B-4979-824A-45DD2B8CD1ED}"/>
            </a:ext>
          </a:extLst>
        </xdr:cNvPr>
        <xdr:cNvSpPr/>
      </xdr:nvSpPr>
      <xdr:spPr bwMode="auto">
        <a:xfrm>
          <a:off x="76199" y="430091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2257</xdr:row>
      <xdr:rowOff>133350</xdr:rowOff>
    </xdr:from>
    <xdr:to>
      <xdr:col>6</xdr:col>
      <xdr:colOff>723899</xdr:colOff>
      <xdr:row>2259</xdr:row>
      <xdr:rowOff>57150</xdr:rowOff>
    </xdr:to>
    <xdr:sp macro="" textlink="">
      <xdr:nvSpPr>
        <xdr:cNvPr id="104" name="Seta: para a Direita 103">
          <a:extLst>
            <a:ext uri="{FF2B5EF4-FFF2-40B4-BE49-F238E27FC236}">
              <a16:creationId xmlns:a16="http://schemas.microsoft.com/office/drawing/2014/main" id="{35C3D756-DFA3-4B32-A32C-D036BBE38AEF}"/>
            </a:ext>
          </a:extLst>
        </xdr:cNvPr>
        <xdr:cNvSpPr/>
      </xdr:nvSpPr>
      <xdr:spPr bwMode="auto">
        <a:xfrm rot="10800000">
          <a:off x="3814762" y="430091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2216</xdr:row>
      <xdr:rowOff>95250</xdr:rowOff>
    </xdr:from>
    <xdr:ext cx="3550553" cy="942975"/>
    <xdr:pic>
      <xdr:nvPicPr>
        <xdr:cNvPr id="105" name="Imagem 104">
          <a:extLst>
            <a:ext uri="{FF2B5EF4-FFF2-40B4-BE49-F238E27FC236}">
              <a16:creationId xmlns:a16="http://schemas.microsoft.com/office/drawing/2014/main" id="{2E10E0D5-8541-46F9-86FA-EDB36A708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22243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2347</xdr:row>
      <xdr:rowOff>85725</xdr:rowOff>
    </xdr:from>
    <xdr:ext cx="3550553" cy="942975"/>
    <xdr:pic>
      <xdr:nvPicPr>
        <xdr:cNvPr id="106" name="Imagem 105">
          <a:extLst>
            <a:ext uri="{FF2B5EF4-FFF2-40B4-BE49-F238E27FC236}">
              <a16:creationId xmlns:a16="http://schemas.microsoft.com/office/drawing/2014/main" id="{188E7427-2E72-4F1F-AA71-1E19FE31A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47189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2344</xdr:row>
      <xdr:rowOff>133350</xdr:rowOff>
    </xdr:from>
    <xdr:to>
      <xdr:col>1</xdr:col>
      <xdr:colOff>66674</xdr:colOff>
      <xdr:row>2346</xdr:row>
      <xdr:rowOff>57150</xdr:rowOff>
    </xdr:to>
    <xdr:sp macro="" textlink="">
      <xdr:nvSpPr>
        <xdr:cNvPr id="107" name="Seta: para a Direita 106">
          <a:extLst>
            <a:ext uri="{FF2B5EF4-FFF2-40B4-BE49-F238E27FC236}">
              <a16:creationId xmlns:a16="http://schemas.microsoft.com/office/drawing/2014/main" id="{49BB6DE7-BCE2-4F21-A7D9-B4E523965D94}"/>
            </a:ext>
          </a:extLst>
        </xdr:cNvPr>
        <xdr:cNvSpPr/>
      </xdr:nvSpPr>
      <xdr:spPr bwMode="auto">
        <a:xfrm>
          <a:off x="76199" y="446665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2344</xdr:row>
      <xdr:rowOff>133350</xdr:rowOff>
    </xdr:from>
    <xdr:to>
      <xdr:col>6</xdr:col>
      <xdr:colOff>723899</xdr:colOff>
      <xdr:row>2346</xdr:row>
      <xdr:rowOff>57150</xdr:rowOff>
    </xdr:to>
    <xdr:sp macro="" textlink="">
      <xdr:nvSpPr>
        <xdr:cNvPr id="108" name="Seta: para a Direita 107">
          <a:extLst>
            <a:ext uri="{FF2B5EF4-FFF2-40B4-BE49-F238E27FC236}">
              <a16:creationId xmlns:a16="http://schemas.microsoft.com/office/drawing/2014/main" id="{B155D1B4-DE32-47FD-94DD-F4BEEEA80AE2}"/>
            </a:ext>
          </a:extLst>
        </xdr:cNvPr>
        <xdr:cNvSpPr/>
      </xdr:nvSpPr>
      <xdr:spPr bwMode="auto">
        <a:xfrm rot="10800000">
          <a:off x="3814762" y="446665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2302</xdr:row>
      <xdr:rowOff>95250</xdr:rowOff>
    </xdr:from>
    <xdr:ext cx="3550553" cy="942975"/>
    <xdr:pic>
      <xdr:nvPicPr>
        <xdr:cNvPr id="109" name="Imagem 108">
          <a:extLst>
            <a:ext uri="{FF2B5EF4-FFF2-40B4-BE49-F238E27FC236}">
              <a16:creationId xmlns:a16="http://schemas.microsoft.com/office/drawing/2014/main" id="{58BDE969-EF6A-4035-8ABD-2E47772A2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38626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2434</xdr:row>
      <xdr:rowOff>85725</xdr:rowOff>
    </xdr:from>
    <xdr:ext cx="3550553" cy="942975"/>
    <xdr:pic>
      <xdr:nvPicPr>
        <xdr:cNvPr id="110" name="Imagem 109">
          <a:extLst>
            <a:ext uri="{FF2B5EF4-FFF2-40B4-BE49-F238E27FC236}">
              <a16:creationId xmlns:a16="http://schemas.microsoft.com/office/drawing/2014/main" id="{E0A773F9-A98A-46D6-A56E-3E085AD31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63762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2431</xdr:row>
      <xdr:rowOff>133350</xdr:rowOff>
    </xdr:from>
    <xdr:to>
      <xdr:col>1</xdr:col>
      <xdr:colOff>66674</xdr:colOff>
      <xdr:row>2433</xdr:row>
      <xdr:rowOff>57150</xdr:rowOff>
    </xdr:to>
    <xdr:sp macro="" textlink="">
      <xdr:nvSpPr>
        <xdr:cNvPr id="111" name="Seta: para a Direita 110">
          <a:extLst>
            <a:ext uri="{FF2B5EF4-FFF2-40B4-BE49-F238E27FC236}">
              <a16:creationId xmlns:a16="http://schemas.microsoft.com/office/drawing/2014/main" id="{CF79307D-16CA-494B-B23F-70935C1EDCBA}"/>
            </a:ext>
          </a:extLst>
        </xdr:cNvPr>
        <xdr:cNvSpPr/>
      </xdr:nvSpPr>
      <xdr:spPr bwMode="auto">
        <a:xfrm>
          <a:off x="76199" y="463238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2431</xdr:row>
      <xdr:rowOff>133350</xdr:rowOff>
    </xdr:from>
    <xdr:to>
      <xdr:col>6</xdr:col>
      <xdr:colOff>723899</xdr:colOff>
      <xdr:row>2433</xdr:row>
      <xdr:rowOff>57150</xdr:rowOff>
    </xdr:to>
    <xdr:sp macro="" textlink="">
      <xdr:nvSpPr>
        <xdr:cNvPr id="112" name="Seta: para a Direita 111">
          <a:extLst>
            <a:ext uri="{FF2B5EF4-FFF2-40B4-BE49-F238E27FC236}">
              <a16:creationId xmlns:a16="http://schemas.microsoft.com/office/drawing/2014/main" id="{B021C777-4991-462A-9FA0-31AC8381D3EF}"/>
            </a:ext>
          </a:extLst>
        </xdr:cNvPr>
        <xdr:cNvSpPr/>
      </xdr:nvSpPr>
      <xdr:spPr bwMode="auto">
        <a:xfrm rot="10800000">
          <a:off x="3814762" y="463238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2389</xdr:row>
      <xdr:rowOff>95250</xdr:rowOff>
    </xdr:from>
    <xdr:ext cx="3550553" cy="942975"/>
    <xdr:pic>
      <xdr:nvPicPr>
        <xdr:cNvPr id="113" name="Imagem 112">
          <a:extLst>
            <a:ext uri="{FF2B5EF4-FFF2-40B4-BE49-F238E27FC236}">
              <a16:creationId xmlns:a16="http://schemas.microsoft.com/office/drawing/2014/main" id="{BCF6744E-917C-4147-A4D3-8F7EC01A6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55199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2521</xdr:row>
      <xdr:rowOff>85725</xdr:rowOff>
    </xdr:from>
    <xdr:ext cx="3550553" cy="942975"/>
    <xdr:pic>
      <xdr:nvPicPr>
        <xdr:cNvPr id="114" name="Imagem 113">
          <a:extLst>
            <a:ext uri="{FF2B5EF4-FFF2-40B4-BE49-F238E27FC236}">
              <a16:creationId xmlns:a16="http://schemas.microsoft.com/office/drawing/2014/main" id="{52F79D55-4AA4-458C-8022-2890E14BA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80336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2518</xdr:row>
      <xdr:rowOff>133350</xdr:rowOff>
    </xdr:from>
    <xdr:to>
      <xdr:col>1</xdr:col>
      <xdr:colOff>66674</xdr:colOff>
      <xdr:row>2520</xdr:row>
      <xdr:rowOff>57150</xdr:rowOff>
    </xdr:to>
    <xdr:sp macro="" textlink="">
      <xdr:nvSpPr>
        <xdr:cNvPr id="115" name="Seta: para a Direita 114">
          <a:extLst>
            <a:ext uri="{FF2B5EF4-FFF2-40B4-BE49-F238E27FC236}">
              <a16:creationId xmlns:a16="http://schemas.microsoft.com/office/drawing/2014/main" id="{0A81B494-AB72-4995-91DB-6837A34B8065}"/>
            </a:ext>
          </a:extLst>
        </xdr:cNvPr>
        <xdr:cNvSpPr/>
      </xdr:nvSpPr>
      <xdr:spPr bwMode="auto">
        <a:xfrm>
          <a:off x="76199" y="479812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2518</xdr:row>
      <xdr:rowOff>133350</xdr:rowOff>
    </xdr:from>
    <xdr:to>
      <xdr:col>6</xdr:col>
      <xdr:colOff>723899</xdr:colOff>
      <xdr:row>2520</xdr:row>
      <xdr:rowOff>57150</xdr:rowOff>
    </xdr:to>
    <xdr:sp macro="" textlink="">
      <xdr:nvSpPr>
        <xdr:cNvPr id="116" name="Seta: para a Direita 115">
          <a:extLst>
            <a:ext uri="{FF2B5EF4-FFF2-40B4-BE49-F238E27FC236}">
              <a16:creationId xmlns:a16="http://schemas.microsoft.com/office/drawing/2014/main" id="{143C458A-F081-42E9-8364-752F970A99CC}"/>
            </a:ext>
          </a:extLst>
        </xdr:cNvPr>
        <xdr:cNvSpPr/>
      </xdr:nvSpPr>
      <xdr:spPr bwMode="auto">
        <a:xfrm rot="10800000">
          <a:off x="3814762" y="479812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2476</xdr:row>
      <xdr:rowOff>95250</xdr:rowOff>
    </xdr:from>
    <xdr:ext cx="3550553" cy="942975"/>
    <xdr:pic>
      <xdr:nvPicPr>
        <xdr:cNvPr id="117" name="Imagem 116">
          <a:extLst>
            <a:ext uri="{FF2B5EF4-FFF2-40B4-BE49-F238E27FC236}">
              <a16:creationId xmlns:a16="http://schemas.microsoft.com/office/drawing/2014/main" id="{A3BB20CE-D9AA-4FEA-AB34-63881D3E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1773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2608</xdr:row>
      <xdr:rowOff>85725</xdr:rowOff>
    </xdr:from>
    <xdr:ext cx="3550553" cy="942975"/>
    <xdr:pic>
      <xdr:nvPicPr>
        <xdr:cNvPr id="118" name="Imagem 117">
          <a:extLst>
            <a:ext uri="{FF2B5EF4-FFF2-40B4-BE49-F238E27FC236}">
              <a16:creationId xmlns:a16="http://schemas.microsoft.com/office/drawing/2014/main" id="{48358D72-29DA-4998-9BED-78FD58F0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4969097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2605</xdr:row>
      <xdr:rowOff>133350</xdr:rowOff>
    </xdr:from>
    <xdr:to>
      <xdr:col>1</xdr:col>
      <xdr:colOff>66674</xdr:colOff>
      <xdr:row>2607</xdr:row>
      <xdr:rowOff>57150</xdr:rowOff>
    </xdr:to>
    <xdr:sp macro="" textlink="">
      <xdr:nvSpPr>
        <xdr:cNvPr id="119" name="Seta: para a Direita 118">
          <a:extLst>
            <a:ext uri="{FF2B5EF4-FFF2-40B4-BE49-F238E27FC236}">
              <a16:creationId xmlns:a16="http://schemas.microsoft.com/office/drawing/2014/main" id="{2B6BCF83-96AA-417C-B857-2C5B73D460B4}"/>
            </a:ext>
          </a:extLst>
        </xdr:cNvPr>
        <xdr:cNvSpPr/>
      </xdr:nvSpPr>
      <xdr:spPr bwMode="auto">
        <a:xfrm>
          <a:off x="76199" y="4963858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2605</xdr:row>
      <xdr:rowOff>133350</xdr:rowOff>
    </xdr:from>
    <xdr:to>
      <xdr:col>6</xdr:col>
      <xdr:colOff>723899</xdr:colOff>
      <xdr:row>2607</xdr:row>
      <xdr:rowOff>57150</xdr:rowOff>
    </xdr:to>
    <xdr:sp macro="" textlink="">
      <xdr:nvSpPr>
        <xdr:cNvPr id="120" name="Seta: para a Direita 119">
          <a:extLst>
            <a:ext uri="{FF2B5EF4-FFF2-40B4-BE49-F238E27FC236}">
              <a16:creationId xmlns:a16="http://schemas.microsoft.com/office/drawing/2014/main" id="{98AD2ED0-82C2-45ED-9F0B-27DDB4EF5ACC}"/>
            </a:ext>
          </a:extLst>
        </xdr:cNvPr>
        <xdr:cNvSpPr/>
      </xdr:nvSpPr>
      <xdr:spPr bwMode="auto">
        <a:xfrm rot="10800000">
          <a:off x="3814762" y="4963858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2563</xdr:row>
      <xdr:rowOff>95250</xdr:rowOff>
    </xdr:from>
    <xdr:ext cx="3550553" cy="942975"/>
    <xdr:pic>
      <xdr:nvPicPr>
        <xdr:cNvPr id="121" name="Imagem 120">
          <a:extLst>
            <a:ext uri="{FF2B5EF4-FFF2-40B4-BE49-F238E27FC236}">
              <a16:creationId xmlns:a16="http://schemas.microsoft.com/office/drawing/2014/main" id="{58B5C750-CF89-490B-9911-366429B6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883467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2695</xdr:row>
      <xdr:rowOff>85725</xdr:rowOff>
    </xdr:from>
    <xdr:ext cx="3550553" cy="942975"/>
    <xdr:pic>
      <xdr:nvPicPr>
        <xdr:cNvPr id="122" name="Imagem 121">
          <a:extLst>
            <a:ext uri="{FF2B5EF4-FFF2-40B4-BE49-F238E27FC236}">
              <a16:creationId xmlns:a16="http://schemas.microsoft.com/office/drawing/2014/main" id="{0A6422B6-3992-4BF1-B2B8-FF1CDCD2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513483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2692</xdr:row>
      <xdr:rowOff>133350</xdr:rowOff>
    </xdr:from>
    <xdr:to>
      <xdr:col>1</xdr:col>
      <xdr:colOff>66674</xdr:colOff>
      <xdr:row>2694</xdr:row>
      <xdr:rowOff>57150</xdr:rowOff>
    </xdr:to>
    <xdr:sp macro="" textlink="">
      <xdr:nvSpPr>
        <xdr:cNvPr id="123" name="Seta: para a Direita 122">
          <a:extLst>
            <a:ext uri="{FF2B5EF4-FFF2-40B4-BE49-F238E27FC236}">
              <a16:creationId xmlns:a16="http://schemas.microsoft.com/office/drawing/2014/main" id="{47BB5ADC-B9ED-4F0C-82A8-9466965A671E}"/>
            </a:ext>
          </a:extLst>
        </xdr:cNvPr>
        <xdr:cNvSpPr/>
      </xdr:nvSpPr>
      <xdr:spPr bwMode="auto">
        <a:xfrm>
          <a:off x="76199" y="512959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2692</xdr:row>
      <xdr:rowOff>133350</xdr:rowOff>
    </xdr:from>
    <xdr:to>
      <xdr:col>6</xdr:col>
      <xdr:colOff>723899</xdr:colOff>
      <xdr:row>2694</xdr:row>
      <xdr:rowOff>57150</xdr:rowOff>
    </xdr:to>
    <xdr:sp macro="" textlink="">
      <xdr:nvSpPr>
        <xdr:cNvPr id="124" name="Seta: para a Direita 123">
          <a:extLst>
            <a:ext uri="{FF2B5EF4-FFF2-40B4-BE49-F238E27FC236}">
              <a16:creationId xmlns:a16="http://schemas.microsoft.com/office/drawing/2014/main" id="{07467CB7-F03E-4A22-A22B-8B1F39489068}"/>
            </a:ext>
          </a:extLst>
        </xdr:cNvPr>
        <xdr:cNvSpPr/>
      </xdr:nvSpPr>
      <xdr:spPr bwMode="auto">
        <a:xfrm rot="10800000">
          <a:off x="3814762" y="512959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2650</xdr:row>
      <xdr:rowOff>95250</xdr:rowOff>
    </xdr:from>
    <xdr:ext cx="3550553" cy="942975"/>
    <xdr:pic>
      <xdr:nvPicPr>
        <xdr:cNvPr id="125" name="Imagem 124">
          <a:extLst>
            <a:ext uri="{FF2B5EF4-FFF2-40B4-BE49-F238E27FC236}">
              <a16:creationId xmlns:a16="http://schemas.microsoft.com/office/drawing/2014/main" id="{5970FE12-3B23-4169-B640-FE2AE3FB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04920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2782</xdr:row>
      <xdr:rowOff>85725</xdr:rowOff>
    </xdr:from>
    <xdr:ext cx="3550553" cy="942975"/>
    <xdr:pic>
      <xdr:nvPicPr>
        <xdr:cNvPr id="126" name="Imagem 125">
          <a:extLst>
            <a:ext uri="{FF2B5EF4-FFF2-40B4-BE49-F238E27FC236}">
              <a16:creationId xmlns:a16="http://schemas.microsoft.com/office/drawing/2014/main" id="{5DA67626-460F-4B2B-8DAB-5D92E3159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5302472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2779</xdr:row>
      <xdr:rowOff>133350</xdr:rowOff>
    </xdr:from>
    <xdr:to>
      <xdr:col>1</xdr:col>
      <xdr:colOff>66674</xdr:colOff>
      <xdr:row>2781</xdr:row>
      <xdr:rowOff>57150</xdr:rowOff>
    </xdr:to>
    <xdr:sp macro="" textlink="">
      <xdr:nvSpPr>
        <xdr:cNvPr id="127" name="Seta: para a Direita 126">
          <a:extLst>
            <a:ext uri="{FF2B5EF4-FFF2-40B4-BE49-F238E27FC236}">
              <a16:creationId xmlns:a16="http://schemas.microsoft.com/office/drawing/2014/main" id="{AD9E7AD8-B623-422B-99DC-66B30FDDE705}"/>
            </a:ext>
          </a:extLst>
        </xdr:cNvPr>
        <xdr:cNvSpPr/>
      </xdr:nvSpPr>
      <xdr:spPr bwMode="auto">
        <a:xfrm>
          <a:off x="76199" y="529723350"/>
          <a:ext cx="600075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2779</xdr:row>
      <xdr:rowOff>133350</xdr:rowOff>
    </xdr:from>
    <xdr:to>
      <xdr:col>6</xdr:col>
      <xdr:colOff>723899</xdr:colOff>
      <xdr:row>2781</xdr:row>
      <xdr:rowOff>57150</xdr:rowOff>
    </xdr:to>
    <xdr:sp macro="" textlink="">
      <xdr:nvSpPr>
        <xdr:cNvPr id="128" name="Seta: para a Direita 127">
          <a:extLst>
            <a:ext uri="{FF2B5EF4-FFF2-40B4-BE49-F238E27FC236}">
              <a16:creationId xmlns:a16="http://schemas.microsoft.com/office/drawing/2014/main" id="{EB979652-2110-48A1-9BDF-BB168A992B2C}"/>
            </a:ext>
          </a:extLst>
        </xdr:cNvPr>
        <xdr:cNvSpPr/>
      </xdr:nvSpPr>
      <xdr:spPr bwMode="auto">
        <a:xfrm rot="10800000">
          <a:off x="3814762" y="529723350"/>
          <a:ext cx="452437" cy="30480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2737</xdr:row>
      <xdr:rowOff>95250</xdr:rowOff>
    </xdr:from>
    <xdr:ext cx="3550553" cy="942975"/>
    <xdr:pic>
      <xdr:nvPicPr>
        <xdr:cNvPr id="129" name="Imagem 128">
          <a:extLst>
            <a:ext uri="{FF2B5EF4-FFF2-40B4-BE49-F238E27FC236}">
              <a16:creationId xmlns:a16="http://schemas.microsoft.com/office/drawing/2014/main" id="{EFB8F86D-4DD4-48F4-A1CF-D1C5222D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20922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2737</xdr:row>
      <xdr:rowOff>95250</xdr:rowOff>
    </xdr:from>
    <xdr:ext cx="3550553" cy="942975"/>
    <xdr:pic>
      <xdr:nvPicPr>
        <xdr:cNvPr id="130" name="Imagem 129">
          <a:extLst>
            <a:ext uri="{FF2B5EF4-FFF2-40B4-BE49-F238E27FC236}">
              <a16:creationId xmlns:a16="http://schemas.microsoft.com/office/drawing/2014/main" id="{CFFA1980-BCE4-4657-A66F-356BB22EE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209222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2869</xdr:row>
      <xdr:rowOff>85725</xdr:rowOff>
    </xdr:from>
    <xdr:ext cx="3550553" cy="942975"/>
    <xdr:pic>
      <xdr:nvPicPr>
        <xdr:cNvPr id="131" name="Imagem 130">
          <a:extLst>
            <a:ext uri="{FF2B5EF4-FFF2-40B4-BE49-F238E27FC236}">
              <a16:creationId xmlns:a16="http://schemas.microsoft.com/office/drawing/2014/main" id="{75B67001-8399-44C7-9A1A-D1ACA893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6405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2866</xdr:row>
      <xdr:rowOff>133350</xdr:rowOff>
    </xdr:from>
    <xdr:to>
      <xdr:col>1</xdr:col>
      <xdr:colOff>66674</xdr:colOff>
      <xdr:row>2868</xdr:row>
      <xdr:rowOff>57150</xdr:rowOff>
    </xdr:to>
    <xdr:sp macro="" textlink="">
      <xdr:nvSpPr>
        <xdr:cNvPr id="132" name="Seta: para a Direita 131">
          <a:extLst>
            <a:ext uri="{FF2B5EF4-FFF2-40B4-BE49-F238E27FC236}">
              <a16:creationId xmlns:a16="http://schemas.microsoft.com/office/drawing/2014/main" id="{7A1053D5-FBCA-47BE-A393-9A9E6D391396}"/>
            </a:ext>
          </a:extLst>
        </xdr:cNvPr>
        <xdr:cNvSpPr/>
      </xdr:nvSpPr>
      <xdr:spPr bwMode="auto">
        <a:xfrm>
          <a:off x="76199" y="1661160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2866</xdr:row>
      <xdr:rowOff>133350</xdr:rowOff>
    </xdr:from>
    <xdr:to>
      <xdr:col>6</xdr:col>
      <xdr:colOff>723899</xdr:colOff>
      <xdr:row>2868</xdr:row>
      <xdr:rowOff>57150</xdr:rowOff>
    </xdr:to>
    <xdr:sp macro="" textlink="">
      <xdr:nvSpPr>
        <xdr:cNvPr id="133" name="Seta: para a Direita 132">
          <a:extLst>
            <a:ext uri="{FF2B5EF4-FFF2-40B4-BE49-F238E27FC236}">
              <a16:creationId xmlns:a16="http://schemas.microsoft.com/office/drawing/2014/main" id="{912B1801-C196-443E-B546-679F3E63AF9D}"/>
            </a:ext>
          </a:extLst>
        </xdr:cNvPr>
        <xdr:cNvSpPr/>
      </xdr:nvSpPr>
      <xdr:spPr bwMode="auto">
        <a:xfrm rot="10800000">
          <a:off x="4872037" y="1661160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2825</xdr:row>
      <xdr:rowOff>95250</xdr:rowOff>
    </xdr:from>
    <xdr:ext cx="3550553" cy="942975"/>
    <xdr:pic>
      <xdr:nvPicPr>
        <xdr:cNvPr id="134" name="Imagem 133">
          <a:extLst>
            <a:ext uri="{FF2B5EF4-FFF2-40B4-BE49-F238E27FC236}">
              <a16:creationId xmlns:a16="http://schemas.microsoft.com/office/drawing/2014/main" id="{B5EE6F54-837A-420E-B879-1BDDBAEF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14387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2825</xdr:row>
      <xdr:rowOff>95250</xdr:rowOff>
    </xdr:from>
    <xdr:ext cx="3550553" cy="942975"/>
    <xdr:pic>
      <xdr:nvPicPr>
        <xdr:cNvPr id="135" name="Imagem 134">
          <a:extLst>
            <a:ext uri="{FF2B5EF4-FFF2-40B4-BE49-F238E27FC236}">
              <a16:creationId xmlns:a16="http://schemas.microsoft.com/office/drawing/2014/main" id="{15B779E4-4281-436A-A20C-E81CE999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14387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2956</xdr:row>
      <xdr:rowOff>85725</xdr:rowOff>
    </xdr:from>
    <xdr:ext cx="3550553" cy="942975"/>
    <xdr:pic>
      <xdr:nvPicPr>
        <xdr:cNvPr id="136" name="Imagem 135">
          <a:extLst>
            <a:ext uri="{FF2B5EF4-FFF2-40B4-BE49-F238E27FC236}">
              <a16:creationId xmlns:a16="http://schemas.microsoft.com/office/drawing/2014/main" id="{3275EF5A-266A-4256-88A3-A8692558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450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2953</xdr:row>
      <xdr:rowOff>133350</xdr:rowOff>
    </xdr:from>
    <xdr:to>
      <xdr:col>1</xdr:col>
      <xdr:colOff>66674</xdr:colOff>
      <xdr:row>2955</xdr:row>
      <xdr:rowOff>57150</xdr:rowOff>
    </xdr:to>
    <xdr:sp macro="" textlink="">
      <xdr:nvSpPr>
        <xdr:cNvPr id="137" name="Seta: para a Direita 136">
          <a:extLst>
            <a:ext uri="{FF2B5EF4-FFF2-40B4-BE49-F238E27FC236}">
              <a16:creationId xmlns:a16="http://schemas.microsoft.com/office/drawing/2014/main" id="{0D394479-BFCE-4111-8FA7-7AA254DB57E6}"/>
            </a:ext>
          </a:extLst>
        </xdr:cNvPr>
        <xdr:cNvSpPr/>
      </xdr:nvSpPr>
      <xdr:spPr bwMode="auto">
        <a:xfrm>
          <a:off x="76199" y="165925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2953</xdr:row>
      <xdr:rowOff>133350</xdr:rowOff>
    </xdr:from>
    <xdr:to>
      <xdr:col>6</xdr:col>
      <xdr:colOff>723899</xdr:colOff>
      <xdr:row>2955</xdr:row>
      <xdr:rowOff>57150</xdr:rowOff>
    </xdr:to>
    <xdr:sp macro="" textlink="">
      <xdr:nvSpPr>
        <xdr:cNvPr id="138" name="Seta: para a Direita 137">
          <a:extLst>
            <a:ext uri="{FF2B5EF4-FFF2-40B4-BE49-F238E27FC236}">
              <a16:creationId xmlns:a16="http://schemas.microsoft.com/office/drawing/2014/main" id="{1974E13A-FC53-4EB9-BF50-69B2F36BF1D8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2910</xdr:row>
      <xdr:rowOff>95250</xdr:rowOff>
    </xdr:from>
    <xdr:ext cx="3550553" cy="942975"/>
    <xdr:pic>
      <xdr:nvPicPr>
        <xdr:cNvPr id="139" name="Imagem 138">
          <a:extLst>
            <a:ext uri="{FF2B5EF4-FFF2-40B4-BE49-F238E27FC236}">
              <a16:creationId xmlns:a16="http://schemas.microsoft.com/office/drawing/2014/main" id="{47F5BE47-A3CD-4D73-9DEA-AE2F8B1FF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2910</xdr:row>
      <xdr:rowOff>95250</xdr:rowOff>
    </xdr:from>
    <xdr:ext cx="3550553" cy="942975"/>
    <xdr:pic>
      <xdr:nvPicPr>
        <xdr:cNvPr id="140" name="Imagem 139">
          <a:extLst>
            <a:ext uri="{FF2B5EF4-FFF2-40B4-BE49-F238E27FC236}">
              <a16:creationId xmlns:a16="http://schemas.microsoft.com/office/drawing/2014/main" id="{99606607-86A4-4F07-804D-84E0D572C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3043</xdr:row>
      <xdr:rowOff>85725</xdr:rowOff>
    </xdr:from>
    <xdr:ext cx="3550553" cy="942975"/>
    <xdr:pic>
      <xdr:nvPicPr>
        <xdr:cNvPr id="141" name="Imagem 140">
          <a:extLst>
            <a:ext uri="{FF2B5EF4-FFF2-40B4-BE49-F238E27FC236}">
              <a16:creationId xmlns:a16="http://schemas.microsoft.com/office/drawing/2014/main" id="{7D552E6A-CE45-4720-98CA-AE986507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7357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3040</xdr:row>
      <xdr:rowOff>133350</xdr:rowOff>
    </xdr:from>
    <xdr:to>
      <xdr:col>1</xdr:col>
      <xdr:colOff>66674</xdr:colOff>
      <xdr:row>3042</xdr:row>
      <xdr:rowOff>57150</xdr:rowOff>
    </xdr:to>
    <xdr:sp macro="" textlink="">
      <xdr:nvSpPr>
        <xdr:cNvPr id="142" name="Seta: para a Direita 141">
          <a:extLst>
            <a:ext uri="{FF2B5EF4-FFF2-40B4-BE49-F238E27FC236}">
              <a16:creationId xmlns:a16="http://schemas.microsoft.com/office/drawing/2014/main" id="{C9C14F6E-70DF-47E3-8D69-63609FABBCB8}"/>
            </a:ext>
          </a:extLst>
        </xdr:cNvPr>
        <xdr:cNvSpPr/>
      </xdr:nvSpPr>
      <xdr:spPr bwMode="auto">
        <a:xfrm>
          <a:off x="76199" y="1662112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3040</xdr:row>
      <xdr:rowOff>133350</xdr:rowOff>
    </xdr:from>
    <xdr:to>
      <xdr:col>6</xdr:col>
      <xdr:colOff>723899</xdr:colOff>
      <xdr:row>3042</xdr:row>
      <xdr:rowOff>57150</xdr:rowOff>
    </xdr:to>
    <xdr:sp macro="" textlink="">
      <xdr:nvSpPr>
        <xdr:cNvPr id="143" name="Seta: para a Direita 142">
          <a:extLst>
            <a:ext uri="{FF2B5EF4-FFF2-40B4-BE49-F238E27FC236}">
              <a16:creationId xmlns:a16="http://schemas.microsoft.com/office/drawing/2014/main" id="{1F18BF33-E1F7-4ED8-9BD7-8F6DD9BD10A6}"/>
            </a:ext>
          </a:extLst>
        </xdr:cNvPr>
        <xdr:cNvSpPr/>
      </xdr:nvSpPr>
      <xdr:spPr bwMode="auto">
        <a:xfrm rot="10800000">
          <a:off x="4872037" y="16621125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3000</xdr:row>
      <xdr:rowOff>95250</xdr:rowOff>
    </xdr:from>
    <xdr:ext cx="3550553" cy="942975"/>
    <xdr:pic>
      <xdr:nvPicPr>
        <xdr:cNvPr id="144" name="Imagem 143">
          <a:extLst>
            <a:ext uri="{FF2B5EF4-FFF2-40B4-BE49-F238E27FC236}">
              <a16:creationId xmlns:a16="http://schemas.microsoft.com/office/drawing/2014/main" id="{5D4DC193-BF08-4CF9-90CC-25C8597E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3439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3000</xdr:row>
      <xdr:rowOff>95250</xdr:rowOff>
    </xdr:from>
    <xdr:ext cx="3550553" cy="942975"/>
    <xdr:pic>
      <xdr:nvPicPr>
        <xdr:cNvPr id="145" name="Imagem 144">
          <a:extLst>
            <a:ext uri="{FF2B5EF4-FFF2-40B4-BE49-F238E27FC236}">
              <a16:creationId xmlns:a16="http://schemas.microsoft.com/office/drawing/2014/main" id="{34B744E0-7719-4FFD-98F1-4A78129C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834390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3130</xdr:row>
      <xdr:rowOff>85725</xdr:rowOff>
    </xdr:from>
    <xdr:ext cx="3550553" cy="942975"/>
    <xdr:pic>
      <xdr:nvPicPr>
        <xdr:cNvPr id="146" name="Imagem 145">
          <a:extLst>
            <a:ext uri="{FF2B5EF4-FFF2-40B4-BE49-F238E27FC236}">
              <a16:creationId xmlns:a16="http://schemas.microsoft.com/office/drawing/2014/main" id="{62D15F58-8CCE-455D-9A77-286CB6D2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450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3127</xdr:row>
      <xdr:rowOff>133350</xdr:rowOff>
    </xdr:from>
    <xdr:to>
      <xdr:col>1</xdr:col>
      <xdr:colOff>66674</xdr:colOff>
      <xdr:row>3129</xdr:row>
      <xdr:rowOff>57150</xdr:rowOff>
    </xdr:to>
    <xdr:sp macro="" textlink="">
      <xdr:nvSpPr>
        <xdr:cNvPr id="147" name="Seta: para a Direita 146">
          <a:extLst>
            <a:ext uri="{FF2B5EF4-FFF2-40B4-BE49-F238E27FC236}">
              <a16:creationId xmlns:a16="http://schemas.microsoft.com/office/drawing/2014/main" id="{829CB49F-31BF-46EA-B1B2-FC698A12A836}"/>
            </a:ext>
          </a:extLst>
        </xdr:cNvPr>
        <xdr:cNvSpPr/>
      </xdr:nvSpPr>
      <xdr:spPr bwMode="auto">
        <a:xfrm>
          <a:off x="76199" y="165925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3127</xdr:row>
      <xdr:rowOff>133350</xdr:rowOff>
    </xdr:from>
    <xdr:to>
      <xdr:col>6</xdr:col>
      <xdr:colOff>723899</xdr:colOff>
      <xdr:row>3129</xdr:row>
      <xdr:rowOff>57150</xdr:rowOff>
    </xdr:to>
    <xdr:sp macro="" textlink="">
      <xdr:nvSpPr>
        <xdr:cNvPr id="148" name="Seta: para a Direita 147">
          <a:extLst>
            <a:ext uri="{FF2B5EF4-FFF2-40B4-BE49-F238E27FC236}">
              <a16:creationId xmlns:a16="http://schemas.microsoft.com/office/drawing/2014/main" id="{909DD4E8-C4E3-4473-ABE8-FCA0F28A2081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3084</xdr:row>
      <xdr:rowOff>95250</xdr:rowOff>
    </xdr:from>
    <xdr:ext cx="3550553" cy="942975"/>
    <xdr:pic>
      <xdr:nvPicPr>
        <xdr:cNvPr id="149" name="Imagem 148">
          <a:extLst>
            <a:ext uri="{FF2B5EF4-FFF2-40B4-BE49-F238E27FC236}">
              <a16:creationId xmlns:a16="http://schemas.microsoft.com/office/drawing/2014/main" id="{B840478B-C96D-4FE6-9275-38FA9A2F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3084</xdr:row>
      <xdr:rowOff>95250</xdr:rowOff>
    </xdr:from>
    <xdr:ext cx="3550553" cy="942975"/>
    <xdr:pic>
      <xdr:nvPicPr>
        <xdr:cNvPr id="150" name="Imagem 149">
          <a:extLst>
            <a:ext uri="{FF2B5EF4-FFF2-40B4-BE49-F238E27FC236}">
              <a16:creationId xmlns:a16="http://schemas.microsoft.com/office/drawing/2014/main" id="{6BA7A469-D9BF-4201-95AF-CE9C56EBB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3217</xdr:row>
      <xdr:rowOff>85725</xdr:rowOff>
    </xdr:from>
    <xdr:ext cx="3550553" cy="942975"/>
    <xdr:pic>
      <xdr:nvPicPr>
        <xdr:cNvPr id="151" name="Imagem 150">
          <a:extLst>
            <a:ext uri="{FF2B5EF4-FFF2-40B4-BE49-F238E27FC236}">
              <a16:creationId xmlns:a16="http://schemas.microsoft.com/office/drawing/2014/main" id="{551B55B6-8B95-426E-82D9-17398655C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450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3214</xdr:row>
      <xdr:rowOff>133350</xdr:rowOff>
    </xdr:from>
    <xdr:to>
      <xdr:col>1</xdr:col>
      <xdr:colOff>66674</xdr:colOff>
      <xdr:row>3216</xdr:row>
      <xdr:rowOff>57150</xdr:rowOff>
    </xdr:to>
    <xdr:sp macro="" textlink="">
      <xdr:nvSpPr>
        <xdr:cNvPr id="152" name="Seta: para a Direita 151">
          <a:extLst>
            <a:ext uri="{FF2B5EF4-FFF2-40B4-BE49-F238E27FC236}">
              <a16:creationId xmlns:a16="http://schemas.microsoft.com/office/drawing/2014/main" id="{D80DCD3E-9BF4-4A24-867A-C453272F137D}"/>
            </a:ext>
          </a:extLst>
        </xdr:cNvPr>
        <xdr:cNvSpPr/>
      </xdr:nvSpPr>
      <xdr:spPr bwMode="auto">
        <a:xfrm>
          <a:off x="76199" y="165925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3214</xdr:row>
      <xdr:rowOff>133350</xdr:rowOff>
    </xdr:from>
    <xdr:to>
      <xdr:col>6</xdr:col>
      <xdr:colOff>723899</xdr:colOff>
      <xdr:row>3216</xdr:row>
      <xdr:rowOff>57150</xdr:rowOff>
    </xdr:to>
    <xdr:sp macro="" textlink="">
      <xdr:nvSpPr>
        <xdr:cNvPr id="153" name="Seta: para a Direita 152">
          <a:extLst>
            <a:ext uri="{FF2B5EF4-FFF2-40B4-BE49-F238E27FC236}">
              <a16:creationId xmlns:a16="http://schemas.microsoft.com/office/drawing/2014/main" id="{9E8A55F5-CF19-4AB7-A100-FF36B45271F8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3171</xdr:row>
      <xdr:rowOff>95250</xdr:rowOff>
    </xdr:from>
    <xdr:ext cx="3550553" cy="942975"/>
    <xdr:pic>
      <xdr:nvPicPr>
        <xdr:cNvPr id="154" name="Imagem 153">
          <a:extLst>
            <a:ext uri="{FF2B5EF4-FFF2-40B4-BE49-F238E27FC236}">
              <a16:creationId xmlns:a16="http://schemas.microsoft.com/office/drawing/2014/main" id="{B8C1FD05-426F-4132-994B-9EAF8344B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3171</xdr:row>
      <xdr:rowOff>95250</xdr:rowOff>
    </xdr:from>
    <xdr:ext cx="3550553" cy="942975"/>
    <xdr:pic>
      <xdr:nvPicPr>
        <xdr:cNvPr id="155" name="Imagem 154">
          <a:extLst>
            <a:ext uri="{FF2B5EF4-FFF2-40B4-BE49-F238E27FC236}">
              <a16:creationId xmlns:a16="http://schemas.microsoft.com/office/drawing/2014/main" id="{A1953478-A1DA-41B0-A10D-2A739DB7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3304</xdr:row>
      <xdr:rowOff>85725</xdr:rowOff>
    </xdr:from>
    <xdr:ext cx="3550553" cy="942975"/>
    <xdr:pic>
      <xdr:nvPicPr>
        <xdr:cNvPr id="156" name="Imagem 155">
          <a:extLst>
            <a:ext uri="{FF2B5EF4-FFF2-40B4-BE49-F238E27FC236}">
              <a16:creationId xmlns:a16="http://schemas.microsoft.com/office/drawing/2014/main" id="{9F22170B-A95B-4467-856E-671C41BE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450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3301</xdr:row>
      <xdr:rowOff>133350</xdr:rowOff>
    </xdr:from>
    <xdr:to>
      <xdr:col>1</xdr:col>
      <xdr:colOff>66674</xdr:colOff>
      <xdr:row>3303</xdr:row>
      <xdr:rowOff>57150</xdr:rowOff>
    </xdr:to>
    <xdr:sp macro="" textlink="">
      <xdr:nvSpPr>
        <xdr:cNvPr id="157" name="Seta: para a Direita 156">
          <a:extLst>
            <a:ext uri="{FF2B5EF4-FFF2-40B4-BE49-F238E27FC236}">
              <a16:creationId xmlns:a16="http://schemas.microsoft.com/office/drawing/2014/main" id="{99F5BC4D-5E58-499F-BBC8-455D6FA10A35}"/>
            </a:ext>
          </a:extLst>
        </xdr:cNvPr>
        <xdr:cNvSpPr/>
      </xdr:nvSpPr>
      <xdr:spPr bwMode="auto">
        <a:xfrm>
          <a:off x="76199" y="165925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3301</xdr:row>
      <xdr:rowOff>133350</xdr:rowOff>
    </xdr:from>
    <xdr:to>
      <xdr:col>6</xdr:col>
      <xdr:colOff>723899</xdr:colOff>
      <xdr:row>3303</xdr:row>
      <xdr:rowOff>57150</xdr:rowOff>
    </xdr:to>
    <xdr:sp macro="" textlink="">
      <xdr:nvSpPr>
        <xdr:cNvPr id="158" name="Seta: para a Direita 157">
          <a:extLst>
            <a:ext uri="{FF2B5EF4-FFF2-40B4-BE49-F238E27FC236}">
              <a16:creationId xmlns:a16="http://schemas.microsoft.com/office/drawing/2014/main" id="{DB29B393-E5ED-4448-8C3F-451058500DA1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3258</xdr:row>
      <xdr:rowOff>95250</xdr:rowOff>
    </xdr:from>
    <xdr:ext cx="3550553" cy="942975"/>
    <xdr:pic>
      <xdr:nvPicPr>
        <xdr:cNvPr id="159" name="Imagem 158">
          <a:extLst>
            <a:ext uri="{FF2B5EF4-FFF2-40B4-BE49-F238E27FC236}">
              <a16:creationId xmlns:a16="http://schemas.microsoft.com/office/drawing/2014/main" id="{B618D82B-6919-49A6-8AFB-A418AD244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3258</xdr:row>
      <xdr:rowOff>95250</xdr:rowOff>
    </xdr:from>
    <xdr:ext cx="3550553" cy="942975"/>
    <xdr:pic>
      <xdr:nvPicPr>
        <xdr:cNvPr id="160" name="Imagem 159">
          <a:extLst>
            <a:ext uri="{FF2B5EF4-FFF2-40B4-BE49-F238E27FC236}">
              <a16:creationId xmlns:a16="http://schemas.microsoft.com/office/drawing/2014/main" id="{4F3255A5-C531-4E42-8B64-149018561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743825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3391</xdr:row>
      <xdr:rowOff>85725</xdr:rowOff>
    </xdr:from>
    <xdr:ext cx="3550553" cy="942975"/>
    <xdr:pic>
      <xdr:nvPicPr>
        <xdr:cNvPr id="161" name="Imagem 160">
          <a:extLst>
            <a:ext uri="{FF2B5EF4-FFF2-40B4-BE49-F238E27FC236}">
              <a16:creationId xmlns:a16="http://schemas.microsoft.com/office/drawing/2014/main" id="{59C0B5AC-159B-4D19-8D2A-F0FB39D6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3450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3388</xdr:row>
      <xdr:rowOff>133350</xdr:rowOff>
    </xdr:from>
    <xdr:to>
      <xdr:col>1</xdr:col>
      <xdr:colOff>66674</xdr:colOff>
      <xdr:row>3390</xdr:row>
      <xdr:rowOff>57150</xdr:rowOff>
    </xdr:to>
    <xdr:sp macro="" textlink="">
      <xdr:nvSpPr>
        <xdr:cNvPr id="162" name="Seta: para a Direita 161">
          <a:extLst>
            <a:ext uri="{FF2B5EF4-FFF2-40B4-BE49-F238E27FC236}">
              <a16:creationId xmlns:a16="http://schemas.microsoft.com/office/drawing/2014/main" id="{EEB7F90D-1929-4A08-AAFA-40663AABAE27}"/>
            </a:ext>
          </a:extLst>
        </xdr:cNvPr>
        <xdr:cNvSpPr/>
      </xdr:nvSpPr>
      <xdr:spPr bwMode="auto">
        <a:xfrm>
          <a:off x="76199" y="1679257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3388</xdr:row>
      <xdr:rowOff>133350</xdr:rowOff>
    </xdr:from>
    <xdr:to>
      <xdr:col>6</xdr:col>
      <xdr:colOff>723899</xdr:colOff>
      <xdr:row>3390</xdr:row>
      <xdr:rowOff>57150</xdr:rowOff>
    </xdr:to>
    <xdr:sp macro="" textlink="">
      <xdr:nvSpPr>
        <xdr:cNvPr id="163" name="Seta: para a Direita 162">
          <a:extLst>
            <a:ext uri="{FF2B5EF4-FFF2-40B4-BE49-F238E27FC236}">
              <a16:creationId xmlns:a16="http://schemas.microsoft.com/office/drawing/2014/main" id="{736CC3F4-935D-4F0F-9E59-874FFA4E49C4}"/>
            </a:ext>
          </a:extLst>
        </xdr:cNvPr>
        <xdr:cNvSpPr/>
      </xdr:nvSpPr>
      <xdr:spPr bwMode="auto">
        <a:xfrm rot="10800000">
          <a:off x="4872037" y="16792575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3346</xdr:row>
      <xdr:rowOff>95250</xdr:rowOff>
    </xdr:from>
    <xdr:ext cx="3550553" cy="942975"/>
    <xdr:pic>
      <xdr:nvPicPr>
        <xdr:cNvPr id="164" name="Imagem 163">
          <a:extLst>
            <a:ext uri="{FF2B5EF4-FFF2-40B4-BE49-F238E27FC236}">
              <a16:creationId xmlns:a16="http://schemas.microsoft.com/office/drawing/2014/main" id="{9B7056FE-CE15-4E74-B796-9DF57464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3346</xdr:row>
      <xdr:rowOff>95250</xdr:rowOff>
    </xdr:from>
    <xdr:ext cx="3550553" cy="942975"/>
    <xdr:pic>
      <xdr:nvPicPr>
        <xdr:cNvPr id="165" name="Imagem 164">
          <a:extLst>
            <a:ext uri="{FF2B5EF4-FFF2-40B4-BE49-F238E27FC236}">
              <a16:creationId xmlns:a16="http://schemas.microsoft.com/office/drawing/2014/main" id="{55E7FF8C-7520-414D-828D-5AA3CB158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78</xdr:row>
      <xdr:rowOff>85725</xdr:rowOff>
    </xdr:from>
    <xdr:ext cx="3550553" cy="942975"/>
    <xdr:pic>
      <xdr:nvPicPr>
        <xdr:cNvPr id="2" name="Imagem 1">
          <a:extLst>
            <a:ext uri="{FF2B5EF4-FFF2-40B4-BE49-F238E27FC236}">
              <a16:creationId xmlns:a16="http://schemas.microsoft.com/office/drawing/2014/main" id="{069DBFF8-B7CD-43F8-864D-10B21DF5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68516300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75</xdr:row>
      <xdr:rowOff>133350</xdr:rowOff>
    </xdr:from>
    <xdr:to>
      <xdr:col>1</xdr:col>
      <xdr:colOff>66674</xdr:colOff>
      <xdr:row>77</xdr:row>
      <xdr:rowOff>57150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736777F3-0DBD-483B-8A2D-46C118EFC6EC}"/>
            </a:ext>
          </a:extLst>
        </xdr:cNvPr>
        <xdr:cNvSpPr/>
      </xdr:nvSpPr>
      <xdr:spPr bwMode="auto">
        <a:xfrm>
          <a:off x="76199" y="167963850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75</xdr:row>
      <xdr:rowOff>133350</xdr:rowOff>
    </xdr:from>
    <xdr:to>
      <xdr:col>6</xdr:col>
      <xdr:colOff>723899</xdr:colOff>
      <xdr:row>77</xdr:row>
      <xdr:rowOff>57150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7446A9E7-E973-4BE9-A552-9E51628C78FD}"/>
            </a:ext>
          </a:extLst>
        </xdr:cNvPr>
        <xdr:cNvSpPr/>
      </xdr:nvSpPr>
      <xdr:spPr bwMode="auto">
        <a:xfrm rot="10800000">
          <a:off x="4872037" y="16592550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5" name="Imagem 4">
          <a:extLst>
            <a:ext uri="{FF2B5EF4-FFF2-40B4-BE49-F238E27FC236}">
              <a16:creationId xmlns:a16="http://schemas.microsoft.com/office/drawing/2014/main" id="{13E0810B-6687-4D59-B8B6-00B9F64BA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78</xdr:row>
      <xdr:rowOff>85725</xdr:rowOff>
    </xdr:from>
    <xdr:ext cx="3550553" cy="942975"/>
    <xdr:pic>
      <xdr:nvPicPr>
        <xdr:cNvPr id="2" name="Imagem 1">
          <a:extLst>
            <a:ext uri="{FF2B5EF4-FFF2-40B4-BE49-F238E27FC236}">
              <a16:creationId xmlns:a16="http://schemas.microsoft.com/office/drawing/2014/main" id="{F5B20F22-8B49-4681-9024-B7DE2CD02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99" y="17154525"/>
          <a:ext cx="3550553" cy="942975"/>
        </a:xfrm>
        <a:prstGeom prst="rect">
          <a:avLst/>
        </a:prstGeom>
      </xdr:spPr>
    </xdr:pic>
    <xdr:clientData/>
  </xdr:oneCellAnchor>
  <xdr:twoCellAnchor>
    <xdr:from>
      <xdr:col>0</xdr:col>
      <xdr:colOff>76199</xdr:colOff>
      <xdr:row>75</xdr:row>
      <xdr:rowOff>133350</xdr:rowOff>
    </xdr:from>
    <xdr:to>
      <xdr:col>1</xdr:col>
      <xdr:colOff>66674</xdr:colOff>
      <xdr:row>77</xdr:row>
      <xdr:rowOff>57150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AE73E99-8F41-427C-9DB8-9C4244809E70}"/>
            </a:ext>
          </a:extLst>
        </xdr:cNvPr>
        <xdr:cNvSpPr/>
      </xdr:nvSpPr>
      <xdr:spPr bwMode="auto">
        <a:xfrm>
          <a:off x="76199" y="16602075"/>
          <a:ext cx="600075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157162</xdr:colOff>
      <xdr:row>75</xdr:row>
      <xdr:rowOff>133350</xdr:rowOff>
    </xdr:from>
    <xdr:to>
      <xdr:col>6</xdr:col>
      <xdr:colOff>723899</xdr:colOff>
      <xdr:row>77</xdr:row>
      <xdr:rowOff>57150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83A674E3-F9F3-496B-911E-C2881A40E13B}"/>
            </a:ext>
          </a:extLst>
        </xdr:cNvPr>
        <xdr:cNvSpPr/>
      </xdr:nvSpPr>
      <xdr:spPr bwMode="auto">
        <a:xfrm rot="10800000">
          <a:off x="4872037" y="16602075"/>
          <a:ext cx="566737" cy="323850"/>
        </a:xfrm>
        <a:prstGeom prst="rightArrow">
          <a:avLst/>
        </a:prstGeom>
        <a:solidFill>
          <a:srgbClr val="FFFF00"/>
        </a:solidFill>
        <a:ln>
          <a:headEnd type="none" w="med" len="med"/>
          <a:tailEnd type="none" w="med" len="med"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247650</xdr:colOff>
      <xdr:row>33</xdr:row>
      <xdr:rowOff>95250</xdr:rowOff>
    </xdr:from>
    <xdr:ext cx="3550553" cy="942975"/>
    <xdr:pic>
      <xdr:nvPicPr>
        <xdr:cNvPr id="5" name="Imagem 4">
          <a:extLst>
            <a:ext uri="{FF2B5EF4-FFF2-40B4-BE49-F238E27FC236}">
              <a16:creationId xmlns:a16="http://schemas.microsoft.com/office/drawing/2014/main" id="{067AD73E-6158-4B5E-9D84-3AE3FF5E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7943850"/>
          <a:ext cx="3550553" cy="9429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H\Outr\Condom&#237;nio%20Ne&#225;polis\Planilhas%20mensais\Planilhas%20mensais%20202508%20em%20diante%20RASCUNHO%20EM%20USO.xlsx" TargetMode="External"/><Relationship Id="rId1" Type="http://schemas.openxmlformats.org/officeDocument/2006/relationships/externalLinkPath" Target="Planilhas%20mensais%20202508%20em%20diante%20RASCUNHO%20EM%20U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ENTAÇÕES E CONF."/>
      <sheetName val="MEDIÇÕES E COPASA HISTÓRICO"/>
      <sheetName val="MEDIÇÕES E TABELAS"/>
      <sheetName val="LANÇTºS"/>
      <sheetName val="VRS. DEVIDOS E OUTROS"/>
      <sheetName val="DADOS DO PAGTº"/>
      <sheetName val="PLAN P COND"/>
      <sheetName val="COPIAR PLAN P COND P TO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F5E5-53DD-4E73-9604-6E7B209D8ED5}">
  <dimension ref="A1:I3393"/>
  <sheetViews>
    <sheetView tabSelected="1" view="pageBreakPreview" topLeftCell="A3376" zoomScaleNormal="100" zoomScaleSheetLayoutView="100" workbookViewId="0">
      <selection activeCell="A3398" sqref="A3398"/>
    </sheetView>
  </sheetViews>
  <sheetFormatPr defaultRowHeight="15" x14ac:dyDescent="0.25"/>
  <cols>
    <col min="2" max="2" width="9.28515625" customWidth="1"/>
    <col min="3" max="3" width="24.85546875" customWidth="1"/>
    <col min="7" max="7" width="11.5703125" customWidth="1"/>
  </cols>
  <sheetData>
    <row r="1" spans="1:9" ht="21" x14ac:dyDescent="0.35">
      <c r="A1" s="88" t="s">
        <v>20</v>
      </c>
      <c r="B1" s="89"/>
      <c r="C1" s="89"/>
      <c r="D1" s="89"/>
      <c r="E1" s="89"/>
      <c r="F1" s="89"/>
      <c r="G1" s="90"/>
      <c r="H1" s="56"/>
      <c r="I1" s="56"/>
    </row>
    <row r="3" spans="1:9" ht="17.25" x14ac:dyDescent="0.3">
      <c r="A3" s="51" t="s">
        <v>121</v>
      </c>
      <c r="B3" s="51"/>
      <c r="C3" s="51"/>
      <c r="D3" s="51"/>
      <c r="E3" s="51"/>
      <c r="F3" s="51"/>
      <c r="G3" s="51"/>
      <c r="H3" s="51"/>
      <c r="I3" s="51"/>
    </row>
    <row r="4" spans="1:9" ht="17.25" x14ac:dyDescent="0.3">
      <c r="A4" s="51"/>
      <c r="B4" s="51"/>
      <c r="C4" s="51"/>
      <c r="D4" s="51"/>
      <c r="E4" s="51"/>
      <c r="F4" s="51"/>
      <c r="G4" s="51"/>
      <c r="H4" s="51"/>
      <c r="I4" s="51"/>
    </row>
    <row r="5" spans="1:9" ht="17.25" x14ac:dyDescent="0.3">
      <c r="A5" s="51" t="s">
        <v>122</v>
      </c>
      <c r="B5" s="51"/>
      <c r="C5" s="51"/>
      <c r="D5" s="51"/>
      <c r="E5" s="51"/>
      <c r="F5" s="51"/>
      <c r="G5" s="51"/>
      <c r="H5" s="51"/>
      <c r="I5" s="51"/>
    </row>
    <row r="6" spans="1:9" ht="17.25" x14ac:dyDescent="0.3">
      <c r="A6" s="51"/>
      <c r="B6" s="51"/>
      <c r="C6" s="51"/>
      <c r="D6" s="51"/>
      <c r="E6" s="51"/>
      <c r="F6" s="51"/>
      <c r="G6" s="51"/>
      <c r="H6" s="51"/>
      <c r="I6" s="51"/>
    </row>
    <row r="7" spans="1:9" ht="17.25" x14ac:dyDescent="0.3">
      <c r="A7" s="51" t="s">
        <v>123</v>
      </c>
      <c r="B7" s="51"/>
      <c r="C7" s="51"/>
      <c r="D7" s="51"/>
      <c r="E7" s="51"/>
      <c r="F7" s="51"/>
      <c r="G7" s="51"/>
      <c r="H7" s="51"/>
      <c r="I7" s="51"/>
    </row>
    <row r="8" spans="1:9" ht="17.25" x14ac:dyDescent="0.3">
      <c r="A8" s="51"/>
      <c r="B8" s="51"/>
      <c r="C8" s="51"/>
      <c r="D8" s="51"/>
      <c r="E8" s="51"/>
      <c r="F8" s="51"/>
      <c r="G8" s="51"/>
      <c r="H8" s="51"/>
      <c r="I8" s="51"/>
    </row>
    <row r="9" spans="1:9" ht="17.25" x14ac:dyDescent="0.3">
      <c r="A9" s="51" t="s">
        <v>40</v>
      </c>
      <c r="B9" s="51"/>
      <c r="C9" s="51"/>
      <c r="D9" s="51"/>
      <c r="E9" s="51"/>
      <c r="F9" s="51"/>
      <c r="G9" s="51"/>
      <c r="H9" s="51"/>
      <c r="I9" s="51"/>
    </row>
    <row r="10" spans="1:9" ht="17.25" x14ac:dyDescent="0.3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33" customHeight="1" x14ac:dyDescent="0.3">
      <c r="A11" s="91" t="s">
        <v>124</v>
      </c>
      <c r="B11" s="91"/>
      <c r="C11" s="91"/>
      <c r="D11" s="91"/>
      <c r="E11" s="91"/>
      <c r="F11" s="91"/>
      <c r="G11" s="91"/>
      <c r="H11" s="55"/>
      <c r="I11" s="55"/>
    </row>
    <row r="12" spans="1:9" ht="17.25" x14ac:dyDescent="0.3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33" customHeight="1" x14ac:dyDescent="0.3">
      <c r="A13" s="91" t="s">
        <v>125</v>
      </c>
      <c r="B13" s="91"/>
      <c r="C13" s="91"/>
      <c r="D13" s="91"/>
      <c r="E13" s="91"/>
      <c r="F13" s="91"/>
      <c r="G13" s="91"/>
      <c r="H13" s="55"/>
      <c r="I13" s="55"/>
    </row>
    <row r="14" spans="1:9" ht="17.25" x14ac:dyDescent="0.3">
      <c r="A14" s="51"/>
      <c r="B14" s="51"/>
      <c r="C14" s="51"/>
      <c r="D14" s="51"/>
      <c r="E14" s="51"/>
      <c r="F14" s="51"/>
      <c r="G14" s="51"/>
      <c r="H14" s="51"/>
      <c r="I14" s="51"/>
    </row>
    <row r="15" spans="1:9" ht="33" customHeight="1" x14ac:dyDescent="0.3">
      <c r="A15" s="91" t="s">
        <v>126</v>
      </c>
      <c r="B15" s="91"/>
      <c r="C15" s="91"/>
      <c r="D15" s="91"/>
      <c r="E15" s="91"/>
      <c r="F15" s="91"/>
      <c r="G15" s="91"/>
      <c r="H15" s="55"/>
      <c r="I15" s="55"/>
    </row>
    <row r="17" spans="1:7" ht="18.75" x14ac:dyDescent="0.3">
      <c r="A17" s="1" t="s">
        <v>0</v>
      </c>
      <c r="B17" s="2"/>
      <c r="C17" s="2"/>
      <c r="D17" s="2"/>
      <c r="E17" s="2"/>
      <c r="F17" s="2"/>
      <c r="G17" s="53"/>
    </row>
    <row r="18" spans="1:7" ht="15.75" x14ac:dyDescent="0.25">
      <c r="A18" s="3" t="s">
        <v>1</v>
      </c>
      <c r="B18" s="3" t="s">
        <v>2</v>
      </c>
      <c r="C18" s="4" t="s">
        <v>3</v>
      </c>
      <c r="D18" s="4"/>
      <c r="E18" s="4"/>
      <c r="F18" s="4"/>
      <c r="G18" s="62" t="s">
        <v>30</v>
      </c>
    </row>
    <row r="19" spans="1:7" ht="15.75" x14ac:dyDescent="0.25">
      <c r="A19" s="5">
        <v>44967</v>
      </c>
      <c r="B19" s="6" t="s">
        <v>4</v>
      </c>
      <c r="C19" s="7" t="s">
        <v>5</v>
      </c>
      <c r="D19" s="7"/>
      <c r="E19" s="7"/>
      <c r="F19" s="7"/>
      <c r="G19" s="52">
        <v>1101.4000000000001</v>
      </c>
    </row>
    <row r="20" spans="1:7" ht="15.75" x14ac:dyDescent="0.25">
      <c r="A20" s="5">
        <v>44967</v>
      </c>
      <c r="B20" s="6" t="s">
        <v>4</v>
      </c>
      <c r="C20" s="7" t="s">
        <v>6</v>
      </c>
      <c r="D20" s="7"/>
      <c r="E20" s="7"/>
      <c r="F20" s="7"/>
      <c r="G20" s="52">
        <v>4200</v>
      </c>
    </row>
    <row r="21" spans="1:7" ht="15.75" x14ac:dyDescent="0.25">
      <c r="A21" s="5">
        <v>44972</v>
      </c>
      <c r="B21" s="6" t="s">
        <v>4</v>
      </c>
      <c r="C21" s="7" t="s">
        <v>61</v>
      </c>
      <c r="D21" s="7"/>
      <c r="E21" s="7"/>
      <c r="F21" s="7"/>
      <c r="G21" s="52">
        <v>1045.94</v>
      </c>
    </row>
    <row r="22" spans="1:7" ht="15.75" x14ac:dyDescent="0.25">
      <c r="A22" s="5">
        <v>44972</v>
      </c>
      <c r="B22" s="6" t="s">
        <v>4</v>
      </c>
      <c r="C22" s="7" t="s">
        <v>8</v>
      </c>
      <c r="D22" s="7"/>
      <c r="E22" s="7"/>
      <c r="F22" s="7"/>
      <c r="G22" s="52">
        <v>188.42999999999984</v>
      </c>
    </row>
    <row r="23" spans="1:7" ht="15.75" x14ac:dyDescent="0.25">
      <c r="A23" s="8">
        <v>44974</v>
      </c>
      <c r="B23" s="6" t="s">
        <v>4</v>
      </c>
      <c r="C23" s="7" t="s">
        <v>9</v>
      </c>
      <c r="D23" s="7"/>
      <c r="E23" s="7"/>
      <c r="F23" s="7"/>
      <c r="G23" s="52">
        <v>311.89</v>
      </c>
    </row>
    <row r="24" spans="1:7" ht="15.75" x14ac:dyDescent="0.25">
      <c r="A24" s="8">
        <v>44977</v>
      </c>
      <c r="B24" s="54" t="s">
        <v>4</v>
      </c>
      <c r="C24" s="7" t="s">
        <v>10</v>
      </c>
      <c r="D24" s="7"/>
      <c r="E24" s="7"/>
      <c r="F24" s="7"/>
      <c r="G24" s="52">
        <v>187.13</v>
      </c>
    </row>
    <row r="25" spans="1:7" ht="15.75" x14ac:dyDescent="0.25">
      <c r="A25" s="5">
        <v>44967</v>
      </c>
      <c r="B25" s="6" t="s">
        <v>4</v>
      </c>
      <c r="C25" s="7" t="s">
        <v>11</v>
      </c>
      <c r="D25" s="7"/>
      <c r="E25" s="7"/>
      <c r="F25" s="7"/>
      <c r="G25" s="52">
        <v>50.71</v>
      </c>
    </row>
    <row r="26" spans="1:7" ht="15.75" x14ac:dyDescent="0.25">
      <c r="A26" s="5">
        <v>44951</v>
      </c>
      <c r="B26" s="6" t="s">
        <v>4</v>
      </c>
      <c r="C26" s="7" t="s">
        <v>12</v>
      </c>
      <c r="D26" s="7"/>
      <c r="E26" s="7"/>
      <c r="F26" s="7"/>
      <c r="G26" s="52">
        <v>149.97</v>
      </c>
    </row>
    <row r="27" spans="1:7" ht="15.75" x14ac:dyDescent="0.25">
      <c r="A27" s="8">
        <v>44981</v>
      </c>
      <c r="B27" s="6" t="s">
        <v>4</v>
      </c>
      <c r="C27" s="7" t="s">
        <v>13</v>
      </c>
      <c r="D27" s="7"/>
      <c r="E27" s="7"/>
      <c r="F27" s="7"/>
      <c r="G27" s="52">
        <v>149.97</v>
      </c>
    </row>
    <row r="28" spans="1:7" ht="15.75" x14ac:dyDescent="0.25">
      <c r="A28" s="8">
        <v>44956</v>
      </c>
      <c r="B28" s="6" t="s">
        <v>4</v>
      </c>
      <c r="C28" s="7" t="s">
        <v>14</v>
      </c>
      <c r="D28" s="7"/>
      <c r="E28" s="7"/>
      <c r="F28" s="7"/>
      <c r="G28" s="52">
        <v>130</v>
      </c>
    </row>
    <row r="29" spans="1:7" ht="15.75" x14ac:dyDescent="0.25">
      <c r="A29" s="8">
        <v>44985</v>
      </c>
      <c r="B29" s="6" t="s">
        <v>4</v>
      </c>
      <c r="C29" s="7" t="s">
        <v>14</v>
      </c>
      <c r="D29" s="7"/>
      <c r="E29" s="7"/>
      <c r="F29" s="7"/>
      <c r="G29" s="52">
        <v>130</v>
      </c>
    </row>
    <row r="30" spans="1:7" ht="15.75" x14ac:dyDescent="0.25">
      <c r="A30" s="8">
        <v>44958</v>
      </c>
      <c r="B30" s="6" t="s">
        <v>4</v>
      </c>
      <c r="C30" s="7" t="s">
        <v>15</v>
      </c>
      <c r="D30" s="7"/>
      <c r="E30" s="7"/>
      <c r="F30" s="7"/>
      <c r="G30" s="52">
        <v>60</v>
      </c>
    </row>
    <row r="31" spans="1:7" ht="21" x14ac:dyDescent="0.35">
      <c r="A31" s="9" t="s">
        <v>16</v>
      </c>
      <c r="B31" s="10"/>
      <c r="C31" s="11"/>
      <c r="D31" s="11"/>
      <c r="E31" s="11"/>
      <c r="F31" s="11"/>
      <c r="G31" s="12">
        <f>SUM(G19:G30)</f>
        <v>7705.4400000000014</v>
      </c>
    </row>
    <row r="32" spans="1:7" ht="21" x14ac:dyDescent="0.35">
      <c r="A32" s="13" t="s">
        <v>17</v>
      </c>
      <c r="B32" s="11"/>
      <c r="C32" s="11"/>
      <c r="D32" s="11"/>
      <c r="E32" s="11"/>
      <c r="F32" s="11"/>
      <c r="G32" s="14">
        <f>ROUND(G31/14,2)</f>
        <v>550.39</v>
      </c>
    </row>
    <row r="33" spans="1:7" ht="21" x14ac:dyDescent="0.35">
      <c r="A33" s="13" t="s">
        <v>18</v>
      </c>
      <c r="B33" s="11"/>
      <c r="C33" s="11"/>
      <c r="D33" s="11"/>
      <c r="E33" s="11"/>
      <c r="F33" s="11"/>
      <c r="G33" s="14">
        <f>ROUND(G32/14,2)</f>
        <v>39.31</v>
      </c>
    </row>
    <row r="34" spans="1:7" ht="21" x14ac:dyDescent="0.35">
      <c r="A34" s="13" t="s">
        <v>19</v>
      </c>
      <c r="B34" s="11"/>
      <c r="C34" s="11"/>
      <c r="D34" s="11"/>
      <c r="E34" s="11"/>
      <c r="F34" s="11"/>
      <c r="G34" s="12">
        <f>G32+G33</f>
        <v>589.70000000000005</v>
      </c>
    </row>
    <row r="43" spans="1:7" ht="21" x14ac:dyDescent="0.35">
      <c r="A43" s="88" t="s">
        <v>20</v>
      </c>
      <c r="B43" s="89"/>
      <c r="C43" s="89"/>
      <c r="D43" s="89"/>
      <c r="E43" s="89"/>
      <c r="F43" s="89"/>
      <c r="G43" s="90"/>
    </row>
    <row r="46" spans="1:7" ht="18.75" x14ac:dyDescent="0.25">
      <c r="A46" s="19" t="s">
        <v>21</v>
      </c>
      <c r="B46" s="15"/>
      <c r="C46" s="15"/>
      <c r="D46" s="15"/>
      <c r="E46" s="15"/>
      <c r="F46" s="15"/>
      <c r="G46" s="16"/>
    </row>
    <row r="47" spans="1:7" ht="15.75" x14ac:dyDescent="0.25">
      <c r="A47" s="17"/>
      <c r="B47" s="18"/>
      <c r="C47" s="18"/>
      <c r="D47" s="18"/>
      <c r="E47" s="18"/>
      <c r="F47" s="18"/>
      <c r="G47" s="18"/>
    </row>
    <row r="48" spans="1:7" ht="15.75" x14ac:dyDescent="0.25">
      <c r="A48" s="17"/>
      <c r="B48" s="18"/>
      <c r="C48" s="18"/>
      <c r="D48" s="18"/>
      <c r="E48" s="18"/>
      <c r="F48" s="18"/>
      <c r="G48" s="18"/>
    </row>
    <row r="49" spans="1:7" ht="15.75" x14ac:dyDescent="0.25">
      <c r="A49" s="20" t="s">
        <v>22</v>
      </c>
      <c r="B49" s="21" t="s">
        <v>23</v>
      </c>
      <c r="C49" s="22"/>
      <c r="D49" s="21" t="s">
        <v>24</v>
      </c>
      <c r="E49" s="22"/>
      <c r="F49" s="59" t="s">
        <v>25</v>
      </c>
      <c r="G49" s="60" t="s">
        <v>26</v>
      </c>
    </row>
    <row r="50" spans="1:7" ht="15.75" x14ac:dyDescent="0.25">
      <c r="A50" s="23" t="s">
        <v>27</v>
      </c>
      <c r="B50" s="24" t="s">
        <v>28</v>
      </c>
      <c r="C50" s="24" t="s">
        <v>29</v>
      </c>
      <c r="D50" s="24" t="s">
        <v>28</v>
      </c>
      <c r="E50" s="24" t="s">
        <v>30</v>
      </c>
      <c r="F50" s="58" t="s">
        <v>31</v>
      </c>
      <c r="G50" s="61" t="s">
        <v>31</v>
      </c>
    </row>
    <row r="51" spans="1:7" ht="15.75" x14ac:dyDescent="0.25">
      <c r="A51" s="25" t="s">
        <v>32</v>
      </c>
      <c r="B51" s="26">
        <v>21.234199999999987</v>
      </c>
      <c r="C51" s="27">
        <v>188.42999999999984</v>
      </c>
      <c r="D51" s="28">
        <v>0</v>
      </c>
      <c r="E51" s="27">
        <v>0</v>
      </c>
      <c r="F51" s="29">
        <v>0</v>
      </c>
      <c r="G51" s="27">
        <v>0</v>
      </c>
    </row>
    <row r="52" spans="1:7" ht="15.75" x14ac:dyDescent="0.25">
      <c r="A52" s="30">
        <v>201</v>
      </c>
      <c r="B52" s="26">
        <v>20.940999999999999</v>
      </c>
      <c r="C52" s="27">
        <v>187.46</v>
      </c>
      <c r="D52" s="31">
        <v>0.61399999999999999</v>
      </c>
      <c r="E52" s="27">
        <v>20.45</v>
      </c>
      <c r="F52" s="27">
        <v>589.70204081632664</v>
      </c>
      <c r="G52" s="27">
        <v>798</v>
      </c>
    </row>
    <row r="53" spans="1:7" ht="15.75" x14ac:dyDescent="0.25">
      <c r="A53" s="30">
        <v>202</v>
      </c>
      <c r="B53" s="26">
        <v>33.802</v>
      </c>
      <c r="C53" s="27">
        <v>262.7</v>
      </c>
      <c r="D53" s="28">
        <v>3.9580000000000002</v>
      </c>
      <c r="E53" s="27">
        <v>131.80000000000001</v>
      </c>
      <c r="F53" s="27">
        <v>589.70204081632664</v>
      </c>
      <c r="G53" s="27">
        <v>985</v>
      </c>
    </row>
    <row r="54" spans="1:7" ht="15.75" x14ac:dyDescent="0.25">
      <c r="A54" s="30">
        <v>301</v>
      </c>
      <c r="B54" s="26">
        <v>20.474</v>
      </c>
      <c r="C54" s="27">
        <v>184.73</v>
      </c>
      <c r="D54" s="28">
        <v>4.4089999999999998</v>
      </c>
      <c r="E54" s="27">
        <v>146.82</v>
      </c>
      <c r="F54" s="27">
        <v>589.70204081632664</v>
      </c>
      <c r="G54" s="27">
        <v>922</v>
      </c>
    </row>
    <row r="55" spans="1:7" ht="15.75" x14ac:dyDescent="0.25">
      <c r="A55" s="30">
        <v>302</v>
      </c>
      <c r="B55" s="26">
        <v>10.922000000000025</v>
      </c>
      <c r="C55" s="27">
        <v>128.85</v>
      </c>
      <c r="D55" s="28">
        <v>1.5229999999999999</v>
      </c>
      <c r="E55" s="27">
        <v>50.72</v>
      </c>
      <c r="F55" s="27">
        <v>589.70204081632664</v>
      </c>
      <c r="G55" s="27">
        <v>770</v>
      </c>
    </row>
    <row r="56" spans="1:7" ht="15.75" x14ac:dyDescent="0.25">
      <c r="A56" s="30">
        <v>401</v>
      </c>
      <c r="B56" s="26">
        <v>20.682000000000016</v>
      </c>
      <c r="C56" s="27">
        <v>185.94</v>
      </c>
      <c r="D56" s="28">
        <v>1.964</v>
      </c>
      <c r="E56" s="27">
        <v>65.400000000000006</v>
      </c>
      <c r="F56" s="27">
        <v>589.70204081632664</v>
      </c>
      <c r="G56" s="27">
        <v>842</v>
      </c>
    </row>
    <row r="57" spans="1:7" ht="15.75" x14ac:dyDescent="0.25">
      <c r="A57" s="30">
        <v>402</v>
      </c>
      <c r="B57" s="26">
        <v>23.3429</v>
      </c>
      <c r="C57" s="27">
        <v>201.51</v>
      </c>
      <c r="D57" s="28">
        <v>4.8979999999999997</v>
      </c>
      <c r="E57" s="27">
        <v>163.1</v>
      </c>
      <c r="F57" s="27">
        <v>589.70204081632664</v>
      </c>
      <c r="G57" s="27">
        <v>955</v>
      </c>
    </row>
    <row r="58" spans="1:7" ht="15.75" x14ac:dyDescent="0.25">
      <c r="A58" s="30">
        <v>501</v>
      </c>
      <c r="B58" s="26">
        <v>11.016999999999999</v>
      </c>
      <c r="C58" s="27">
        <v>129.4</v>
      </c>
      <c r="D58" s="28">
        <v>0.746</v>
      </c>
      <c r="E58" s="27">
        <v>24.84</v>
      </c>
      <c r="F58" s="27">
        <v>589.70204081632664</v>
      </c>
      <c r="G58" s="27">
        <v>744</v>
      </c>
    </row>
    <row r="59" spans="1:7" ht="15.75" x14ac:dyDescent="0.25">
      <c r="A59" s="30">
        <v>502</v>
      </c>
      <c r="B59" s="26">
        <v>13.115999999999985</v>
      </c>
      <c r="C59" s="27">
        <v>141.68</v>
      </c>
      <c r="D59" s="28">
        <v>1.444</v>
      </c>
      <c r="E59" s="27">
        <v>48.09</v>
      </c>
      <c r="F59" s="27">
        <v>589.70204081632664</v>
      </c>
      <c r="G59" s="27">
        <v>780</v>
      </c>
    </row>
    <row r="60" spans="1:7" ht="15.75" x14ac:dyDescent="0.25">
      <c r="A60" s="30">
        <v>601</v>
      </c>
      <c r="B60" s="26">
        <v>4.9259000000000004</v>
      </c>
      <c r="C60" s="27">
        <v>93.77</v>
      </c>
      <c r="D60" s="28">
        <v>0.13600000000000001</v>
      </c>
      <c r="E60" s="27">
        <v>4.53</v>
      </c>
      <c r="F60" s="27">
        <v>589.70204081632664</v>
      </c>
      <c r="G60" s="27">
        <v>689</v>
      </c>
    </row>
    <row r="61" spans="1:7" ht="15.75" x14ac:dyDescent="0.25">
      <c r="A61" s="30">
        <v>602</v>
      </c>
      <c r="B61" s="26">
        <v>4.3499999999999996</v>
      </c>
      <c r="C61" s="27">
        <v>90.4</v>
      </c>
      <c r="D61" s="28">
        <v>2.226</v>
      </c>
      <c r="E61" s="27">
        <v>74.13</v>
      </c>
      <c r="F61" s="27">
        <v>589.70204081632664</v>
      </c>
      <c r="G61" s="27">
        <v>755</v>
      </c>
    </row>
    <row r="62" spans="1:7" ht="15.75" x14ac:dyDescent="0.25">
      <c r="A62" s="30">
        <v>701</v>
      </c>
      <c r="B62" s="26">
        <v>9.3290000000000006</v>
      </c>
      <c r="C62" s="27">
        <v>119.53</v>
      </c>
      <c r="D62" s="28">
        <v>0.75</v>
      </c>
      <c r="E62" s="27">
        <v>24.98</v>
      </c>
      <c r="F62" s="27">
        <v>589.70204081632664</v>
      </c>
      <c r="G62" s="27">
        <v>735</v>
      </c>
    </row>
    <row r="63" spans="1:7" ht="15.75" x14ac:dyDescent="0.25">
      <c r="A63" s="30">
        <v>702</v>
      </c>
      <c r="B63" s="26">
        <v>4.867</v>
      </c>
      <c r="C63" s="27">
        <v>93.43</v>
      </c>
      <c r="D63" s="28">
        <v>1.9450000000000001</v>
      </c>
      <c r="E63" s="27">
        <v>64.77</v>
      </c>
      <c r="F63" s="27">
        <v>589.70204081632664</v>
      </c>
      <c r="G63" s="27">
        <v>748</v>
      </c>
    </row>
    <row r="64" spans="1:7" ht="15.75" x14ac:dyDescent="0.25">
      <c r="A64" s="30">
        <v>801</v>
      </c>
      <c r="B64" s="26">
        <v>6.9450000000000003</v>
      </c>
      <c r="C64" s="27">
        <v>105.58</v>
      </c>
      <c r="D64" s="28">
        <v>1.046</v>
      </c>
      <c r="E64" s="27">
        <v>34.83</v>
      </c>
      <c r="F64" s="27">
        <v>589.70204081632664</v>
      </c>
      <c r="G64" s="27">
        <v>731</v>
      </c>
    </row>
    <row r="65" spans="1:7" ht="15.75" x14ac:dyDescent="0.25">
      <c r="A65" s="30">
        <v>802</v>
      </c>
      <c r="B65" s="26">
        <v>20.052</v>
      </c>
      <c r="C65" s="27">
        <v>182.26</v>
      </c>
      <c r="D65" s="28">
        <v>2.8239999999999998</v>
      </c>
      <c r="E65" s="27">
        <v>94.04</v>
      </c>
      <c r="F65" s="27">
        <v>589.70204081632664</v>
      </c>
      <c r="G65" s="27">
        <v>867</v>
      </c>
    </row>
    <row r="67" spans="1:7" x14ac:dyDescent="0.25">
      <c r="A67" s="32"/>
      <c r="B67" s="7"/>
      <c r="C67" s="7"/>
      <c r="D67" s="7"/>
      <c r="E67" s="7"/>
      <c r="F67" s="7"/>
      <c r="G67" s="33"/>
    </row>
    <row r="68" spans="1:7" x14ac:dyDescent="0.25">
      <c r="A68" s="32"/>
      <c r="B68" s="7"/>
      <c r="C68" s="7"/>
      <c r="D68" s="7"/>
      <c r="E68" s="7"/>
      <c r="F68" s="7"/>
      <c r="G68" s="33"/>
    </row>
    <row r="69" spans="1:7" x14ac:dyDescent="0.25">
      <c r="A69" s="32"/>
      <c r="B69" s="7"/>
      <c r="C69" s="7"/>
      <c r="D69" s="7"/>
      <c r="E69" s="7"/>
      <c r="F69" s="7"/>
      <c r="G69" s="33"/>
    </row>
    <row r="71" spans="1:7" ht="15.75" x14ac:dyDescent="0.25">
      <c r="A71" s="34" t="s">
        <v>33</v>
      </c>
      <c r="B71" s="35"/>
      <c r="C71" s="35"/>
      <c r="D71" s="35"/>
      <c r="E71" s="35"/>
      <c r="F71" s="36"/>
      <c r="G71" s="57">
        <v>19406.919999999998</v>
      </c>
    </row>
    <row r="72" spans="1:7" ht="15.75" x14ac:dyDescent="0.25">
      <c r="A72" s="37" t="s">
        <v>34</v>
      </c>
      <c r="B72" s="38"/>
      <c r="C72" s="38"/>
      <c r="D72" s="38"/>
      <c r="E72" s="38"/>
      <c r="F72" s="39"/>
      <c r="G72" s="57">
        <v>4200</v>
      </c>
    </row>
    <row r="73" spans="1:7" ht="15.75" x14ac:dyDescent="0.25">
      <c r="A73" s="34" t="s">
        <v>35</v>
      </c>
      <c r="B73" s="35"/>
      <c r="C73" s="35"/>
      <c r="D73" s="35"/>
      <c r="E73" s="35"/>
      <c r="F73" s="36"/>
      <c r="G73" s="57">
        <f>G71+G72</f>
        <v>23606.92</v>
      </c>
    </row>
    <row r="74" spans="1:7" ht="18.75" x14ac:dyDescent="0.3">
      <c r="A74" s="40"/>
      <c r="B74" s="40"/>
      <c r="C74" s="40"/>
      <c r="D74" s="40"/>
      <c r="E74" s="40"/>
      <c r="F74" s="40"/>
      <c r="G74" s="40"/>
    </row>
    <row r="75" spans="1:7" ht="31.5" customHeight="1" x14ac:dyDescent="0.25">
      <c r="A75" s="85" t="s">
        <v>54</v>
      </c>
      <c r="B75" s="86"/>
      <c r="C75" s="86"/>
      <c r="D75" s="86"/>
      <c r="E75" s="86"/>
      <c r="F75" s="86"/>
      <c r="G75" s="87"/>
    </row>
    <row r="76" spans="1:7" ht="15.75" x14ac:dyDescent="0.25">
      <c r="A76" s="41" t="s">
        <v>36</v>
      </c>
      <c r="B76" s="42"/>
      <c r="C76" s="42"/>
      <c r="D76" s="42"/>
      <c r="E76" s="42"/>
      <c r="F76" s="42"/>
      <c r="G76" s="43"/>
    </row>
    <row r="77" spans="1:7" ht="15.75" x14ac:dyDescent="0.25">
      <c r="A77" s="44" t="s">
        <v>37</v>
      </c>
      <c r="B77" s="45"/>
      <c r="C77" s="45"/>
      <c r="D77" s="45"/>
      <c r="E77" s="45"/>
      <c r="F77" s="45"/>
      <c r="G77" s="46"/>
    </row>
    <row r="78" spans="1:7" ht="15.75" x14ac:dyDescent="0.25">
      <c r="A78" s="47"/>
      <c r="B78" s="47"/>
      <c r="C78" s="47"/>
      <c r="D78" s="47"/>
      <c r="E78" s="47"/>
      <c r="F78" s="47"/>
      <c r="G78" s="47"/>
    </row>
    <row r="79" spans="1:7" ht="15.75" x14ac:dyDescent="0.25">
      <c r="A79" s="48" t="s">
        <v>50</v>
      </c>
      <c r="B79" s="49"/>
      <c r="C79" s="49"/>
      <c r="D79" s="49"/>
      <c r="E79" s="49"/>
      <c r="F79" s="49"/>
      <c r="G79" s="50"/>
    </row>
    <row r="80" spans="1:7" ht="15.75" x14ac:dyDescent="0.25">
      <c r="A80" s="47"/>
      <c r="B80" s="47"/>
      <c r="C80" s="47"/>
      <c r="D80" s="47"/>
      <c r="E80" s="47"/>
      <c r="F80" s="47"/>
      <c r="G80" s="47"/>
    </row>
    <row r="81" spans="1:9" ht="15.75" x14ac:dyDescent="0.25">
      <c r="A81" s="47"/>
      <c r="B81" s="47"/>
      <c r="C81" s="47"/>
      <c r="D81" s="47"/>
      <c r="E81" s="47"/>
      <c r="F81" s="47"/>
      <c r="G81" s="47"/>
    </row>
    <row r="82" spans="1:9" ht="15.75" x14ac:dyDescent="0.25">
      <c r="A82" s="47"/>
      <c r="B82" s="47"/>
      <c r="C82" s="47"/>
      <c r="D82" s="47"/>
      <c r="E82" s="47"/>
      <c r="F82" s="47"/>
      <c r="G82" s="47"/>
    </row>
    <row r="89" spans="1:9" ht="21" x14ac:dyDescent="0.35">
      <c r="A89" s="88" t="s">
        <v>20</v>
      </c>
      <c r="B89" s="89"/>
      <c r="C89" s="89"/>
      <c r="D89" s="89"/>
      <c r="E89" s="89"/>
      <c r="F89" s="89"/>
      <c r="G89" s="90"/>
      <c r="H89" s="56"/>
      <c r="I89" s="56"/>
    </row>
    <row r="92" spans="1:9" ht="17.25" x14ac:dyDescent="0.3">
      <c r="A92" s="51" t="s">
        <v>38</v>
      </c>
      <c r="B92" s="51"/>
      <c r="C92" s="51"/>
      <c r="D92" s="51"/>
      <c r="E92" s="51"/>
      <c r="F92" s="51"/>
      <c r="G92" s="51"/>
      <c r="H92" s="51"/>
      <c r="I92" s="51"/>
    </row>
    <row r="93" spans="1:9" ht="17.25" x14ac:dyDescent="0.3">
      <c r="A93" s="51"/>
      <c r="B93" s="51"/>
      <c r="C93" s="51"/>
      <c r="D93" s="51"/>
      <c r="E93" s="51"/>
      <c r="F93" s="51"/>
      <c r="G93" s="51"/>
      <c r="H93" s="51"/>
      <c r="I93" s="51"/>
    </row>
    <row r="94" spans="1:9" ht="17.25" x14ac:dyDescent="0.3">
      <c r="A94" s="51" t="s">
        <v>41</v>
      </c>
      <c r="B94" s="51"/>
      <c r="C94" s="51"/>
      <c r="D94" s="51"/>
      <c r="E94" s="51"/>
      <c r="F94" s="51"/>
      <c r="G94" s="51"/>
      <c r="H94" s="51"/>
      <c r="I94" s="51"/>
    </row>
    <row r="95" spans="1:9" ht="17.25" x14ac:dyDescent="0.3">
      <c r="A95" s="51"/>
      <c r="B95" s="51"/>
      <c r="C95" s="51"/>
      <c r="D95" s="51"/>
      <c r="E95" s="51"/>
      <c r="F95" s="51"/>
      <c r="G95" s="51"/>
      <c r="H95" s="51"/>
      <c r="I95" s="51"/>
    </row>
    <row r="96" spans="1:9" ht="17.25" x14ac:dyDescent="0.3">
      <c r="A96" s="51"/>
      <c r="B96" s="51"/>
      <c r="C96" s="51"/>
      <c r="D96" s="51"/>
      <c r="E96" s="51"/>
      <c r="F96" s="51"/>
      <c r="G96" s="51"/>
      <c r="H96" s="51"/>
      <c r="I96" s="51"/>
    </row>
    <row r="97" spans="1:9" ht="17.25" x14ac:dyDescent="0.3">
      <c r="A97" s="51" t="s">
        <v>39</v>
      </c>
      <c r="B97" s="51"/>
      <c r="C97" s="51"/>
      <c r="D97" s="51"/>
      <c r="E97" s="51"/>
      <c r="F97" s="51"/>
      <c r="G97" s="51"/>
      <c r="H97" s="51"/>
      <c r="I97" s="51"/>
    </row>
    <row r="98" spans="1:9" ht="17.25" x14ac:dyDescent="0.3">
      <c r="A98" s="51"/>
      <c r="B98" s="51"/>
      <c r="C98" s="51"/>
      <c r="D98" s="51"/>
      <c r="E98" s="51"/>
      <c r="F98" s="51"/>
      <c r="G98" s="51"/>
      <c r="H98" s="51"/>
      <c r="I98" s="51"/>
    </row>
    <row r="99" spans="1:9" ht="17.25" x14ac:dyDescent="0.3">
      <c r="A99" s="51" t="s">
        <v>40</v>
      </c>
      <c r="B99" s="51"/>
      <c r="C99" s="51"/>
      <c r="D99" s="51"/>
      <c r="E99" s="51"/>
      <c r="F99" s="51"/>
      <c r="G99" s="51"/>
      <c r="H99" s="51"/>
      <c r="I99" s="51"/>
    </row>
    <row r="100" spans="1:9" ht="17.25" x14ac:dyDescent="0.3">
      <c r="A100" s="51"/>
      <c r="B100" s="51"/>
      <c r="C100" s="51"/>
      <c r="D100" s="51"/>
      <c r="E100" s="51"/>
      <c r="F100" s="51"/>
      <c r="G100" s="51"/>
      <c r="H100" s="51"/>
      <c r="I100" s="51"/>
    </row>
    <row r="101" spans="1:9" ht="33" customHeight="1" x14ac:dyDescent="0.3">
      <c r="A101" s="91" t="s">
        <v>42</v>
      </c>
      <c r="B101" s="91"/>
      <c r="C101" s="91"/>
      <c r="D101" s="91"/>
      <c r="E101" s="91"/>
      <c r="F101" s="91"/>
      <c r="G101" s="91"/>
      <c r="H101" s="55"/>
      <c r="I101" s="55"/>
    </row>
    <row r="102" spans="1:9" ht="17.25" x14ac:dyDescent="0.3">
      <c r="A102" s="51"/>
      <c r="B102" s="51"/>
      <c r="C102" s="51"/>
      <c r="D102" s="51"/>
      <c r="E102" s="51"/>
      <c r="F102" s="51"/>
      <c r="G102" s="51"/>
      <c r="H102" s="51"/>
      <c r="I102" s="51"/>
    </row>
    <row r="103" spans="1:9" ht="33" customHeight="1" x14ac:dyDescent="0.3">
      <c r="A103" s="91" t="s">
        <v>43</v>
      </c>
      <c r="B103" s="91"/>
      <c r="C103" s="91"/>
      <c r="D103" s="91"/>
      <c r="E103" s="91"/>
      <c r="F103" s="91"/>
      <c r="G103" s="91"/>
      <c r="H103" s="55"/>
      <c r="I103" s="55"/>
    </row>
    <row r="104" spans="1:9" ht="17.25" x14ac:dyDescent="0.3">
      <c r="A104" s="51"/>
      <c r="B104" s="51"/>
      <c r="C104" s="51"/>
      <c r="D104" s="51"/>
      <c r="E104" s="51"/>
      <c r="F104" s="51"/>
      <c r="G104" s="51"/>
      <c r="H104" s="51"/>
      <c r="I104" s="51"/>
    </row>
    <row r="105" spans="1:9" ht="33" customHeight="1" x14ac:dyDescent="0.3">
      <c r="A105" s="91" t="s">
        <v>44</v>
      </c>
      <c r="B105" s="91"/>
      <c r="C105" s="91"/>
      <c r="D105" s="91"/>
      <c r="E105" s="91"/>
      <c r="F105" s="91"/>
      <c r="G105" s="91"/>
      <c r="H105" s="55"/>
      <c r="I105" s="55"/>
    </row>
    <row r="107" spans="1:9" ht="18.75" x14ac:dyDescent="0.3">
      <c r="A107" s="1" t="s">
        <v>45</v>
      </c>
      <c r="B107" s="2"/>
      <c r="C107" s="2"/>
      <c r="D107" s="2"/>
      <c r="E107" s="2"/>
      <c r="F107" s="2"/>
      <c r="G107" s="53"/>
    </row>
    <row r="108" spans="1:9" ht="15.75" x14ac:dyDescent="0.25">
      <c r="A108" s="3" t="s">
        <v>1</v>
      </c>
      <c r="B108" s="3" t="s">
        <v>2</v>
      </c>
      <c r="C108" s="4" t="s">
        <v>3</v>
      </c>
      <c r="D108" s="4"/>
      <c r="E108" s="4"/>
      <c r="F108" s="4"/>
      <c r="G108" s="62" t="s">
        <v>30</v>
      </c>
    </row>
    <row r="109" spans="1:9" ht="15.75" x14ac:dyDescent="0.25">
      <c r="A109" s="5">
        <v>44995</v>
      </c>
      <c r="B109" s="6" t="s">
        <v>4</v>
      </c>
      <c r="C109" s="7" t="s">
        <v>5</v>
      </c>
      <c r="D109" s="7"/>
      <c r="E109" s="7"/>
      <c r="F109" s="7"/>
      <c r="G109" s="52">
        <v>1172.99</v>
      </c>
    </row>
    <row r="110" spans="1:9" ht="15.75" x14ac:dyDescent="0.25">
      <c r="A110" s="8">
        <v>44995</v>
      </c>
      <c r="B110" s="6" t="s">
        <v>4</v>
      </c>
      <c r="C110" s="7" t="s">
        <v>6</v>
      </c>
      <c r="D110" s="7"/>
      <c r="E110" s="7"/>
      <c r="F110" s="7"/>
      <c r="G110" s="52">
        <v>4200</v>
      </c>
    </row>
    <row r="111" spans="1:9" ht="15.75" x14ac:dyDescent="0.25">
      <c r="A111" s="8">
        <v>44967</v>
      </c>
      <c r="B111" s="54" t="s">
        <v>4</v>
      </c>
      <c r="C111" s="7" t="s">
        <v>46</v>
      </c>
      <c r="D111" s="7"/>
      <c r="E111" s="7"/>
      <c r="F111" s="7"/>
      <c r="G111" s="52">
        <v>9</v>
      </c>
    </row>
    <row r="112" spans="1:9" ht="15.75" x14ac:dyDescent="0.25">
      <c r="A112" s="5">
        <v>45000</v>
      </c>
      <c r="B112" s="6" t="s">
        <v>4</v>
      </c>
      <c r="C112" s="7" t="s">
        <v>7</v>
      </c>
      <c r="D112" s="7"/>
      <c r="E112" s="7"/>
      <c r="F112" s="7"/>
      <c r="G112" s="52">
        <v>1045.94</v>
      </c>
    </row>
    <row r="113" spans="1:7" ht="15.75" x14ac:dyDescent="0.25">
      <c r="A113" s="8">
        <v>45000</v>
      </c>
      <c r="B113" s="6" t="s">
        <v>4</v>
      </c>
      <c r="C113" s="7" t="s">
        <v>8</v>
      </c>
      <c r="D113" s="7"/>
      <c r="E113" s="7"/>
      <c r="F113" s="7"/>
      <c r="G113" s="52">
        <v>132.55000000000018</v>
      </c>
    </row>
    <row r="114" spans="1:7" ht="15.75" x14ac:dyDescent="0.25">
      <c r="A114" s="8">
        <v>45002</v>
      </c>
      <c r="B114" s="6" t="s">
        <v>4</v>
      </c>
      <c r="C114" s="7" t="s">
        <v>9</v>
      </c>
      <c r="D114" s="7"/>
      <c r="E114" s="7"/>
      <c r="F114" s="7"/>
      <c r="G114" s="52">
        <v>301.7</v>
      </c>
    </row>
    <row r="115" spans="1:7" ht="15.75" x14ac:dyDescent="0.25">
      <c r="A115" s="8">
        <v>45005</v>
      </c>
      <c r="B115" s="6" t="s">
        <v>4</v>
      </c>
      <c r="C115" s="32" t="s">
        <v>47</v>
      </c>
      <c r="D115" s="7"/>
      <c r="E115" s="7"/>
      <c r="F115" s="7"/>
      <c r="G115" s="52">
        <v>195.98</v>
      </c>
    </row>
    <row r="116" spans="1:7" ht="15.75" x14ac:dyDescent="0.25">
      <c r="A116" s="8">
        <v>45010</v>
      </c>
      <c r="B116" s="6" t="s">
        <v>4</v>
      </c>
      <c r="C116" s="7" t="s">
        <v>48</v>
      </c>
      <c r="D116" s="7"/>
      <c r="E116" s="7"/>
      <c r="F116" s="7"/>
      <c r="G116" s="52">
        <v>149.97</v>
      </c>
    </row>
    <row r="117" spans="1:7" ht="15.75" x14ac:dyDescent="0.25">
      <c r="A117" s="8">
        <v>45013</v>
      </c>
      <c r="B117" s="6" t="s">
        <v>4</v>
      </c>
      <c r="C117" s="7" t="s">
        <v>14</v>
      </c>
      <c r="D117" s="7"/>
      <c r="E117" s="7"/>
      <c r="F117" s="7"/>
      <c r="G117" s="52">
        <v>130</v>
      </c>
    </row>
    <row r="118" spans="1:7" ht="15.75" x14ac:dyDescent="0.25">
      <c r="A118" s="8">
        <v>44986</v>
      </c>
      <c r="B118" s="6" t="s">
        <v>4</v>
      </c>
      <c r="C118" s="7" t="s">
        <v>15</v>
      </c>
      <c r="D118" s="7"/>
      <c r="E118" s="7"/>
      <c r="F118" s="7"/>
      <c r="G118" s="52">
        <v>60</v>
      </c>
    </row>
    <row r="119" spans="1:7" ht="21" x14ac:dyDescent="0.35">
      <c r="A119" s="9" t="s">
        <v>16</v>
      </c>
      <c r="B119" s="10"/>
      <c r="C119" s="11"/>
      <c r="D119" s="11"/>
      <c r="E119" s="11"/>
      <c r="F119" s="11"/>
      <c r="G119" s="12">
        <f>SUM(G109:G118)</f>
        <v>7398.13</v>
      </c>
    </row>
    <row r="120" spans="1:7" ht="21" x14ac:dyDescent="0.35">
      <c r="A120" s="13" t="s">
        <v>17</v>
      </c>
      <c r="B120" s="11"/>
      <c r="C120" s="11"/>
      <c r="D120" s="11"/>
      <c r="E120" s="11"/>
      <c r="F120" s="11"/>
      <c r="G120" s="14">
        <f>ROUND(G119/14,2)</f>
        <v>528.44000000000005</v>
      </c>
    </row>
    <row r="121" spans="1:7" ht="21" x14ac:dyDescent="0.35">
      <c r="A121" s="13" t="s">
        <v>18</v>
      </c>
      <c r="B121" s="11"/>
      <c r="C121" s="11"/>
      <c r="D121" s="11"/>
      <c r="E121" s="11"/>
      <c r="F121" s="11"/>
      <c r="G121" s="14">
        <f>ROUND(G120/14,2)</f>
        <v>37.75</v>
      </c>
    </row>
    <row r="122" spans="1:7" ht="21" x14ac:dyDescent="0.35">
      <c r="A122" s="13" t="s">
        <v>19</v>
      </c>
      <c r="B122" s="11"/>
      <c r="C122" s="11"/>
      <c r="D122" s="11"/>
      <c r="E122" s="11"/>
      <c r="F122" s="11"/>
      <c r="G122" s="12">
        <f>G120+G121</f>
        <v>566.19000000000005</v>
      </c>
    </row>
    <row r="131" spans="1:7" ht="21" x14ac:dyDescent="0.35">
      <c r="A131" s="88" t="s">
        <v>20</v>
      </c>
      <c r="B131" s="89"/>
      <c r="C131" s="89"/>
      <c r="D131" s="89"/>
      <c r="E131" s="89"/>
      <c r="F131" s="89"/>
      <c r="G131" s="90"/>
    </row>
    <row r="134" spans="1:7" ht="18.75" x14ac:dyDescent="0.25">
      <c r="A134" s="19" t="s">
        <v>49</v>
      </c>
      <c r="B134" s="15"/>
      <c r="C134" s="15"/>
      <c r="D134" s="15"/>
      <c r="E134" s="15"/>
      <c r="F134" s="15"/>
      <c r="G134" s="16"/>
    </row>
    <row r="135" spans="1:7" ht="15.75" x14ac:dyDescent="0.25">
      <c r="A135" s="17"/>
      <c r="B135" s="18"/>
      <c r="C135" s="18"/>
      <c r="D135" s="18"/>
      <c r="E135" s="18"/>
      <c r="F135" s="18"/>
      <c r="G135" s="18"/>
    </row>
    <row r="136" spans="1:7" ht="15.75" x14ac:dyDescent="0.25">
      <c r="A136" s="17"/>
      <c r="B136" s="18"/>
      <c r="C136" s="18"/>
      <c r="D136" s="18"/>
      <c r="E136" s="18"/>
      <c r="F136" s="18"/>
      <c r="G136" s="18"/>
    </row>
    <row r="137" spans="1:7" ht="15.75" x14ac:dyDescent="0.25">
      <c r="A137" s="20" t="s">
        <v>22</v>
      </c>
      <c r="B137" s="21" t="s">
        <v>23</v>
      </c>
      <c r="C137" s="22"/>
      <c r="D137" s="21" t="s">
        <v>24</v>
      </c>
      <c r="E137" s="22"/>
      <c r="F137" s="59" t="s">
        <v>25</v>
      </c>
      <c r="G137" s="60" t="s">
        <v>26</v>
      </c>
    </row>
    <row r="138" spans="1:7" ht="15.75" x14ac:dyDescent="0.25">
      <c r="A138" s="23" t="s">
        <v>27</v>
      </c>
      <c r="B138" s="24" t="s">
        <v>28</v>
      </c>
      <c r="C138" s="24" t="s">
        <v>29</v>
      </c>
      <c r="D138" s="24" t="s">
        <v>28</v>
      </c>
      <c r="E138" s="24" t="s">
        <v>30</v>
      </c>
      <c r="F138" s="58" t="s">
        <v>31</v>
      </c>
      <c r="G138" s="61" t="s">
        <v>31</v>
      </c>
    </row>
    <row r="139" spans="1:7" ht="15.75" x14ac:dyDescent="0.25">
      <c r="A139" s="25" t="s">
        <v>32</v>
      </c>
      <c r="B139" s="26">
        <v>11.292000000000002</v>
      </c>
      <c r="C139" s="27">
        <v>132.55000000000018</v>
      </c>
      <c r="D139" s="28">
        <v>0</v>
      </c>
      <c r="E139" s="27">
        <v>0</v>
      </c>
      <c r="F139" s="29">
        <v>0</v>
      </c>
      <c r="G139" s="27">
        <v>0</v>
      </c>
    </row>
    <row r="140" spans="1:7" ht="15.75" x14ac:dyDescent="0.25">
      <c r="A140" s="30">
        <v>201</v>
      </c>
      <c r="B140" s="26">
        <v>18.7</v>
      </c>
      <c r="C140" s="27">
        <v>177.66</v>
      </c>
      <c r="D140" s="31">
        <v>0</v>
      </c>
      <c r="E140" s="27">
        <v>0</v>
      </c>
      <c r="F140" s="27">
        <v>566.19000000000005</v>
      </c>
      <c r="G140" s="27">
        <v>744</v>
      </c>
    </row>
    <row r="141" spans="1:7" ht="15.75" x14ac:dyDescent="0.25">
      <c r="A141" s="30">
        <v>202</v>
      </c>
      <c r="B141" s="26">
        <v>33.773000000000003</v>
      </c>
      <c r="C141" s="27">
        <v>268.7</v>
      </c>
      <c r="D141" s="28">
        <v>4.1820000000000004</v>
      </c>
      <c r="E141" s="27">
        <v>139.26</v>
      </c>
      <c r="F141" s="27">
        <v>566.19000000000005</v>
      </c>
      <c r="G141" s="27">
        <v>975</v>
      </c>
    </row>
    <row r="142" spans="1:7" ht="15.75" x14ac:dyDescent="0.25">
      <c r="A142" s="30">
        <v>301</v>
      </c>
      <c r="B142" s="26">
        <v>21.408000000000001</v>
      </c>
      <c r="C142" s="27">
        <v>194.02</v>
      </c>
      <c r="D142" s="28">
        <v>3.6309999999999998</v>
      </c>
      <c r="E142" s="27">
        <v>120.91</v>
      </c>
      <c r="F142" s="27">
        <v>566.19000000000005</v>
      </c>
      <c r="G142" s="27">
        <v>882</v>
      </c>
    </row>
    <row r="143" spans="1:7" ht="15.75" x14ac:dyDescent="0.25">
      <c r="A143" s="30">
        <v>302</v>
      </c>
      <c r="B143" s="26">
        <v>9.798</v>
      </c>
      <c r="C143" s="27">
        <v>123.89</v>
      </c>
      <c r="D143" s="28">
        <v>0.85699999999999998</v>
      </c>
      <c r="E143" s="27">
        <v>28.54</v>
      </c>
      <c r="F143" s="27">
        <v>566.19000000000005</v>
      </c>
      <c r="G143" s="27">
        <v>719</v>
      </c>
    </row>
    <row r="144" spans="1:7" ht="15.75" x14ac:dyDescent="0.25">
      <c r="A144" s="30">
        <v>401</v>
      </c>
      <c r="B144" s="26">
        <v>17.478000000000002</v>
      </c>
      <c r="C144" s="27">
        <v>170.28</v>
      </c>
      <c r="D144" s="28">
        <v>1.859</v>
      </c>
      <c r="E144" s="27">
        <v>61.9</v>
      </c>
      <c r="F144" s="27">
        <v>566.19000000000005</v>
      </c>
      <c r="G144" s="27">
        <v>799</v>
      </c>
    </row>
    <row r="145" spans="1:7" ht="15.75" x14ac:dyDescent="0.25">
      <c r="A145" s="30">
        <v>402</v>
      </c>
      <c r="B145" s="26">
        <v>19.085000000000001</v>
      </c>
      <c r="C145" s="27">
        <v>179.99</v>
      </c>
      <c r="D145" s="28">
        <v>4.6040000000000001</v>
      </c>
      <c r="E145" s="27">
        <v>153.31</v>
      </c>
      <c r="F145" s="27">
        <v>566.19000000000005</v>
      </c>
      <c r="G145" s="27">
        <v>900</v>
      </c>
    </row>
    <row r="146" spans="1:7" ht="15.75" x14ac:dyDescent="0.25">
      <c r="A146" s="30">
        <v>501</v>
      </c>
      <c r="B146" s="26">
        <v>11.393000000000001</v>
      </c>
      <c r="C146" s="27">
        <v>133.53</v>
      </c>
      <c r="D146" s="28">
        <v>1.5860000000000001</v>
      </c>
      <c r="E146" s="27">
        <v>52.81</v>
      </c>
      <c r="F146" s="27">
        <v>566.19000000000005</v>
      </c>
      <c r="G146" s="27">
        <v>753</v>
      </c>
    </row>
    <row r="147" spans="1:7" ht="15.75" x14ac:dyDescent="0.25">
      <c r="A147" s="30">
        <v>502</v>
      </c>
      <c r="B147" s="26">
        <v>13.647</v>
      </c>
      <c r="C147" s="27">
        <v>147.13999999999999</v>
      </c>
      <c r="D147" s="28">
        <v>1.7569999999999999</v>
      </c>
      <c r="E147" s="27">
        <v>58.51</v>
      </c>
      <c r="F147" s="27">
        <v>566.19000000000005</v>
      </c>
      <c r="G147" s="27">
        <v>772</v>
      </c>
    </row>
    <row r="148" spans="1:7" ht="15.75" x14ac:dyDescent="0.25">
      <c r="A148" s="30">
        <v>601</v>
      </c>
      <c r="B148" s="26">
        <v>4.7649999999999997</v>
      </c>
      <c r="C148" s="27">
        <v>93.5</v>
      </c>
      <c r="D148" s="28">
        <v>0.17799999999999999</v>
      </c>
      <c r="E148" s="27">
        <v>5.93</v>
      </c>
      <c r="F148" s="27">
        <v>566.19000000000005</v>
      </c>
      <c r="G148" s="27">
        <v>666</v>
      </c>
    </row>
    <row r="149" spans="1:7" ht="15.75" x14ac:dyDescent="0.25">
      <c r="A149" s="30">
        <v>602</v>
      </c>
      <c r="B149" s="26">
        <v>6.476</v>
      </c>
      <c r="C149" s="27">
        <v>103.83</v>
      </c>
      <c r="D149" s="28">
        <v>2.91</v>
      </c>
      <c r="E149" s="27">
        <v>96.9</v>
      </c>
      <c r="F149" s="27">
        <v>566.19000000000005</v>
      </c>
      <c r="G149" s="27">
        <v>767</v>
      </c>
    </row>
    <row r="150" spans="1:7" ht="15.75" x14ac:dyDescent="0.25">
      <c r="A150" s="30">
        <v>701</v>
      </c>
      <c r="B150" s="26">
        <v>11.609</v>
      </c>
      <c r="C150" s="27">
        <v>134.83000000000001</v>
      </c>
      <c r="D150" s="28">
        <v>0.86799999999999999</v>
      </c>
      <c r="E150" s="27">
        <v>28.9</v>
      </c>
      <c r="F150" s="27">
        <v>566.19000000000005</v>
      </c>
      <c r="G150" s="27">
        <v>730</v>
      </c>
    </row>
    <row r="151" spans="1:7" ht="15.75" x14ac:dyDescent="0.25">
      <c r="A151" s="30">
        <v>702</v>
      </c>
      <c r="B151" s="26">
        <v>5.048</v>
      </c>
      <c r="C151" s="27">
        <v>95.2</v>
      </c>
      <c r="D151" s="28">
        <v>2.1</v>
      </c>
      <c r="E151" s="27">
        <v>69.930000000000007</v>
      </c>
      <c r="F151" s="27">
        <v>566.19000000000005</v>
      </c>
      <c r="G151" s="27">
        <v>732</v>
      </c>
    </row>
    <row r="152" spans="1:7" ht="15.75" x14ac:dyDescent="0.25">
      <c r="A152" s="30">
        <v>801</v>
      </c>
      <c r="B152" s="26">
        <v>11.898</v>
      </c>
      <c r="C152" s="27">
        <v>136.58000000000001</v>
      </c>
      <c r="D152" s="28">
        <v>2.0880000000000001</v>
      </c>
      <c r="E152" s="27">
        <v>69.53</v>
      </c>
      <c r="F152" s="27">
        <v>566.19000000000005</v>
      </c>
      <c r="G152" s="27">
        <v>773</v>
      </c>
    </row>
    <row r="153" spans="1:7" ht="15.75" x14ac:dyDescent="0.25">
      <c r="A153" s="30">
        <v>802</v>
      </c>
      <c r="B153" s="26">
        <v>21.63</v>
      </c>
      <c r="C153" s="27">
        <v>195.36</v>
      </c>
      <c r="D153" s="28">
        <v>2.96</v>
      </c>
      <c r="E153" s="27">
        <v>98.57</v>
      </c>
      <c r="F153" s="27">
        <v>566.19000000000005</v>
      </c>
      <c r="G153" s="27">
        <v>861</v>
      </c>
    </row>
    <row r="155" spans="1:7" x14ac:dyDescent="0.25">
      <c r="A155" s="32"/>
      <c r="B155" s="7"/>
      <c r="C155" s="7"/>
      <c r="D155" s="7"/>
      <c r="E155" s="7"/>
      <c r="F155" s="7"/>
      <c r="G155" s="33"/>
    </row>
    <row r="156" spans="1:7" x14ac:dyDescent="0.25">
      <c r="A156" s="32"/>
      <c r="B156" s="7"/>
      <c r="C156" s="7"/>
      <c r="D156" s="7"/>
      <c r="E156" s="7"/>
      <c r="F156" s="7"/>
      <c r="G156" s="33"/>
    </row>
    <row r="157" spans="1:7" x14ac:dyDescent="0.25">
      <c r="A157" s="32"/>
      <c r="B157" s="7"/>
      <c r="C157" s="7"/>
      <c r="D157" s="7"/>
      <c r="E157" s="7"/>
      <c r="F157" s="7"/>
      <c r="G157" s="33"/>
    </row>
    <row r="159" spans="1:7" ht="15.75" x14ac:dyDescent="0.25">
      <c r="A159" s="34" t="s">
        <v>51</v>
      </c>
      <c r="B159" s="35"/>
      <c r="C159" s="35"/>
      <c r="D159" s="35"/>
      <c r="E159" s="35"/>
      <c r="F159" s="36"/>
      <c r="G159" s="57">
        <v>23606.92</v>
      </c>
    </row>
    <row r="160" spans="1:7" ht="15.75" x14ac:dyDescent="0.25">
      <c r="A160" s="37" t="s">
        <v>53</v>
      </c>
      <c r="B160" s="38"/>
      <c r="C160" s="38"/>
      <c r="D160" s="38"/>
      <c r="E160" s="38"/>
      <c r="F160" s="39"/>
      <c r="G160" s="57">
        <v>4200</v>
      </c>
    </row>
    <row r="161" spans="1:7" ht="15.75" x14ac:dyDescent="0.25">
      <c r="A161" s="34" t="s">
        <v>52</v>
      </c>
      <c r="B161" s="35"/>
      <c r="C161" s="35"/>
      <c r="D161" s="35"/>
      <c r="E161" s="35"/>
      <c r="F161" s="36"/>
      <c r="G161" s="57">
        <v>27806.92</v>
      </c>
    </row>
    <row r="162" spans="1:7" ht="18.75" x14ac:dyDescent="0.3">
      <c r="A162" s="40"/>
      <c r="B162" s="40"/>
      <c r="C162" s="40"/>
      <c r="D162" s="40"/>
      <c r="E162" s="40"/>
      <c r="F162" s="40"/>
      <c r="G162" s="40"/>
    </row>
    <row r="163" spans="1:7" ht="31.5" customHeight="1" x14ac:dyDescent="0.25">
      <c r="A163" s="85" t="s">
        <v>54</v>
      </c>
      <c r="B163" s="86"/>
      <c r="C163" s="86"/>
      <c r="D163" s="86"/>
      <c r="E163" s="86"/>
      <c r="F163" s="86"/>
      <c r="G163" s="87"/>
    </row>
    <row r="164" spans="1:7" ht="15.75" x14ac:dyDescent="0.25">
      <c r="A164" s="41" t="s">
        <v>36</v>
      </c>
      <c r="B164" s="42"/>
      <c r="C164" s="42"/>
      <c r="D164" s="42"/>
      <c r="E164" s="42"/>
      <c r="F164" s="42"/>
      <c r="G164" s="43"/>
    </row>
    <row r="165" spans="1:7" ht="15.75" x14ac:dyDescent="0.25">
      <c r="A165" s="44" t="s">
        <v>37</v>
      </c>
      <c r="B165" s="45"/>
      <c r="C165" s="45"/>
      <c r="D165" s="45"/>
      <c r="E165" s="45"/>
      <c r="F165" s="45"/>
      <c r="G165" s="46"/>
    </row>
    <row r="166" spans="1:7" ht="15.75" x14ac:dyDescent="0.25">
      <c r="A166" s="47"/>
      <c r="B166" s="47"/>
      <c r="C166" s="47"/>
      <c r="D166" s="47"/>
      <c r="E166" s="47"/>
      <c r="F166" s="47"/>
      <c r="G166" s="47"/>
    </row>
    <row r="167" spans="1:7" ht="15.75" x14ac:dyDescent="0.25">
      <c r="A167" s="48" t="s">
        <v>50</v>
      </c>
      <c r="B167" s="49"/>
      <c r="C167" s="49"/>
      <c r="D167" s="49"/>
      <c r="E167" s="49"/>
      <c r="F167" s="49"/>
      <c r="G167" s="50"/>
    </row>
    <row r="168" spans="1:7" ht="15.75" x14ac:dyDescent="0.25">
      <c r="A168" s="47"/>
      <c r="B168" s="47"/>
      <c r="C168" s="47"/>
      <c r="D168" s="47"/>
      <c r="E168" s="47"/>
      <c r="F168" s="47"/>
      <c r="G168" s="47"/>
    </row>
    <row r="169" spans="1:7" ht="15.75" x14ac:dyDescent="0.25">
      <c r="A169" s="47"/>
      <c r="B169" s="47"/>
      <c r="C169" s="47"/>
      <c r="D169" s="47"/>
      <c r="E169" s="47"/>
      <c r="F169" s="47"/>
      <c r="G169" s="47"/>
    </row>
    <row r="170" spans="1:7" ht="15.75" x14ac:dyDescent="0.25">
      <c r="A170" s="47"/>
      <c r="B170" s="47"/>
      <c r="C170" s="47"/>
      <c r="D170" s="47"/>
      <c r="E170" s="47"/>
      <c r="F170" s="47"/>
      <c r="G170" s="47"/>
    </row>
    <row r="177" spans="1:9" ht="21" x14ac:dyDescent="0.35">
      <c r="A177" s="88" t="s">
        <v>20</v>
      </c>
      <c r="B177" s="89"/>
      <c r="C177" s="89"/>
      <c r="D177" s="89"/>
      <c r="E177" s="89"/>
      <c r="F177" s="89"/>
      <c r="G177" s="90"/>
      <c r="H177" s="56"/>
      <c r="I177" s="56"/>
    </row>
    <row r="180" spans="1:9" ht="17.25" x14ac:dyDescent="0.3">
      <c r="A180" s="51" t="s">
        <v>55</v>
      </c>
      <c r="B180" s="51"/>
      <c r="C180" s="51"/>
      <c r="D180" s="51"/>
      <c r="E180" s="51"/>
      <c r="F180" s="51"/>
      <c r="G180" s="51"/>
      <c r="H180" s="51"/>
      <c r="I180" s="51"/>
    </row>
    <row r="181" spans="1:9" ht="17.25" x14ac:dyDescent="0.3">
      <c r="A181" s="51"/>
      <c r="B181" s="51"/>
      <c r="C181" s="51"/>
      <c r="D181" s="51"/>
      <c r="E181" s="51"/>
      <c r="F181" s="51"/>
      <c r="G181" s="51"/>
      <c r="H181" s="51"/>
      <c r="I181" s="51"/>
    </row>
    <row r="182" spans="1:9" ht="17.25" x14ac:dyDescent="0.3">
      <c r="A182" s="51" t="s">
        <v>56</v>
      </c>
      <c r="B182" s="51"/>
      <c r="C182" s="51"/>
      <c r="D182" s="51"/>
      <c r="E182" s="51"/>
      <c r="F182" s="51"/>
      <c r="G182" s="51"/>
      <c r="H182" s="51"/>
      <c r="I182" s="51"/>
    </row>
    <row r="183" spans="1:9" ht="17.25" x14ac:dyDescent="0.3">
      <c r="A183" s="51"/>
      <c r="B183" s="51"/>
      <c r="C183" s="51"/>
      <c r="D183" s="51"/>
      <c r="E183" s="51"/>
      <c r="F183" s="51"/>
      <c r="G183" s="51"/>
      <c r="H183" s="51"/>
      <c r="I183" s="51"/>
    </row>
    <row r="184" spans="1:9" ht="17.25" x14ac:dyDescent="0.3">
      <c r="A184" s="51"/>
      <c r="B184" s="51"/>
      <c r="C184" s="51"/>
      <c r="D184" s="51"/>
      <c r="E184" s="51"/>
      <c r="F184" s="51"/>
      <c r="G184" s="51"/>
      <c r="H184" s="51"/>
      <c r="I184" s="51"/>
    </row>
    <row r="185" spans="1:9" ht="17.25" x14ac:dyDescent="0.3">
      <c r="A185" s="51" t="s">
        <v>57</v>
      </c>
      <c r="B185" s="51"/>
      <c r="C185" s="51"/>
      <c r="D185" s="51"/>
      <c r="E185" s="51"/>
      <c r="F185" s="51"/>
      <c r="G185" s="51"/>
      <c r="H185" s="51"/>
      <c r="I185" s="51"/>
    </row>
    <row r="186" spans="1:9" ht="17.25" x14ac:dyDescent="0.3">
      <c r="A186" s="51"/>
      <c r="B186" s="51"/>
      <c r="C186" s="51"/>
      <c r="D186" s="51"/>
      <c r="E186" s="51"/>
      <c r="F186" s="51"/>
      <c r="G186" s="51"/>
      <c r="H186" s="51"/>
      <c r="I186" s="51"/>
    </row>
    <row r="187" spans="1:9" ht="17.25" x14ac:dyDescent="0.3">
      <c r="A187" s="51" t="s">
        <v>40</v>
      </c>
      <c r="B187" s="51"/>
      <c r="C187" s="51"/>
      <c r="D187" s="51"/>
      <c r="E187" s="51"/>
      <c r="F187" s="51"/>
      <c r="G187" s="51"/>
      <c r="H187" s="51"/>
      <c r="I187" s="51"/>
    </row>
    <row r="188" spans="1:9" ht="17.25" x14ac:dyDescent="0.3">
      <c r="A188" s="51"/>
      <c r="B188" s="51"/>
      <c r="C188" s="51"/>
      <c r="D188" s="51"/>
      <c r="E188" s="51"/>
      <c r="F188" s="51"/>
      <c r="G188" s="51"/>
      <c r="H188" s="51"/>
      <c r="I188" s="51"/>
    </row>
    <row r="189" spans="1:9" ht="33" customHeight="1" x14ac:dyDescent="0.3">
      <c r="A189" s="91" t="s">
        <v>58</v>
      </c>
      <c r="B189" s="91"/>
      <c r="C189" s="91"/>
      <c r="D189" s="91"/>
      <c r="E189" s="91"/>
      <c r="F189" s="91"/>
      <c r="G189" s="91"/>
      <c r="H189" s="55"/>
      <c r="I189" s="55"/>
    </row>
    <row r="190" spans="1:9" ht="17.25" x14ac:dyDescent="0.3">
      <c r="A190" s="51"/>
      <c r="B190" s="51"/>
      <c r="C190" s="51"/>
      <c r="D190" s="51"/>
      <c r="E190" s="51"/>
      <c r="F190" s="51"/>
      <c r="G190" s="51"/>
      <c r="H190" s="51"/>
      <c r="I190" s="51"/>
    </row>
    <row r="191" spans="1:9" ht="33" customHeight="1" x14ac:dyDescent="0.3">
      <c r="A191" s="91" t="s">
        <v>59</v>
      </c>
      <c r="B191" s="91"/>
      <c r="C191" s="91"/>
      <c r="D191" s="91"/>
      <c r="E191" s="91"/>
      <c r="F191" s="91"/>
      <c r="G191" s="91"/>
      <c r="H191" s="55"/>
      <c r="I191" s="55"/>
    </row>
    <row r="192" spans="1:9" ht="17.25" x14ac:dyDescent="0.3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ht="33" customHeight="1" x14ac:dyDescent="0.3">
      <c r="A193" s="91" t="s">
        <v>60</v>
      </c>
      <c r="B193" s="91"/>
      <c r="C193" s="91"/>
      <c r="D193" s="91"/>
      <c r="E193" s="91"/>
      <c r="F193" s="91"/>
      <c r="G193" s="91"/>
      <c r="H193" s="55"/>
      <c r="I193" s="55"/>
    </row>
    <row r="195" spans="1:9" ht="18.75" x14ac:dyDescent="0.3">
      <c r="A195" s="1" t="s">
        <v>63</v>
      </c>
      <c r="B195" s="2"/>
      <c r="C195" s="2"/>
      <c r="D195" s="2"/>
      <c r="E195" s="2"/>
      <c r="F195" s="2"/>
      <c r="G195" s="53"/>
    </row>
    <row r="196" spans="1:9" ht="15.75" x14ac:dyDescent="0.25">
      <c r="A196" s="3" t="s">
        <v>1</v>
      </c>
      <c r="B196" s="3" t="s">
        <v>2</v>
      </c>
      <c r="C196" s="4" t="s">
        <v>3</v>
      </c>
      <c r="D196" s="4"/>
      <c r="E196" s="4"/>
      <c r="F196" s="4"/>
      <c r="G196" s="62" t="s">
        <v>30</v>
      </c>
    </row>
    <row r="197" spans="1:9" ht="15.75" x14ac:dyDescent="0.25">
      <c r="A197" s="5">
        <v>45026</v>
      </c>
      <c r="B197" s="6" t="s">
        <v>4</v>
      </c>
      <c r="C197" s="7" t="s">
        <v>5</v>
      </c>
      <c r="D197" s="7"/>
      <c r="E197" s="7"/>
      <c r="F197" s="7"/>
      <c r="G197" s="52">
        <v>1172.99</v>
      </c>
    </row>
    <row r="198" spans="1:9" ht="15.75" x14ac:dyDescent="0.25">
      <c r="A198" s="8">
        <v>45026</v>
      </c>
      <c r="B198" s="6" t="s">
        <v>4</v>
      </c>
      <c r="C198" s="7" t="s">
        <v>6</v>
      </c>
      <c r="D198" s="7"/>
      <c r="E198" s="7"/>
      <c r="F198" s="7"/>
      <c r="G198" s="52">
        <v>4200</v>
      </c>
    </row>
    <row r="199" spans="1:9" ht="15.75" x14ac:dyDescent="0.25">
      <c r="A199" s="8">
        <v>45033</v>
      </c>
      <c r="B199" s="54" t="s">
        <v>4</v>
      </c>
      <c r="C199" s="7" t="s">
        <v>61</v>
      </c>
      <c r="D199" s="7"/>
      <c r="E199" s="7"/>
      <c r="F199" s="7"/>
      <c r="G199" s="52">
        <v>1045.94</v>
      </c>
    </row>
    <row r="200" spans="1:9" ht="15.75" x14ac:dyDescent="0.25">
      <c r="A200" s="5">
        <v>45033</v>
      </c>
      <c r="B200" s="6" t="s">
        <v>4</v>
      </c>
      <c r="C200" s="7" t="s">
        <v>8</v>
      </c>
      <c r="D200" s="7"/>
      <c r="E200" s="7"/>
      <c r="F200" s="7"/>
      <c r="G200" s="52">
        <v>692.82000000000062</v>
      </c>
    </row>
    <row r="201" spans="1:9" ht="15.75" x14ac:dyDescent="0.25">
      <c r="A201" s="8">
        <v>45033</v>
      </c>
      <c r="B201" s="6" t="s">
        <v>4</v>
      </c>
      <c r="C201" s="7" t="s">
        <v>9</v>
      </c>
      <c r="D201" s="7"/>
      <c r="E201" s="7"/>
      <c r="F201" s="7"/>
      <c r="G201" s="52">
        <v>325.88</v>
      </c>
    </row>
    <row r="202" spans="1:9" ht="15.75" x14ac:dyDescent="0.25">
      <c r="A202" s="8">
        <v>45036</v>
      </c>
      <c r="B202" s="6" t="s">
        <v>4</v>
      </c>
      <c r="C202" s="7" t="s">
        <v>47</v>
      </c>
      <c r="D202" s="7"/>
      <c r="E202" s="7"/>
      <c r="F202" s="7"/>
      <c r="G202" s="52">
        <v>195.98</v>
      </c>
    </row>
    <row r="203" spans="1:9" ht="15.75" x14ac:dyDescent="0.25">
      <c r="A203" s="8">
        <v>45041</v>
      </c>
      <c r="B203" s="6" t="s">
        <v>4</v>
      </c>
      <c r="C203" s="32" t="s">
        <v>62</v>
      </c>
      <c r="D203" s="7"/>
      <c r="E203" s="7"/>
      <c r="F203" s="7"/>
      <c r="G203" s="52">
        <v>149.97</v>
      </c>
    </row>
    <row r="204" spans="1:9" ht="15.75" x14ac:dyDescent="0.25">
      <c r="A204" s="8">
        <v>45044</v>
      </c>
      <c r="B204" s="6" t="s">
        <v>4</v>
      </c>
      <c r="C204" s="7" t="s">
        <v>14</v>
      </c>
      <c r="D204" s="7"/>
      <c r="E204" s="7"/>
      <c r="F204" s="7"/>
      <c r="G204" s="52">
        <v>130</v>
      </c>
    </row>
    <row r="205" spans="1:9" ht="15.75" x14ac:dyDescent="0.25">
      <c r="A205" s="8">
        <v>45017</v>
      </c>
      <c r="B205" s="6" t="s">
        <v>4</v>
      </c>
      <c r="C205" s="7" t="s">
        <v>15</v>
      </c>
      <c r="D205" s="7"/>
      <c r="E205" s="7"/>
      <c r="F205" s="7"/>
      <c r="G205" s="52">
        <v>60</v>
      </c>
    </row>
    <row r="206" spans="1:9" ht="21" x14ac:dyDescent="0.35">
      <c r="A206" s="9" t="s">
        <v>16</v>
      </c>
      <c r="B206" s="10"/>
      <c r="C206" s="11"/>
      <c r="D206" s="11"/>
      <c r="E206" s="11"/>
      <c r="F206" s="11"/>
      <c r="G206" s="12">
        <f>SUM(G197:G205)</f>
        <v>7973.5800000000008</v>
      </c>
    </row>
    <row r="207" spans="1:9" ht="21" x14ac:dyDescent="0.35">
      <c r="A207" s="13" t="s">
        <v>17</v>
      </c>
      <c r="B207" s="11"/>
      <c r="C207" s="11"/>
      <c r="D207" s="11"/>
      <c r="E207" s="11"/>
      <c r="F207" s="11"/>
      <c r="G207" s="14">
        <f>ROUND(G206/14,2)</f>
        <v>569.54</v>
      </c>
    </row>
    <row r="208" spans="1:9" ht="21" x14ac:dyDescent="0.35">
      <c r="A208" s="13" t="s">
        <v>18</v>
      </c>
      <c r="B208" s="11"/>
      <c r="C208" s="11"/>
      <c r="D208" s="11"/>
      <c r="E208" s="11"/>
      <c r="F208" s="11"/>
      <c r="G208" s="14">
        <f>ROUND(G207/14,2)</f>
        <v>40.68</v>
      </c>
    </row>
    <row r="209" spans="1:7" ht="21" x14ac:dyDescent="0.35">
      <c r="A209" s="13" t="s">
        <v>19</v>
      </c>
      <c r="B209" s="11"/>
      <c r="C209" s="11"/>
      <c r="D209" s="11"/>
      <c r="E209" s="11"/>
      <c r="F209" s="11"/>
      <c r="G209" s="12">
        <f>G207+G208</f>
        <v>610.21999999999991</v>
      </c>
    </row>
    <row r="218" spans="1:7" ht="21" x14ac:dyDescent="0.35">
      <c r="A218" s="88" t="s">
        <v>20</v>
      </c>
      <c r="B218" s="89"/>
      <c r="C218" s="89"/>
      <c r="D218" s="89"/>
      <c r="E218" s="89"/>
      <c r="F218" s="89"/>
      <c r="G218" s="90"/>
    </row>
    <row r="221" spans="1:7" ht="18.75" x14ac:dyDescent="0.25">
      <c r="A221" s="19" t="s">
        <v>64</v>
      </c>
      <c r="B221" s="15"/>
      <c r="C221" s="15"/>
      <c r="D221" s="15"/>
      <c r="E221" s="15"/>
      <c r="F221" s="15"/>
      <c r="G221" s="16"/>
    </row>
    <row r="222" spans="1:7" ht="15.75" x14ac:dyDescent="0.25">
      <c r="A222" s="17"/>
      <c r="B222" s="18"/>
      <c r="C222" s="18"/>
      <c r="D222" s="18"/>
      <c r="E222" s="18"/>
      <c r="F222" s="18"/>
      <c r="G222" s="18"/>
    </row>
    <row r="223" spans="1:7" ht="15.75" x14ac:dyDescent="0.25">
      <c r="A223" s="17"/>
      <c r="B223" s="18"/>
      <c r="C223" s="18"/>
      <c r="D223" s="18"/>
      <c r="E223" s="18"/>
      <c r="F223" s="18"/>
      <c r="G223" s="18"/>
    </row>
    <row r="224" spans="1:7" ht="15.75" x14ac:dyDescent="0.25">
      <c r="A224" s="20" t="s">
        <v>22</v>
      </c>
      <c r="B224" s="21" t="s">
        <v>23</v>
      </c>
      <c r="C224" s="22"/>
      <c r="D224" s="21" t="s">
        <v>24</v>
      </c>
      <c r="E224" s="22"/>
      <c r="F224" s="59" t="s">
        <v>25</v>
      </c>
      <c r="G224" s="60" t="s">
        <v>26</v>
      </c>
    </row>
    <row r="225" spans="1:7" ht="15.75" x14ac:dyDescent="0.25">
      <c r="A225" s="23" t="s">
        <v>27</v>
      </c>
      <c r="B225" s="24" t="s">
        <v>28</v>
      </c>
      <c r="C225" s="24" t="s">
        <v>29</v>
      </c>
      <c r="D225" s="24" t="s">
        <v>28</v>
      </c>
      <c r="E225" s="24" t="s">
        <v>30</v>
      </c>
      <c r="F225" s="58" t="s">
        <v>31</v>
      </c>
      <c r="G225" s="61" t="s">
        <v>31</v>
      </c>
    </row>
    <row r="226" spans="1:7" ht="15.75" x14ac:dyDescent="0.25">
      <c r="A226" s="25" t="s">
        <v>32</v>
      </c>
      <c r="B226" s="26">
        <v>89.824000000000353</v>
      </c>
      <c r="C226" s="27">
        <v>692.82000000000062</v>
      </c>
      <c r="D226" s="28">
        <v>0</v>
      </c>
      <c r="E226" s="27">
        <v>0</v>
      </c>
      <c r="F226" s="29">
        <v>0</v>
      </c>
      <c r="G226" s="27">
        <v>0</v>
      </c>
    </row>
    <row r="227" spans="1:7" ht="15.75" x14ac:dyDescent="0.25">
      <c r="A227" s="30">
        <v>201</v>
      </c>
      <c r="B227" s="26">
        <v>17.57</v>
      </c>
      <c r="C227" s="27">
        <v>207.66</v>
      </c>
      <c r="D227" s="31">
        <v>0</v>
      </c>
      <c r="E227" s="27">
        <v>0</v>
      </c>
      <c r="F227" s="27">
        <v>610.21999999999991</v>
      </c>
      <c r="G227" s="27">
        <v>818</v>
      </c>
    </row>
    <row r="228" spans="1:7" ht="15.75" x14ac:dyDescent="0.25">
      <c r="A228" s="30">
        <v>202</v>
      </c>
      <c r="B228" s="26">
        <v>39.063000000000102</v>
      </c>
      <c r="C228" s="27">
        <v>352.09</v>
      </c>
      <c r="D228" s="28">
        <v>3.625</v>
      </c>
      <c r="E228" s="27">
        <v>120.71</v>
      </c>
      <c r="F228" s="27">
        <v>610.21999999999991</v>
      </c>
      <c r="G228" s="27">
        <v>1084</v>
      </c>
    </row>
    <row r="229" spans="1:7" ht="15.75" x14ac:dyDescent="0.25">
      <c r="A229" s="30">
        <v>301</v>
      </c>
      <c r="B229" s="26">
        <v>17.425999999999931</v>
      </c>
      <c r="C229" s="27">
        <v>206.69</v>
      </c>
      <c r="D229" s="28">
        <v>3.1219999999999999</v>
      </c>
      <c r="E229" s="27">
        <v>103.96</v>
      </c>
      <c r="F229" s="27">
        <v>610.21999999999991</v>
      </c>
      <c r="G229" s="27">
        <v>921</v>
      </c>
    </row>
    <row r="230" spans="1:7" ht="15.75" x14ac:dyDescent="0.25">
      <c r="A230" s="30">
        <v>302</v>
      </c>
      <c r="B230" s="26">
        <v>9.1630000000000109</v>
      </c>
      <c r="C230" s="27">
        <v>151.16</v>
      </c>
      <c r="D230" s="28">
        <v>1.212</v>
      </c>
      <c r="E230" s="27">
        <v>40.36</v>
      </c>
      <c r="F230" s="27">
        <v>610.21999999999991</v>
      </c>
      <c r="G230" s="27">
        <v>802</v>
      </c>
    </row>
    <row r="231" spans="1:7" ht="15.75" x14ac:dyDescent="0.25">
      <c r="A231" s="30">
        <v>401</v>
      </c>
      <c r="B231" s="26">
        <v>9.9889999999998054</v>
      </c>
      <c r="C231" s="27">
        <v>156.71</v>
      </c>
      <c r="D231" s="28">
        <v>1.5249999999999999</v>
      </c>
      <c r="E231" s="27">
        <v>50.78</v>
      </c>
      <c r="F231" s="27">
        <v>610.21999999999991</v>
      </c>
      <c r="G231" s="27">
        <v>818</v>
      </c>
    </row>
    <row r="232" spans="1:7" ht="15.75" x14ac:dyDescent="0.25">
      <c r="A232" s="30">
        <v>402</v>
      </c>
      <c r="B232" s="26">
        <v>15.577000000000226</v>
      </c>
      <c r="C232" s="27">
        <v>194.26</v>
      </c>
      <c r="D232" s="28">
        <v>4.4619999999999997</v>
      </c>
      <c r="E232" s="27">
        <v>148.58000000000001</v>
      </c>
      <c r="F232" s="27">
        <v>610.21999999999991</v>
      </c>
      <c r="G232" s="27">
        <v>954</v>
      </c>
    </row>
    <row r="233" spans="1:7" ht="15.75" x14ac:dyDescent="0.25">
      <c r="A233" s="30">
        <v>501</v>
      </c>
      <c r="B233" s="26">
        <v>9.0840000000002874</v>
      </c>
      <c r="C233" s="27">
        <v>150.63</v>
      </c>
      <c r="D233" s="28">
        <v>0.92700000000000005</v>
      </c>
      <c r="E233" s="27">
        <v>30.87</v>
      </c>
      <c r="F233" s="27">
        <v>610.21999999999991</v>
      </c>
      <c r="G233" s="27">
        <v>792</v>
      </c>
    </row>
    <row r="234" spans="1:7" ht="15.75" x14ac:dyDescent="0.25">
      <c r="A234" s="30">
        <v>502</v>
      </c>
      <c r="B234" s="26">
        <v>11.833999999999833</v>
      </c>
      <c r="C234" s="27">
        <v>169.11</v>
      </c>
      <c r="D234" s="28">
        <v>0.94899999999999995</v>
      </c>
      <c r="E234" s="27">
        <v>31.6</v>
      </c>
      <c r="F234" s="27">
        <v>610.21999999999991</v>
      </c>
      <c r="G234" s="27">
        <v>811</v>
      </c>
    </row>
    <row r="235" spans="1:7" ht="15.75" x14ac:dyDescent="0.25">
      <c r="A235" s="30">
        <v>601</v>
      </c>
      <c r="B235" s="26">
        <v>3.8460000000000036</v>
      </c>
      <c r="C235" s="27">
        <v>115.43</v>
      </c>
      <c r="D235" s="28">
        <v>0.24099999999999999</v>
      </c>
      <c r="E235" s="27">
        <v>8.0299999999999994</v>
      </c>
      <c r="F235" s="27">
        <v>610.21999999999991</v>
      </c>
      <c r="G235" s="27">
        <v>734</v>
      </c>
    </row>
    <row r="236" spans="1:7" ht="15.75" x14ac:dyDescent="0.25">
      <c r="A236" s="30">
        <v>602</v>
      </c>
      <c r="B236" s="26">
        <v>4.3659999999999854</v>
      </c>
      <c r="C236" s="27">
        <v>118.92</v>
      </c>
      <c r="D236" s="28">
        <v>1.98</v>
      </c>
      <c r="E236" s="27">
        <v>65.930000000000007</v>
      </c>
      <c r="F236" s="27">
        <v>610.21999999999991</v>
      </c>
      <c r="G236" s="27">
        <v>796</v>
      </c>
    </row>
    <row r="237" spans="1:7" ht="15.75" x14ac:dyDescent="0.25">
      <c r="A237" s="30">
        <v>701</v>
      </c>
      <c r="B237" s="26">
        <v>7.1630000000000109</v>
      </c>
      <c r="C237" s="27">
        <v>137.72</v>
      </c>
      <c r="D237" s="28">
        <v>0.621</v>
      </c>
      <c r="E237" s="27">
        <v>20.68</v>
      </c>
      <c r="F237" s="27">
        <v>610.21999999999991</v>
      </c>
      <c r="G237" s="27">
        <v>769</v>
      </c>
    </row>
    <row r="238" spans="1:7" ht="15.75" x14ac:dyDescent="0.25">
      <c r="A238" s="30">
        <v>702</v>
      </c>
      <c r="B238" s="26">
        <v>4.6219999999999573</v>
      </c>
      <c r="C238" s="27">
        <v>120.64</v>
      </c>
      <c r="D238" s="28">
        <v>1.931</v>
      </c>
      <c r="E238" s="27">
        <v>64.3</v>
      </c>
      <c r="F238" s="27">
        <v>610.21999999999991</v>
      </c>
      <c r="G238" s="27">
        <v>796</v>
      </c>
    </row>
    <row r="239" spans="1:7" ht="15.75" x14ac:dyDescent="0.25">
      <c r="A239" s="30">
        <v>801</v>
      </c>
      <c r="B239" s="26">
        <v>12.9399999999996</v>
      </c>
      <c r="C239" s="27">
        <v>176.54</v>
      </c>
      <c r="D239" s="28">
        <v>2.4889999999999999</v>
      </c>
      <c r="E239" s="27">
        <v>82.88</v>
      </c>
      <c r="F239" s="27">
        <v>610.21999999999991</v>
      </c>
      <c r="G239" s="27">
        <v>870</v>
      </c>
    </row>
    <row r="240" spans="1:7" ht="15.75" x14ac:dyDescent="0.25">
      <c r="A240" s="30">
        <v>802</v>
      </c>
      <c r="B240" s="26">
        <v>18.532999999999902</v>
      </c>
      <c r="C240" s="27">
        <v>214.13</v>
      </c>
      <c r="D240" s="28">
        <v>2.4169999999999998</v>
      </c>
      <c r="E240" s="27">
        <v>80.489999999999995</v>
      </c>
      <c r="F240" s="27">
        <v>610.21999999999991</v>
      </c>
      <c r="G240" s="27">
        <v>905</v>
      </c>
    </row>
    <row r="242" spans="1:7" x14ac:dyDescent="0.25">
      <c r="A242" s="32"/>
      <c r="B242" s="7"/>
      <c r="C242" s="7"/>
      <c r="D242" s="7"/>
      <c r="E242" s="7"/>
      <c r="F242" s="7"/>
      <c r="G242" s="33"/>
    </row>
    <row r="243" spans="1:7" x14ac:dyDescent="0.25">
      <c r="A243" s="32"/>
      <c r="B243" s="7"/>
      <c r="C243" s="7"/>
      <c r="D243" s="7"/>
      <c r="E243" s="7"/>
      <c r="F243" s="7"/>
      <c r="G243" s="33"/>
    </row>
    <row r="244" spans="1:7" x14ac:dyDescent="0.25">
      <c r="A244" s="32"/>
      <c r="B244" s="7"/>
      <c r="C244" s="7"/>
      <c r="D244" s="7"/>
      <c r="E244" s="7"/>
      <c r="F244" s="7"/>
      <c r="G244" s="33"/>
    </row>
    <row r="246" spans="1:7" ht="15.75" x14ac:dyDescent="0.25">
      <c r="A246" s="34" t="s">
        <v>65</v>
      </c>
      <c r="B246" s="35"/>
      <c r="C246" s="35"/>
      <c r="D246" s="35"/>
      <c r="E246" s="35"/>
      <c r="F246" s="36"/>
      <c r="G246" s="57">
        <v>27806.92</v>
      </c>
    </row>
    <row r="247" spans="1:7" ht="15.75" x14ac:dyDescent="0.25">
      <c r="A247" s="37" t="s">
        <v>66</v>
      </c>
      <c r="B247" s="38"/>
      <c r="C247" s="38"/>
      <c r="D247" s="38"/>
      <c r="E247" s="38"/>
      <c r="F247" s="39"/>
      <c r="G247" s="57">
        <v>4200</v>
      </c>
    </row>
    <row r="248" spans="1:7" ht="15.75" x14ac:dyDescent="0.25">
      <c r="A248" s="34" t="s">
        <v>67</v>
      </c>
      <c r="B248" s="35"/>
      <c r="C248" s="35"/>
      <c r="D248" s="35"/>
      <c r="E248" s="35"/>
      <c r="F248" s="36"/>
      <c r="G248" s="57">
        <f>G246+G247</f>
        <v>32006.92</v>
      </c>
    </row>
    <row r="249" spans="1:7" ht="18.75" x14ac:dyDescent="0.3">
      <c r="A249" s="40"/>
      <c r="B249" s="40"/>
      <c r="C249" s="40"/>
      <c r="D249" s="40"/>
      <c r="E249" s="40"/>
      <c r="F249" s="40"/>
      <c r="G249" s="40"/>
    </row>
    <row r="250" spans="1:7" ht="31.5" customHeight="1" x14ac:dyDescent="0.25">
      <c r="A250" s="85" t="s">
        <v>54</v>
      </c>
      <c r="B250" s="86"/>
      <c r="C250" s="86"/>
      <c r="D250" s="86"/>
      <c r="E250" s="86"/>
      <c r="F250" s="86"/>
      <c r="G250" s="87"/>
    </row>
    <row r="251" spans="1:7" ht="15.75" x14ac:dyDescent="0.25">
      <c r="A251" s="41" t="s">
        <v>36</v>
      </c>
      <c r="B251" s="42"/>
      <c r="C251" s="42"/>
      <c r="D251" s="42"/>
      <c r="E251" s="42"/>
      <c r="F251" s="42"/>
      <c r="G251" s="43"/>
    </row>
    <row r="252" spans="1:7" ht="15.75" x14ac:dyDescent="0.25">
      <c r="A252" s="44" t="s">
        <v>37</v>
      </c>
      <c r="B252" s="45"/>
      <c r="C252" s="45"/>
      <c r="D252" s="45"/>
      <c r="E252" s="45"/>
      <c r="F252" s="45"/>
      <c r="G252" s="46"/>
    </row>
    <row r="253" spans="1:7" ht="15.75" x14ac:dyDescent="0.25">
      <c r="A253" s="47"/>
      <c r="B253" s="47"/>
      <c r="C253" s="47"/>
      <c r="D253" s="47"/>
      <c r="E253" s="47"/>
      <c r="F253" s="47"/>
      <c r="G253" s="47"/>
    </row>
    <row r="254" spans="1:7" ht="15.75" x14ac:dyDescent="0.25">
      <c r="A254" s="48" t="s">
        <v>50</v>
      </c>
      <c r="B254" s="49"/>
      <c r="C254" s="49"/>
      <c r="D254" s="49"/>
      <c r="E254" s="49"/>
      <c r="F254" s="49"/>
      <c r="G254" s="50"/>
    </row>
    <row r="255" spans="1:7" ht="15.75" x14ac:dyDescent="0.25">
      <c r="A255" s="47"/>
      <c r="B255" s="47"/>
      <c r="C255" s="47"/>
      <c r="D255" s="47"/>
      <c r="E255" s="47"/>
      <c r="F255" s="47"/>
      <c r="G255" s="47"/>
    </row>
    <row r="256" spans="1:7" ht="15.75" x14ac:dyDescent="0.25">
      <c r="A256" s="47"/>
      <c r="B256" s="47"/>
      <c r="C256" s="47"/>
      <c r="D256" s="47"/>
      <c r="E256" s="47"/>
      <c r="F256" s="47"/>
      <c r="G256" s="47"/>
    </row>
    <row r="257" spans="1:9" ht="15.75" x14ac:dyDescent="0.25">
      <c r="A257" s="47"/>
      <c r="B257" s="47"/>
      <c r="C257" s="47"/>
      <c r="D257" s="47"/>
      <c r="E257" s="47"/>
      <c r="F257" s="47"/>
      <c r="G257" s="47"/>
    </row>
    <row r="264" spans="1:9" ht="21" x14ac:dyDescent="0.35">
      <c r="A264" s="88" t="s">
        <v>20</v>
      </c>
      <c r="B264" s="89"/>
      <c r="C264" s="89"/>
      <c r="D264" s="89"/>
      <c r="E264" s="89"/>
      <c r="F264" s="89"/>
      <c r="G264" s="90"/>
      <c r="H264" s="56"/>
      <c r="I264" s="56"/>
    </row>
    <row r="267" spans="1:9" ht="17.25" x14ac:dyDescent="0.3">
      <c r="A267" s="51" t="s">
        <v>68</v>
      </c>
      <c r="B267" s="51"/>
      <c r="C267" s="51"/>
      <c r="D267" s="51"/>
      <c r="E267" s="51"/>
      <c r="F267" s="51"/>
      <c r="G267" s="51"/>
      <c r="H267" s="51"/>
      <c r="I267" s="51"/>
    </row>
    <row r="268" spans="1:9" ht="17.25" x14ac:dyDescent="0.3">
      <c r="A268" s="51"/>
      <c r="B268" s="51"/>
      <c r="C268" s="51"/>
      <c r="D268" s="51"/>
      <c r="E268" s="51"/>
      <c r="F268" s="51"/>
      <c r="G268" s="51"/>
      <c r="H268" s="51"/>
      <c r="I268" s="51"/>
    </row>
    <row r="269" spans="1:9" ht="17.25" x14ac:dyDescent="0.3">
      <c r="A269" s="51" t="s">
        <v>69</v>
      </c>
      <c r="B269" s="51"/>
      <c r="C269" s="51"/>
      <c r="D269" s="51"/>
      <c r="E269" s="51"/>
      <c r="F269" s="51"/>
      <c r="G269" s="51"/>
      <c r="H269" s="51"/>
      <c r="I269" s="51"/>
    </row>
    <row r="270" spans="1:9" ht="17.25" x14ac:dyDescent="0.3">
      <c r="A270" s="51"/>
      <c r="B270" s="51"/>
      <c r="C270" s="51"/>
      <c r="D270" s="51"/>
      <c r="E270" s="51"/>
      <c r="F270" s="51"/>
      <c r="G270" s="51"/>
      <c r="H270" s="51"/>
      <c r="I270" s="51"/>
    </row>
    <row r="271" spans="1:9" ht="17.25" x14ac:dyDescent="0.3">
      <c r="A271" s="51"/>
      <c r="B271" s="51"/>
      <c r="C271" s="51"/>
      <c r="D271" s="51"/>
      <c r="E271" s="51"/>
      <c r="F271" s="51"/>
      <c r="G271" s="51"/>
      <c r="H271" s="51"/>
      <c r="I271" s="51"/>
    </row>
    <row r="272" spans="1:9" ht="17.25" x14ac:dyDescent="0.3">
      <c r="A272" s="51" t="s">
        <v>70</v>
      </c>
      <c r="B272" s="51"/>
      <c r="C272" s="51"/>
      <c r="D272" s="51"/>
      <c r="E272" s="51"/>
      <c r="F272" s="51"/>
      <c r="G272" s="51"/>
      <c r="H272" s="51"/>
      <c r="I272" s="51"/>
    </row>
    <row r="273" spans="1:9" ht="17.25" x14ac:dyDescent="0.3">
      <c r="A273" s="51"/>
      <c r="B273" s="51"/>
      <c r="C273" s="51"/>
      <c r="D273" s="51"/>
      <c r="E273" s="51"/>
      <c r="F273" s="51"/>
      <c r="G273" s="51"/>
      <c r="H273" s="51"/>
      <c r="I273" s="51"/>
    </row>
    <row r="274" spans="1:9" ht="17.25" x14ac:dyDescent="0.3">
      <c r="A274" s="51" t="s">
        <v>40</v>
      </c>
      <c r="B274" s="51"/>
      <c r="C274" s="51"/>
      <c r="D274" s="51"/>
      <c r="E274" s="51"/>
      <c r="F274" s="51"/>
      <c r="G274" s="51"/>
      <c r="H274" s="51"/>
      <c r="I274" s="51"/>
    </row>
    <row r="275" spans="1:9" ht="17.25" x14ac:dyDescent="0.3">
      <c r="A275" s="51"/>
      <c r="B275" s="51"/>
      <c r="C275" s="51"/>
      <c r="D275" s="51"/>
      <c r="E275" s="51"/>
      <c r="F275" s="51"/>
      <c r="G275" s="51"/>
      <c r="H275" s="51"/>
      <c r="I275" s="51"/>
    </row>
    <row r="276" spans="1:9" ht="33" customHeight="1" x14ac:dyDescent="0.3">
      <c r="A276" s="91" t="s">
        <v>71</v>
      </c>
      <c r="B276" s="91"/>
      <c r="C276" s="91"/>
      <c r="D276" s="91"/>
      <c r="E276" s="91"/>
      <c r="F276" s="91"/>
      <c r="G276" s="91"/>
      <c r="H276" s="55"/>
      <c r="I276" s="55"/>
    </row>
    <row r="277" spans="1:9" ht="17.25" x14ac:dyDescent="0.3">
      <c r="A277" s="51"/>
      <c r="B277" s="51"/>
      <c r="C277" s="51"/>
      <c r="D277" s="51"/>
      <c r="E277" s="51"/>
      <c r="F277" s="51"/>
      <c r="G277" s="51"/>
      <c r="H277" s="51"/>
      <c r="I277" s="51"/>
    </row>
    <row r="278" spans="1:9" ht="33" customHeight="1" x14ac:dyDescent="0.3">
      <c r="A278" s="91" t="s">
        <v>72</v>
      </c>
      <c r="B278" s="91"/>
      <c r="C278" s="91"/>
      <c r="D278" s="91"/>
      <c r="E278" s="91"/>
      <c r="F278" s="91"/>
      <c r="G278" s="91"/>
      <c r="H278" s="55"/>
      <c r="I278" s="55"/>
    </row>
    <row r="279" spans="1:9" ht="17.25" x14ac:dyDescent="0.3">
      <c r="A279" s="51"/>
      <c r="B279" s="51"/>
      <c r="C279" s="51"/>
      <c r="D279" s="51"/>
      <c r="E279" s="51"/>
      <c r="F279" s="51"/>
      <c r="G279" s="51"/>
      <c r="H279" s="51"/>
      <c r="I279" s="51"/>
    </row>
    <row r="280" spans="1:9" ht="33" customHeight="1" x14ac:dyDescent="0.3">
      <c r="A280" s="91" t="s">
        <v>73</v>
      </c>
      <c r="B280" s="91"/>
      <c r="C280" s="91"/>
      <c r="D280" s="91"/>
      <c r="E280" s="91"/>
      <c r="F280" s="91"/>
      <c r="G280" s="91"/>
      <c r="H280" s="55"/>
      <c r="I280" s="55"/>
    </row>
    <row r="282" spans="1:9" ht="18.75" x14ac:dyDescent="0.3">
      <c r="A282" s="1" t="s">
        <v>75</v>
      </c>
      <c r="B282" s="2"/>
      <c r="C282" s="2"/>
      <c r="D282" s="2"/>
      <c r="E282" s="2"/>
      <c r="F282" s="2"/>
      <c r="G282" s="53"/>
    </row>
    <row r="283" spans="1:9" ht="15.75" x14ac:dyDescent="0.25">
      <c r="A283" s="3" t="s">
        <v>1</v>
      </c>
      <c r="B283" s="3" t="s">
        <v>2</v>
      </c>
      <c r="C283" s="4" t="s">
        <v>3</v>
      </c>
      <c r="D283" s="4"/>
      <c r="E283" s="4"/>
      <c r="F283" s="4"/>
      <c r="G283" s="62" t="s">
        <v>30</v>
      </c>
    </row>
    <row r="284" spans="1:9" ht="15.75" x14ac:dyDescent="0.25">
      <c r="A284" s="5">
        <v>45056</v>
      </c>
      <c r="B284" s="6" t="s">
        <v>4</v>
      </c>
      <c r="C284" s="7" t="s">
        <v>5</v>
      </c>
      <c r="D284" s="7"/>
      <c r="E284" s="7"/>
      <c r="F284" s="7"/>
      <c r="G284" s="52">
        <v>1172.99</v>
      </c>
    </row>
    <row r="285" spans="1:9" ht="15.75" x14ac:dyDescent="0.25">
      <c r="A285" s="5">
        <v>45056</v>
      </c>
      <c r="B285" s="6" t="s">
        <v>4</v>
      </c>
      <c r="C285" s="7" t="s">
        <v>6</v>
      </c>
      <c r="D285" s="7"/>
      <c r="E285" s="7"/>
      <c r="F285" s="7"/>
      <c r="G285" s="52">
        <v>4200</v>
      </c>
    </row>
    <row r="286" spans="1:9" ht="15.75" x14ac:dyDescent="0.25">
      <c r="A286" s="5">
        <v>45061</v>
      </c>
      <c r="B286" s="6" t="s">
        <v>4</v>
      </c>
      <c r="C286" s="7" t="s">
        <v>79</v>
      </c>
      <c r="D286" s="7"/>
      <c r="E286" s="7"/>
      <c r="F286" s="7"/>
      <c r="G286" s="52">
        <v>1045.94</v>
      </c>
    </row>
    <row r="287" spans="1:9" ht="15.75" x14ac:dyDescent="0.25">
      <c r="A287" s="5">
        <v>45061</v>
      </c>
      <c r="B287" s="6" t="s">
        <v>4</v>
      </c>
      <c r="C287" s="7" t="s">
        <v>8</v>
      </c>
      <c r="D287" s="7"/>
      <c r="E287" s="7"/>
      <c r="F287" s="7"/>
      <c r="G287" s="52">
        <v>187.73000000000047</v>
      </c>
    </row>
    <row r="288" spans="1:9" ht="15.75" x14ac:dyDescent="0.25">
      <c r="A288" s="8">
        <v>45063</v>
      </c>
      <c r="B288" s="6" t="s">
        <v>4</v>
      </c>
      <c r="C288" s="7" t="s">
        <v>9</v>
      </c>
      <c r="D288" s="7"/>
      <c r="E288" s="7"/>
      <c r="F288" s="7"/>
      <c r="G288" s="52">
        <v>313.42</v>
      </c>
    </row>
    <row r="289" spans="1:7" ht="15.75" x14ac:dyDescent="0.25">
      <c r="A289" s="8">
        <v>45066</v>
      </c>
      <c r="B289" s="54" t="s">
        <v>4</v>
      </c>
      <c r="C289" s="7" t="s">
        <v>47</v>
      </c>
      <c r="D289" s="7"/>
      <c r="E289" s="7"/>
      <c r="F289" s="7"/>
      <c r="G289" s="52">
        <v>195.98</v>
      </c>
    </row>
    <row r="290" spans="1:7" ht="15.75" x14ac:dyDescent="0.25">
      <c r="A290" s="5">
        <v>45017</v>
      </c>
      <c r="B290" s="6" t="s">
        <v>4</v>
      </c>
      <c r="C290" s="7" t="s">
        <v>76</v>
      </c>
      <c r="D290" s="7"/>
      <c r="E290" s="7"/>
      <c r="F290" s="7"/>
      <c r="G290" s="52">
        <v>45.9</v>
      </c>
    </row>
    <row r="291" spans="1:7" ht="15.75" x14ac:dyDescent="0.25">
      <c r="A291" s="8">
        <v>45034</v>
      </c>
      <c r="B291" s="6" t="s">
        <v>4</v>
      </c>
      <c r="C291" s="7" t="s">
        <v>84</v>
      </c>
      <c r="D291" s="7"/>
      <c r="E291" s="7"/>
      <c r="F291" s="7"/>
      <c r="G291" s="52">
        <v>29.9</v>
      </c>
    </row>
    <row r="292" spans="1:7" ht="15.75" x14ac:dyDescent="0.25">
      <c r="A292" s="8">
        <v>45071</v>
      </c>
      <c r="B292" s="6" t="s">
        <v>4</v>
      </c>
      <c r="C292" s="7" t="s">
        <v>77</v>
      </c>
      <c r="D292" s="7"/>
      <c r="E292" s="7"/>
      <c r="F292" s="7"/>
      <c r="G292" s="52">
        <v>149.97</v>
      </c>
    </row>
    <row r="293" spans="1:7" ht="15.75" x14ac:dyDescent="0.25">
      <c r="A293" s="8">
        <v>45061</v>
      </c>
      <c r="B293" s="6" t="s">
        <v>4</v>
      </c>
      <c r="C293" s="32" t="s">
        <v>78</v>
      </c>
      <c r="D293" s="7"/>
      <c r="E293" s="7"/>
      <c r="F293" s="7"/>
      <c r="G293" s="52">
        <v>606</v>
      </c>
    </row>
    <row r="294" spans="1:7" ht="15.75" x14ac:dyDescent="0.25">
      <c r="A294" s="8">
        <v>45072</v>
      </c>
      <c r="B294" s="6" t="s">
        <v>4</v>
      </c>
      <c r="C294" s="7" t="s">
        <v>14</v>
      </c>
      <c r="D294" s="7"/>
      <c r="E294" s="7"/>
      <c r="F294" s="7"/>
      <c r="G294" s="52">
        <v>130</v>
      </c>
    </row>
    <row r="295" spans="1:7" ht="15.75" x14ac:dyDescent="0.25">
      <c r="A295" s="8">
        <v>45047</v>
      </c>
      <c r="B295" s="6" t="s">
        <v>4</v>
      </c>
      <c r="C295" s="7" t="s">
        <v>15</v>
      </c>
      <c r="D295" s="7"/>
      <c r="E295" s="7"/>
      <c r="F295" s="7"/>
      <c r="G295" s="52">
        <v>60</v>
      </c>
    </row>
    <row r="296" spans="1:7" ht="21" x14ac:dyDescent="0.35">
      <c r="A296" s="9" t="s">
        <v>16</v>
      </c>
      <c r="B296" s="10"/>
      <c r="C296" s="11"/>
      <c r="D296" s="11"/>
      <c r="E296" s="11"/>
      <c r="F296" s="11"/>
      <c r="G296" s="12">
        <f>SUM(G284:G295)</f>
        <v>8137.83</v>
      </c>
    </row>
    <row r="297" spans="1:7" ht="21" x14ac:dyDescent="0.35">
      <c r="A297" s="13" t="s">
        <v>17</v>
      </c>
      <c r="B297" s="11"/>
      <c r="C297" s="11"/>
      <c r="D297" s="11"/>
      <c r="E297" s="11"/>
      <c r="F297" s="11"/>
      <c r="G297" s="14">
        <f>ROUND(G296/14,2)</f>
        <v>581.27</v>
      </c>
    </row>
    <row r="298" spans="1:7" ht="21" x14ac:dyDescent="0.35">
      <c r="A298" s="13" t="s">
        <v>74</v>
      </c>
      <c r="B298" s="11"/>
      <c r="C298" s="11"/>
      <c r="D298" s="11"/>
      <c r="E298" s="11"/>
      <c r="F298" s="11"/>
      <c r="G298" s="14">
        <f>ROUND(G297/13,2)</f>
        <v>44.71</v>
      </c>
    </row>
    <row r="299" spans="1:7" ht="21" x14ac:dyDescent="0.35">
      <c r="A299" s="13" t="s">
        <v>19</v>
      </c>
      <c r="B299" s="11"/>
      <c r="C299" s="11"/>
      <c r="D299" s="11"/>
      <c r="E299" s="11"/>
      <c r="F299" s="11"/>
      <c r="G299" s="12">
        <f>G297+G298</f>
        <v>625.98</v>
      </c>
    </row>
    <row r="306" spans="1:7" ht="21" x14ac:dyDescent="0.35">
      <c r="A306" s="88" t="s">
        <v>20</v>
      </c>
      <c r="B306" s="89"/>
      <c r="C306" s="89"/>
      <c r="D306" s="89"/>
      <c r="E306" s="89"/>
      <c r="F306" s="89"/>
      <c r="G306" s="90"/>
    </row>
    <row r="309" spans="1:7" ht="18.75" x14ac:dyDescent="0.25">
      <c r="A309" s="19" t="s">
        <v>80</v>
      </c>
      <c r="B309" s="15"/>
      <c r="C309" s="15"/>
      <c r="D309" s="15"/>
      <c r="E309" s="15"/>
      <c r="F309" s="15"/>
      <c r="G309" s="16"/>
    </row>
    <row r="310" spans="1:7" ht="15.75" x14ac:dyDescent="0.25">
      <c r="A310" s="17"/>
      <c r="B310" s="18"/>
      <c r="C310" s="18"/>
      <c r="D310" s="18"/>
      <c r="E310" s="18"/>
      <c r="F310" s="18"/>
      <c r="G310" s="18"/>
    </row>
    <row r="311" spans="1:7" ht="15.75" x14ac:dyDescent="0.25">
      <c r="A311" s="17"/>
      <c r="B311" s="18"/>
      <c r="C311" s="18"/>
      <c r="D311" s="18"/>
      <c r="E311" s="18"/>
      <c r="F311" s="18"/>
      <c r="G311" s="18"/>
    </row>
    <row r="312" spans="1:7" ht="15.75" x14ac:dyDescent="0.25">
      <c r="A312" s="20" t="s">
        <v>22</v>
      </c>
      <c r="B312" s="21" t="s">
        <v>23</v>
      </c>
      <c r="C312" s="22"/>
      <c r="D312" s="21" t="s">
        <v>24</v>
      </c>
      <c r="E312" s="22"/>
      <c r="F312" s="59" t="s">
        <v>25</v>
      </c>
      <c r="G312" s="60" t="s">
        <v>26</v>
      </c>
    </row>
    <row r="313" spans="1:7" ht="15.75" x14ac:dyDescent="0.25">
      <c r="A313" s="23" t="s">
        <v>27</v>
      </c>
      <c r="B313" s="24" t="s">
        <v>28</v>
      </c>
      <c r="C313" s="24" t="s">
        <v>29</v>
      </c>
      <c r="D313" s="24" t="s">
        <v>28</v>
      </c>
      <c r="E313" s="24" t="s">
        <v>30</v>
      </c>
      <c r="F313" s="58" t="s">
        <v>31</v>
      </c>
      <c r="G313" s="61" t="s">
        <v>31</v>
      </c>
    </row>
    <row r="314" spans="1:7" ht="15.75" x14ac:dyDescent="0.25">
      <c r="A314" s="25" t="s">
        <v>32</v>
      </c>
      <c r="B314" s="26">
        <v>20.370000000000033</v>
      </c>
      <c r="C314" s="27">
        <v>187.73000000000047</v>
      </c>
      <c r="D314" s="28">
        <v>0</v>
      </c>
      <c r="E314" s="27">
        <v>0</v>
      </c>
      <c r="F314" s="29">
        <v>0</v>
      </c>
      <c r="G314" s="27">
        <v>0</v>
      </c>
    </row>
    <row r="315" spans="1:7" ht="15.75" x14ac:dyDescent="0.25">
      <c r="A315" s="30">
        <v>201</v>
      </c>
      <c r="B315" s="26">
        <v>13.992000000000001</v>
      </c>
      <c r="C315" s="27">
        <v>149.97999999999999</v>
      </c>
      <c r="D315" s="31">
        <v>1.6E-2</v>
      </c>
      <c r="E315" s="27">
        <v>0.53</v>
      </c>
      <c r="F315" s="27">
        <v>625.98</v>
      </c>
      <c r="G315" s="27">
        <v>777</v>
      </c>
    </row>
    <row r="316" spans="1:7" ht="15.75" x14ac:dyDescent="0.25">
      <c r="A316" s="30">
        <v>202</v>
      </c>
      <c r="B316" s="26">
        <v>43.622</v>
      </c>
      <c r="C316" s="27">
        <v>329.53</v>
      </c>
      <c r="D316" s="28">
        <v>3.7410000000000001</v>
      </c>
      <c r="E316" s="27">
        <v>124.58</v>
      </c>
      <c r="F316" s="27">
        <v>625.98</v>
      </c>
      <c r="G316" s="27">
        <v>1081</v>
      </c>
    </row>
    <row r="317" spans="1:7" ht="15.75" x14ac:dyDescent="0.25">
      <c r="A317" s="30">
        <v>301</v>
      </c>
      <c r="B317" s="26">
        <v>17.486000000000001</v>
      </c>
      <c r="C317" s="27">
        <v>171.15</v>
      </c>
      <c r="D317" s="28">
        <v>3.2290000000000001</v>
      </c>
      <c r="E317" s="27">
        <v>107.53</v>
      </c>
      <c r="F317" s="27">
        <v>625.98</v>
      </c>
      <c r="G317" s="27">
        <v>905</v>
      </c>
    </row>
    <row r="318" spans="1:7" ht="15.75" x14ac:dyDescent="0.25">
      <c r="A318" s="30">
        <v>302</v>
      </c>
      <c r="B318" s="26">
        <v>13.913</v>
      </c>
      <c r="C318" s="27">
        <v>149.5</v>
      </c>
      <c r="D318" s="28">
        <v>1.909</v>
      </c>
      <c r="E318" s="27">
        <v>63.57</v>
      </c>
      <c r="F318" s="27">
        <v>625.98</v>
      </c>
      <c r="G318" s="27">
        <v>840</v>
      </c>
    </row>
    <row r="319" spans="1:7" ht="15.75" x14ac:dyDescent="0.25">
      <c r="A319" s="30">
        <v>401</v>
      </c>
      <c r="B319" s="26">
        <v>13.398</v>
      </c>
      <c r="C319" s="27">
        <v>146.38</v>
      </c>
      <c r="D319" s="28">
        <v>1.6579999999999999</v>
      </c>
      <c r="E319" s="27">
        <v>55.21</v>
      </c>
      <c r="F319" s="27">
        <v>625.98</v>
      </c>
      <c r="G319" s="27">
        <v>828</v>
      </c>
    </row>
    <row r="320" spans="1:7" ht="15.75" x14ac:dyDescent="0.25">
      <c r="A320" s="30">
        <v>402</v>
      </c>
      <c r="B320" s="26">
        <v>17.652999999999999</v>
      </c>
      <c r="C320" s="27">
        <v>172.16</v>
      </c>
      <c r="D320" s="28">
        <v>4.62</v>
      </c>
      <c r="E320" s="27">
        <v>153.85</v>
      </c>
      <c r="F320" s="27">
        <v>625.98</v>
      </c>
      <c r="G320" s="27">
        <v>952</v>
      </c>
    </row>
    <row r="321" spans="1:7" ht="15.75" x14ac:dyDescent="0.25">
      <c r="A321" s="30">
        <v>501</v>
      </c>
      <c r="B321" s="26">
        <v>11.041</v>
      </c>
      <c r="C321" s="27">
        <v>132.09</v>
      </c>
      <c r="D321" s="28">
        <v>1.1100000000000001</v>
      </c>
      <c r="E321" s="27">
        <v>36.96</v>
      </c>
      <c r="F321" s="27">
        <v>625.98</v>
      </c>
      <c r="G321" s="27">
        <v>796</v>
      </c>
    </row>
    <row r="322" spans="1:7" ht="15.75" x14ac:dyDescent="0.25">
      <c r="A322" s="30">
        <v>502</v>
      </c>
      <c r="B322" s="26">
        <v>9.5210000000000008</v>
      </c>
      <c r="C322" s="27">
        <v>122.88</v>
      </c>
      <c r="D322" s="28">
        <v>0.98699999999999999</v>
      </c>
      <c r="E322" s="27">
        <v>32.869999999999997</v>
      </c>
      <c r="F322" s="27">
        <v>625.98</v>
      </c>
      <c r="G322" s="27">
        <v>782</v>
      </c>
    </row>
    <row r="323" spans="1:7" ht="15.75" x14ac:dyDescent="0.25">
      <c r="A323" s="30">
        <v>601</v>
      </c>
      <c r="B323" s="26">
        <v>7.1539999999999999</v>
      </c>
      <c r="C323" s="27">
        <v>108.54</v>
      </c>
      <c r="D323" s="28">
        <v>0.52800000000000002</v>
      </c>
      <c r="E323" s="27">
        <v>17.579999999999998</v>
      </c>
      <c r="F323" s="27">
        <v>625.98</v>
      </c>
      <c r="G323" s="27">
        <v>753</v>
      </c>
    </row>
    <row r="324" spans="1:7" ht="15.75" x14ac:dyDescent="0.25">
      <c r="A324" s="30">
        <v>602</v>
      </c>
      <c r="B324" s="26">
        <v>6.8970000000000002</v>
      </c>
      <c r="C324" s="27">
        <v>106.98</v>
      </c>
      <c r="D324" s="28">
        <v>2.4359999999999999</v>
      </c>
      <c r="E324" s="27">
        <v>81.12</v>
      </c>
      <c r="F324" s="27">
        <v>625.98</v>
      </c>
      <c r="G324" s="27">
        <v>815</v>
      </c>
    </row>
    <row r="325" spans="1:7" ht="15.75" x14ac:dyDescent="0.25">
      <c r="A325" s="30">
        <v>701</v>
      </c>
      <c r="B325" s="26">
        <v>10.09</v>
      </c>
      <c r="C325" s="27">
        <v>126.33</v>
      </c>
      <c r="D325" s="28">
        <v>1.038</v>
      </c>
      <c r="E325" s="27">
        <v>34.57</v>
      </c>
      <c r="F325" s="27">
        <v>625.98</v>
      </c>
      <c r="G325" s="27">
        <v>787</v>
      </c>
    </row>
    <row r="326" spans="1:7" ht="15.75" x14ac:dyDescent="0.25">
      <c r="A326" s="30">
        <v>702</v>
      </c>
      <c r="B326" s="26">
        <v>4.3579999999999997</v>
      </c>
      <c r="C326" s="27">
        <v>91.59</v>
      </c>
      <c r="D326" s="28">
        <v>1.6379999999999999</v>
      </c>
      <c r="E326" s="27">
        <v>54.55</v>
      </c>
      <c r="F326" s="27">
        <v>625.98</v>
      </c>
      <c r="G326" s="27">
        <v>773</v>
      </c>
    </row>
    <row r="327" spans="1:7" ht="15.75" x14ac:dyDescent="0.25">
      <c r="A327" s="30">
        <v>801</v>
      </c>
      <c r="B327" s="26">
        <v>8.0350000000000001</v>
      </c>
      <c r="C327" s="27">
        <v>113.88</v>
      </c>
      <c r="D327" s="28">
        <v>1.764</v>
      </c>
      <c r="E327" s="27">
        <v>58.74</v>
      </c>
      <c r="F327" s="27">
        <v>625.98</v>
      </c>
      <c r="G327" s="27">
        <v>799</v>
      </c>
    </row>
    <row r="328" spans="1:7" ht="15.75" x14ac:dyDescent="0.25">
      <c r="A328" s="30">
        <v>802</v>
      </c>
      <c r="B328" s="26">
        <v>21.47</v>
      </c>
      <c r="C328" s="27">
        <v>195.29</v>
      </c>
      <c r="D328" s="28">
        <v>2.4590000000000001</v>
      </c>
      <c r="E328" s="27">
        <v>81.88</v>
      </c>
      <c r="F328" s="27">
        <v>625.98</v>
      </c>
      <c r="G328" s="27">
        <v>904</v>
      </c>
    </row>
    <row r="330" spans="1:7" x14ac:dyDescent="0.25">
      <c r="A330" s="32"/>
      <c r="B330" s="7"/>
      <c r="C330" s="7"/>
      <c r="D330" s="7"/>
      <c r="E330" s="7"/>
      <c r="F330" s="7"/>
      <c r="G330" s="33"/>
    </row>
    <row r="331" spans="1:7" x14ac:dyDescent="0.25">
      <c r="A331" s="32"/>
      <c r="B331" s="7"/>
      <c r="C331" s="7"/>
      <c r="D331" s="7"/>
      <c r="E331" s="7"/>
      <c r="F331" s="7"/>
      <c r="G331" s="33"/>
    </row>
    <row r="332" spans="1:7" x14ac:dyDescent="0.25">
      <c r="A332" s="32"/>
      <c r="B332" s="7"/>
      <c r="C332" s="7"/>
      <c r="D332" s="7"/>
      <c r="E332" s="7"/>
      <c r="F332" s="7"/>
      <c r="G332" s="33"/>
    </row>
    <row r="334" spans="1:7" ht="15.75" x14ac:dyDescent="0.25">
      <c r="A334" s="34" t="s">
        <v>81</v>
      </c>
      <c r="B334" s="35"/>
      <c r="C334" s="35"/>
      <c r="D334" s="35"/>
      <c r="E334" s="35"/>
      <c r="F334" s="36"/>
      <c r="G334" s="57">
        <v>32006.92</v>
      </c>
    </row>
    <row r="335" spans="1:7" ht="15.75" x14ac:dyDescent="0.25">
      <c r="A335" s="37" t="s">
        <v>82</v>
      </c>
      <c r="B335" s="38"/>
      <c r="C335" s="38"/>
      <c r="D335" s="38"/>
      <c r="E335" s="38"/>
      <c r="F335" s="39"/>
      <c r="G335" s="57">
        <v>4200</v>
      </c>
    </row>
    <row r="336" spans="1:7" ht="15.75" x14ac:dyDescent="0.25">
      <c r="A336" s="34" t="s">
        <v>83</v>
      </c>
      <c r="B336" s="35"/>
      <c r="C336" s="35"/>
      <c r="D336" s="35"/>
      <c r="E336" s="35"/>
      <c r="F336" s="36"/>
      <c r="G336" s="57">
        <f>G334+G335</f>
        <v>36206.92</v>
      </c>
    </row>
    <row r="337" spans="1:9" ht="18.75" x14ac:dyDescent="0.3">
      <c r="A337" s="40"/>
      <c r="B337" s="40"/>
      <c r="C337" s="40"/>
      <c r="D337" s="40"/>
      <c r="E337" s="40"/>
      <c r="F337" s="40"/>
      <c r="G337" s="40"/>
    </row>
    <row r="338" spans="1:9" ht="31.5" customHeight="1" x14ac:dyDescent="0.25">
      <c r="A338" s="85" t="s">
        <v>54</v>
      </c>
      <c r="B338" s="86"/>
      <c r="C338" s="86"/>
      <c r="D338" s="86"/>
      <c r="E338" s="86"/>
      <c r="F338" s="86"/>
      <c r="G338" s="87"/>
    </row>
    <row r="339" spans="1:9" ht="15.75" x14ac:dyDescent="0.25">
      <c r="A339" s="41" t="s">
        <v>36</v>
      </c>
      <c r="B339" s="42"/>
      <c r="C339" s="42"/>
      <c r="D339" s="42"/>
      <c r="E339" s="42"/>
      <c r="F339" s="42"/>
      <c r="G339" s="43"/>
    </row>
    <row r="340" spans="1:9" ht="15.75" x14ac:dyDescent="0.25">
      <c r="A340" s="44" t="s">
        <v>37</v>
      </c>
      <c r="B340" s="45"/>
      <c r="C340" s="45"/>
      <c r="D340" s="45"/>
      <c r="E340" s="45"/>
      <c r="F340" s="45"/>
      <c r="G340" s="46"/>
    </row>
    <row r="341" spans="1:9" ht="15.75" x14ac:dyDescent="0.25">
      <c r="A341" s="47"/>
      <c r="B341" s="47"/>
      <c r="C341" s="47"/>
      <c r="D341" s="47"/>
      <c r="E341" s="47"/>
      <c r="F341" s="47"/>
      <c r="G341" s="47"/>
    </row>
    <row r="342" spans="1:9" ht="15.75" x14ac:dyDescent="0.25">
      <c r="A342" s="48" t="s">
        <v>50</v>
      </c>
      <c r="B342" s="49"/>
      <c r="C342" s="49"/>
      <c r="D342" s="49"/>
      <c r="E342" s="49"/>
      <c r="F342" s="49"/>
      <c r="G342" s="50"/>
    </row>
    <row r="343" spans="1:9" ht="15.75" x14ac:dyDescent="0.25">
      <c r="A343" s="47"/>
      <c r="B343" s="47"/>
      <c r="C343" s="47"/>
      <c r="D343" s="47"/>
      <c r="E343" s="47"/>
      <c r="F343" s="47"/>
      <c r="G343" s="47"/>
    </row>
    <row r="344" spans="1:9" ht="15.75" x14ac:dyDescent="0.25">
      <c r="A344" s="47"/>
      <c r="B344" s="47"/>
      <c r="C344" s="47"/>
      <c r="D344" s="47"/>
      <c r="E344" s="47"/>
      <c r="F344" s="47"/>
      <c r="G344" s="47"/>
    </row>
    <row r="345" spans="1:9" ht="15.75" x14ac:dyDescent="0.25">
      <c r="A345" s="47"/>
      <c r="B345" s="47"/>
      <c r="C345" s="47"/>
      <c r="D345" s="47"/>
      <c r="E345" s="47"/>
      <c r="F345" s="47"/>
      <c r="G345" s="47"/>
    </row>
    <row r="352" spans="1:9" ht="21" x14ac:dyDescent="0.35">
      <c r="A352" s="88" t="s">
        <v>20</v>
      </c>
      <c r="B352" s="89"/>
      <c r="C352" s="89"/>
      <c r="D352" s="89"/>
      <c r="E352" s="89"/>
      <c r="F352" s="89"/>
      <c r="G352" s="90"/>
      <c r="H352" s="56"/>
      <c r="I352" s="56"/>
    </row>
    <row r="355" spans="1:9" ht="17.25" x14ac:dyDescent="0.3">
      <c r="A355" s="51" t="s">
        <v>85</v>
      </c>
      <c r="B355" s="51"/>
      <c r="C355" s="51"/>
      <c r="D355" s="51"/>
      <c r="E355" s="51"/>
      <c r="F355" s="51"/>
      <c r="G355" s="51"/>
      <c r="H355" s="51"/>
      <c r="I355" s="51"/>
    </row>
    <row r="356" spans="1:9" ht="17.25" x14ac:dyDescent="0.3">
      <c r="A356" s="51"/>
      <c r="B356" s="51"/>
      <c r="C356" s="51"/>
      <c r="D356" s="51"/>
      <c r="E356" s="51"/>
      <c r="F356" s="51"/>
      <c r="G356" s="51"/>
      <c r="H356" s="51"/>
      <c r="I356" s="51"/>
    </row>
    <row r="357" spans="1:9" ht="17.25" x14ac:dyDescent="0.3">
      <c r="A357" s="51" t="s">
        <v>86</v>
      </c>
      <c r="B357" s="51"/>
      <c r="C357" s="51"/>
      <c r="D357" s="51"/>
      <c r="E357" s="51"/>
      <c r="F357" s="51"/>
      <c r="G357" s="51"/>
      <c r="H357" s="51"/>
      <c r="I357" s="51"/>
    </row>
    <row r="358" spans="1:9" ht="17.25" x14ac:dyDescent="0.3">
      <c r="A358" s="51"/>
      <c r="B358" s="51"/>
      <c r="C358" s="51"/>
      <c r="D358" s="51"/>
      <c r="E358" s="51"/>
      <c r="F358" s="51"/>
      <c r="G358" s="51"/>
      <c r="H358" s="51"/>
      <c r="I358" s="51"/>
    </row>
    <row r="359" spans="1:9" ht="17.25" x14ac:dyDescent="0.3">
      <c r="A359" s="51"/>
      <c r="B359" s="51"/>
      <c r="C359" s="51"/>
      <c r="D359" s="51"/>
      <c r="E359" s="51"/>
      <c r="F359" s="51"/>
      <c r="G359" s="51"/>
      <c r="H359" s="51"/>
      <c r="I359" s="51"/>
    </row>
    <row r="360" spans="1:9" ht="17.25" x14ac:dyDescent="0.3">
      <c r="A360" s="51" t="s">
        <v>87</v>
      </c>
      <c r="B360" s="51"/>
      <c r="C360" s="51"/>
      <c r="D360" s="51"/>
      <c r="E360" s="51"/>
      <c r="F360" s="51"/>
      <c r="G360" s="51"/>
      <c r="H360" s="51"/>
      <c r="I360" s="51"/>
    </row>
    <row r="361" spans="1:9" ht="17.25" x14ac:dyDescent="0.3">
      <c r="A361" s="51"/>
      <c r="B361" s="51"/>
      <c r="C361" s="51"/>
      <c r="D361" s="51"/>
      <c r="E361" s="51"/>
      <c r="F361" s="51"/>
      <c r="G361" s="51"/>
      <c r="H361" s="51"/>
      <c r="I361" s="51"/>
    </row>
    <row r="362" spans="1:9" ht="17.25" x14ac:dyDescent="0.3">
      <c r="A362" s="51" t="s">
        <v>40</v>
      </c>
      <c r="B362" s="51"/>
      <c r="C362" s="51"/>
      <c r="D362" s="51"/>
      <c r="E362" s="51"/>
      <c r="F362" s="51"/>
      <c r="G362" s="51"/>
      <c r="H362" s="51"/>
      <c r="I362" s="51"/>
    </row>
    <row r="363" spans="1:9" ht="17.25" x14ac:dyDescent="0.3">
      <c r="A363" s="51"/>
      <c r="B363" s="51"/>
      <c r="C363" s="51"/>
      <c r="D363" s="51"/>
      <c r="E363" s="51"/>
      <c r="F363" s="51"/>
      <c r="G363" s="51"/>
      <c r="H363" s="51"/>
      <c r="I363" s="51"/>
    </row>
    <row r="364" spans="1:9" ht="33" customHeight="1" x14ac:dyDescent="0.3">
      <c r="A364" s="91" t="s">
        <v>88</v>
      </c>
      <c r="B364" s="91"/>
      <c r="C364" s="91"/>
      <c r="D364" s="91"/>
      <c r="E364" s="91"/>
      <c r="F364" s="91"/>
      <c r="G364" s="91"/>
      <c r="H364" s="55"/>
      <c r="I364" s="55"/>
    </row>
    <row r="365" spans="1:9" ht="17.25" x14ac:dyDescent="0.3">
      <c r="A365" s="51"/>
      <c r="B365" s="51"/>
      <c r="C365" s="51"/>
      <c r="D365" s="51"/>
      <c r="E365" s="51"/>
      <c r="F365" s="51"/>
      <c r="G365" s="51"/>
      <c r="H365" s="51"/>
      <c r="I365" s="51"/>
    </row>
    <row r="366" spans="1:9" ht="33" customHeight="1" x14ac:dyDescent="0.3">
      <c r="A366" s="91" t="s">
        <v>89</v>
      </c>
      <c r="B366" s="91"/>
      <c r="C366" s="91"/>
      <c r="D366" s="91"/>
      <c r="E366" s="91"/>
      <c r="F366" s="91"/>
      <c r="G366" s="91"/>
      <c r="H366" s="55"/>
      <c r="I366" s="55"/>
    </row>
    <row r="367" spans="1:9" ht="17.25" x14ac:dyDescent="0.3">
      <c r="A367" s="51"/>
      <c r="B367" s="51"/>
      <c r="C367" s="51"/>
      <c r="D367" s="51"/>
      <c r="E367" s="51"/>
      <c r="F367" s="51"/>
      <c r="G367" s="51"/>
      <c r="H367" s="51"/>
      <c r="I367" s="51"/>
    </row>
    <row r="368" spans="1:9" ht="33" customHeight="1" x14ac:dyDescent="0.3">
      <c r="A368" s="91" t="s">
        <v>90</v>
      </c>
      <c r="B368" s="91"/>
      <c r="C368" s="91"/>
      <c r="D368" s="91"/>
      <c r="E368" s="91"/>
      <c r="F368" s="91"/>
      <c r="G368" s="91"/>
      <c r="H368" s="55"/>
      <c r="I368" s="55"/>
    </row>
    <row r="370" spans="1:7" ht="18.75" x14ac:dyDescent="0.3">
      <c r="A370" s="1" t="s">
        <v>91</v>
      </c>
      <c r="B370" s="2"/>
      <c r="C370" s="2"/>
      <c r="D370" s="2"/>
      <c r="E370" s="2"/>
      <c r="F370" s="2"/>
      <c r="G370" s="53"/>
    </row>
    <row r="371" spans="1:7" ht="15.75" x14ac:dyDescent="0.25">
      <c r="A371" s="3" t="s">
        <v>1</v>
      </c>
      <c r="B371" s="3" t="s">
        <v>2</v>
      </c>
      <c r="C371" s="4" t="s">
        <v>3</v>
      </c>
      <c r="D371" s="4"/>
      <c r="E371" s="4"/>
      <c r="F371" s="4"/>
      <c r="G371" s="62" t="s">
        <v>30</v>
      </c>
    </row>
    <row r="372" spans="1:7" ht="15.75" x14ac:dyDescent="0.25">
      <c r="A372" s="5">
        <v>45089</v>
      </c>
      <c r="B372" s="6" t="s">
        <v>4</v>
      </c>
      <c r="C372" s="7" t="s">
        <v>5</v>
      </c>
      <c r="D372" s="7"/>
      <c r="E372" s="7"/>
      <c r="F372" s="7"/>
      <c r="G372" s="52">
        <v>1172.99</v>
      </c>
    </row>
    <row r="373" spans="1:7" ht="15.75" x14ac:dyDescent="0.25">
      <c r="A373" s="5">
        <v>45089</v>
      </c>
      <c r="B373" s="6" t="s">
        <v>4</v>
      </c>
      <c r="C373" s="7" t="s">
        <v>6</v>
      </c>
      <c r="D373" s="7"/>
      <c r="E373" s="7"/>
      <c r="F373" s="7"/>
      <c r="G373" s="52">
        <v>4200</v>
      </c>
    </row>
    <row r="374" spans="1:7" ht="15.75" x14ac:dyDescent="0.25">
      <c r="A374" s="5">
        <v>45092</v>
      </c>
      <c r="B374" s="6" t="s">
        <v>4</v>
      </c>
      <c r="C374" s="7" t="s">
        <v>61</v>
      </c>
      <c r="D374" s="7"/>
      <c r="E374" s="7"/>
      <c r="F374" s="7"/>
      <c r="G374" s="52">
        <v>1142.56</v>
      </c>
    </row>
    <row r="375" spans="1:7" ht="15.75" x14ac:dyDescent="0.25">
      <c r="A375" s="5">
        <v>45092</v>
      </c>
      <c r="B375" s="6" t="s">
        <v>4</v>
      </c>
      <c r="C375" s="7" t="s">
        <v>8</v>
      </c>
      <c r="D375" s="7"/>
      <c r="E375" s="7"/>
      <c r="F375" s="7"/>
      <c r="G375" s="52">
        <v>332.07000000000016</v>
      </c>
    </row>
    <row r="376" spans="1:7" ht="15.75" x14ac:dyDescent="0.25">
      <c r="A376" s="8">
        <v>45096</v>
      </c>
      <c r="B376" s="6" t="s">
        <v>4</v>
      </c>
      <c r="C376" s="7" t="s">
        <v>9</v>
      </c>
      <c r="D376" s="7"/>
      <c r="E376" s="7"/>
      <c r="F376" s="7"/>
      <c r="G376" s="52">
        <v>340.87</v>
      </c>
    </row>
    <row r="377" spans="1:7" ht="15.75" x14ac:dyDescent="0.25">
      <c r="A377" s="8">
        <v>45097</v>
      </c>
      <c r="B377" s="54" t="s">
        <v>4</v>
      </c>
      <c r="C377" s="7" t="s">
        <v>47</v>
      </c>
      <c r="D377" s="7"/>
      <c r="E377" s="7"/>
      <c r="F377" s="7"/>
      <c r="G377" s="52">
        <v>195.98</v>
      </c>
    </row>
    <row r="378" spans="1:7" ht="15.75" x14ac:dyDescent="0.25">
      <c r="A378" s="5">
        <v>45105</v>
      </c>
      <c r="B378" s="6" t="s">
        <v>4</v>
      </c>
      <c r="C378" s="7" t="s">
        <v>14</v>
      </c>
      <c r="D378" s="7"/>
      <c r="E378" s="7"/>
      <c r="F378" s="7"/>
      <c r="G378" s="52">
        <v>130</v>
      </c>
    </row>
    <row r="379" spans="1:7" ht="15.75" x14ac:dyDescent="0.25">
      <c r="A379" s="8">
        <v>45078</v>
      </c>
      <c r="B379" s="6" t="s">
        <v>4</v>
      </c>
      <c r="C379" s="7" t="s">
        <v>15</v>
      </c>
      <c r="D379" s="7"/>
      <c r="E379" s="7"/>
      <c r="F379" s="7"/>
      <c r="G379" s="52">
        <v>60</v>
      </c>
    </row>
    <row r="380" spans="1:7" ht="21" x14ac:dyDescent="0.35">
      <c r="A380" s="9" t="s">
        <v>16</v>
      </c>
      <c r="B380" s="10"/>
      <c r="C380" s="11"/>
      <c r="D380" s="11"/>
      <c r="E380" s="11"/>
      <c r="F380" s="11"/>
      <c r="G380" s="12">
        <f>SUM(G372:G379)</f>
        <v>7574.4699999999984</v>
      </c>
    </row>
    <row r="381" spans="1:7" ht="21" x14ac:dyDescent="0.35">
      <c r="A381" s="13" t="s">
        <v>17</v>
      </c>
      <c r="B381" s="11"/>
      <c r="C381" s="11"/>
      <c r="D381" s="11"/>
      <c r="E381" s="11"/>
      <c r="F381" s="11"/>
      <c r="G381" s="14">
        <f>ROUND(G380/14,2)</f>
        <v>541.03</v>
      </c>
    </row>
    <row r="382" spans="1:7" ht="21" x14ac:dyDescent="0.35">
      <c r="A382" s="13" t="s">
        <v>74</v>
      </c>
      <c r="B382" s="11"/>
      <c r="C382" s="11"/>
      <c r="D382" s="11"/>
      <c r="E382" s="11"/>
      <c r="F382" s="11"/>
      <c r="G382" s="14">
        <f>ROUND(G381/13,2)</f>
        <v>41.62</v>
      </c>
    </row>
    <row r="383" spans="1:7" ht="21" x14ac:dyDescent="0.35">
      <c r="A383" s="13" t="s">
        <v>19</v>
      </c>
      <c r="B383" s="11"/>
      <c r="C383" s="11"/>
      <c r="D383" s="11"/>
      <c r="E383" s="11"/>
      <c r="F383" s="11"/>
      <c r="G383" s="12">
        <f>G381+G382</f>
        <v>582.65</v>
      </c>
    </row>
    <row r="393" spans="1:7" ht="21" x14ac:dyDescent="0.35">
      <c r="A393" s="88" t="s">
        <v>20</v>
      </c>
      <c r="B393" s="89"/>
      <c r="C393" s="89"/>
      <c r="D393" s="89"/>
      <c r="E393" s="89"/>
      <c r="F393" s="89"/>
      <c r="G393" s="90"/>
    </row>
    <row r="396" spans="1:7" ht="18.75" x14ac:dyDescent="0.25">
      <c r="A396" s="19" t="s">
        <v>92</v>
      </c>
      <c r="B396" s="15"/>
      <c r="C396" s="15"/>
      <c r="D396" s="15"/>
      <c r="E396" s="15"/>
      <c r="F396" s="15"/>
      <c r="G396" s="16"/>
    </row>
    <row r="397" spans="1:7" ht="15.75" x14ac:dyDescent="0.25">
      <c r="A397" s="17"/>
      <c r="B397" s="18"/>
      <c r="C397" s="18"/>
      <c r="D397" s="18"/>
      <c r="E397" s="18"/>
      <c r="F397" s="18"/>
      <c r="G397" s="18"/>
    </row>
    <row r="398" spans="1:7" ht="15.75" x14ac:dyDescent="0.25">
      <c r="A398" s="17"/>
      <c r="B398" s="18"/>
      <c r="C398" s="18"/>
      <c r="D398" s="18"/>
      <c r="E398" s="18"/>
      <c r="F398" s="18"/>
      <c r="G398" s="18"/>
    </row>
    <row r="399" spans="1:7" ht="15.75" x14ac:dyDescent="0.25">
      <c r="A399" s="20" t="s">
        <v>22</v>
      </c>
      <c r="B399" s="21" t="s">
        <v>23</v>
      </c>
      <c r="C399" s="22"/>
      <c r="D399" s="21" t="s">
        <v>24</v>
      </c>
      <c r="E399" s="22"/>
      <c r="F399" s="59" t="s">
        <v>25</v>
      </c>
      <c r="G399" s="60" t="s">
        <v>26</v>
      </c>
    </row>
    <row r="400" spans="1:7" ht="15.75" x14ac:dyDescent="0.25">
      <c r="A400" s="23" t="s">
        <v>27</v>
      </c>
      <c r="B400" s="24" t="s">
        <v>28</v>
      </c>
      <c r="C400" s="24" t="s">
        <v>29</v>
      </c>
      <c r="D400" s="24" t="s">
        <v>28</v>
      </c>
      <c r="E400" s="24" t="s">
        <v>30</v>
      </c>
      <c r="F400" s="58" t="s">
        <v>31</v>
      </c>
      <c r="G400" s="61" t="s">
        <v>31</v>
      </c>
    </row>
    <row r="401" spans="1:7" ht="15.75" x14ac:dyDescent="0.25">
      <c r="A401" s="25" t="s">
        <v>32</v>
      </c>
      <c r="B401" s="26">
        <v>40.644000000000062</v>
      </c>
      <c r="C401" s="27">
        <v>332.07000000000016</v>
      </c>
      <c r="D401" s="28">
        <v>0</v>
      </c>
      <c r="E401" s="27">
        <v>0</v>
      </c>
      <c r="F401" s="29">
        <v>0</v>
      </c>
      <c r="G401" s="27">
        <v>0</v>
      </c>
    </row>
    <row r="402" spans="1:7" ht="15.75" x14ac:dyDescent="0.25">
      <c r="A402" s="30">
        <v>201</v>
      </c>
      <c r="B402" s="26">
        <v>20.5</v>
      </c>
      <c r="C402" s="27">
        <v>203.87</v>
      </c>
      <c r="D402" s="31">
        <v>0</v>
      </c>
      <c r="E402" s="27">
        <v>0</v>
      </c>
      <c r="F402" s="27">
        <v>582.65</v>
      </c>
      <c r="G402" s="27">
        <v>787</v>
      </c>
    </row>
    <row r="403" spans="1:7" ht="15.75" x14ac:dyDescent="0.25">
      <c r="A403" s="30">
        <v>202</v>
      </c>
      <c r="B403" s="26">
        <v>47.051000000000002</v>
      </c>
      <c r="C403" s="27">
        <v>371.94</v>
      </c>
      <c r="D403" s="28">
        <v>4.2160000000000002</v>
      </c>
      <c r="E403" s="27">
        <v>140.38999999999999</v>
      </c>
      <c r="F403" s="27">
        <v>582.65</v>
      </c>
      <c r="G403" s="27">
        <v>1095</v>
      </c>
    </row>
    <row r="404" spans="1:7" ht="15.75" x14ac:dyDescent="0.25">
      <c r="A404" s="30">
        <v>301</v>
      </c>
      <c r="B404" s="26">
        <v>15.68</v>
      </c>
      <c r="C404" s="27">
        <v>173.36</v>
      </c>
      <c r="D404" s="28">
        <v>3.21</v>
      </c>
      <c r="E404" s="27">
        <v>106.89</v>
      </c>
      <c r="F404" s="27">
        <v>582.65</v>
      </c>
      <c r="G404" s="27">
        <v>863</v>
      </c>
    </row>
    <row r="405" spans="1:7" ht="15.75" x14ac:dyDescent="0.25">
      <c r="A405" s="30">
        <v>302</v>
      </c>
      <c r="B405" s="26">
        <v>8.7929999999999993</v>
      </c>
      <c r="C405" s="27">
        <v>129.76</v>
      </c>
      <c r="D405" s="28">
        <v>1.2709999999999999</v>
      </c>
      <c r="E405" s="27">
        <v>42.32</v>
      </c>
      <c r="F405" s="27">
        <v>582.65</v>
      </c>
      <c r="G405" s="27">
        <v>755</v>
      </c>
    </row>
    <row r="406" spans="1:7" ht="15.75" x14ac:dyDescent="0.25">
      <c r="A406" s="30">
        <v>401</v>
      </c>
      <c r="B406" s="26">
        <v>18.471</v>
      </c>
      <c r="C406" s="27">
        <v>191.03</v>
      </c>
      <c r="D406" s="28">
        <v>1.9359999999999999</v>
      </c>
      <c r="E406" s="27">
        <v>64.47</v>
      </c>
      <c r="F406" s="27">
        <v>582.65</v>
      </c>
      <c r="G406" s="27">
        <v>839</v>
      </c>
    </row>
    <row r="407" spans="1:7" ht="15.75" x14ac:dyDescent="0.25">
      <c r="A407" s="30">
        <v>402</v>
      </c>
      <c r="B407" s="26">
        <v>15.601000000000001</v>
      </c>
      <c r="C407" s="27">
        <v>172.86</v>
      </c>
      <c r="D407" s="28">
        <v>4.2450000000000045</v>
      </c>
      <c r="E407" s="27">
        <v>141.36000000000001</v>
      </c>
      <c r="F407" s="27">
        <v>582.65</v>
      </c>
      <c r="G407" s="27">
        <v>897</v>
      </c>
    </row>
    <row r="408" spans="1:7" ht="15.75" x14ac:dyDescent="0.25">
      <c r="A408" s="30">
        <v>501</v>
      </c>
      <c r="B408" s="26">
        <v>12.988</v>
      </c>
      <c r="C408" s="27">
        <v>156.32</v>
      </c>
      <c r="D408" s="28">
        <v>0.92600000000000005</v>
      </c>
      <c r="E408" s="27">
        <v>30.84</v>
      </c>
      <c r="F408" s="27">
        <v>582.65</v>
      </c>
      <c r="G408" s="27">
        <v>770</v>
      </c>
    </row>
    <row r="409" spans="1:7" ht="15.75" x14ac:dyDescent="0.25">
      <c r="A409" s="30">
        <v>502</v>
      </c>
      <c r="B409" s="26">
        <v>12.766999999999999</v>
      </c>
      <c r="C409" s="27">
        <v>154.91999999999999</v>
      </c>
      <c r="D409" s="28">
        <v>1.478</v>
      </c>
      <c r="E409" s="27">
        <v>49.22</v>
      </c>
      <c r="F409" s="27">
        <v>582.65</v>
      </c>
      <c r="G409" s="27">
        <v>787</v>
      </c>
    </row>
    <row r="410" spans="1:7" ht="15.75" x14ac:dyDescent="0.25">
      <c r="A410" s="30">
        <v>601</v>
      </c>
      <c r="B410" s="26">
        <v>6.45</v>
      </c>
      <c r="C410" s="27">
        <v>114.93</v>
      </c>
      <c r="D410" s="28">
        <v>0.27600000000000002</v>
      </c>
      <c r="E410" s="27">
        <v>9.19</v>
      </c>
      <c r="F410" s="27">
        <v>582.65</v>
      </c>
      <c r="G410" s="27">
        <v>707</v>
      </c>
    </row>
    <row r="411" spans="1:7" ht="15.75" x14ac:dyDescent="0.25">
      <c r="A411" s="30">
        <v>602</v>
      </c>
      <c r="B411" s="26">
        <v>7.8079999999999998</v>
      </c>
      <c r="C411" s="27">
        <v>123.53</v>
      </c>
      <c r="D411" s="28">
        <v>2.7930000000000001</v>
      </c>
      <c r="E411" s="27">
        <v>93.01</v>
      </c>
      <c r="F411" s="27">
        <v>582.65</v>
      </c>
      <c r="G411" s="27">
        <v>800</v>
      </c>
    </row>
    <row r="412" spans="1:7" ht="15.75" x14ac:dyDescent="0.25">
      <c r="A412" s="30">
        <v>701</v>
      </c>
      <c r="B412" s="26">
        <v>9.4260000000000002</v>
      </c>
      <c r="C412" s="27">
        <v>133.77000000000001</v>
      </c>
      <c r="D412" s="28">
        <v>0.67100000000000004</v>
      </c>
      <c r="E412" s="27">
        <v>22.34</v>
      </c>
      <c r="F412" s="27">
        <v>582.65</v>
      </c>
      <c r="G412" s="27">
        <v>739</v>
      </c>
    </row>
    <row r="413" spans="1:7" ht="15.75" x14ac:dyDescent="0.25">
      <c r="A413" s="30">
        <v>702</v>
      </c>
      <c r="B413" s="26">
        <v>4.4139999999999997</v>
      </c>
      <c r="C413" s="27">
        <v>102.05</v>
      </c>
      <c r="D413" s="28">
        <v>1.5409999999999968</v>
      </c>
      <c r="E413" s="27">
        <v>51.32</v>
      </c>
      <c r="F413" s="27">
        <v>582.65</v>
      </c>
      <c r="G413" s="27">
        <v>737</v>
      </c>
    </row>
    <row r="414" spans="1:7" ht="15.75" x14ac:dyDescent="0.25">
      <c r="A414" s="30">
        <v>801</v>
      </c>
      <c r="B414" s="26">
        <v>6.3730000000000002</v>
      </c>
      <c r="C414" s="27">
        <v>114.45</v>
      </c>
      <c r="D414" s="28">
        <v>1.83</v>
      </c>
      <c r="E414" s="27">
        <v>60.94</v>
      </c>
      <c r="F414" s="27">
        <v>582.65</v>
      </c>
      <c r="G414" s="27">
        <v>759</v>
      </c>
    </row>
    <row r="415" spans="1:7" ht="15.75" x14ac:dyDescent="0.25">
      <c r="A415" s="30">
        <v>802</v>
      </c>
      <c r="B415" s="26">
        <v>11.034000000000001</v>
      </c>
      <c r="C415" s="27">
        <v>143.94999999999999</v>
      </c>
      <c r="D415" s="28">
        <v>1.484</v>
      </c>
      <c r="E415" s="27">
        <v>49.42</v>
      </c>
      <c r="F415" s="27">
        <v>582.65</v>
      </c>
      <c r="G415" s="27">
        <v>777</v>
      </c>
    </row>
    <row r="417" spans="1:7" x14ac:dyDescent="0.25">
      <c r="A417" s="32"/>
      <c r="B417" s="7"/>
      <c r="C417" s="7"/>
      <c r="D417" s="7"/>
      <c r="E417" s="7"/>
      <c r="F417" s="7"/>
      <c r="G417" s="33"/>
    </row>
    <row r="418" spans="1:7" x14ac:dyDescent="0.25">
      <c r="A418" s="32"/>
      <c r="B418" s="7"/>
      <c r="C418" s="7"/>
      <c r="D418" s="7"/>
      <c r="E418" s="7"/>
      <c r="F418" s="7"/>
      <c r="G418" s="33"/>
    </row>
    <row r="419" spans="1:7" x14ac:dyDescent="0.25">
      <c r="A419" s="32"/>
      <c r="B419" s="7"/>
      <c r="C419" s="7"/>
      <c r="D419" s="7"/>
      <c r="E419" s="7"/>
      <c r="F419" s="7"/>
      <c r="G419" s="33"/>
    </row>
    <row r="421" spans="1:7" ht="15.75" x14ac:dyDescent="0.25">
      <c r="A421" s="34" t="s">
        <v>93</v>
      </c>
      <c r="B421" s="35"/>
      <c r="C421" s="35"/>
      <c r="D421" s="35"/>
      <c r="E421" s="35"/>
      <c r="F421" s="36"/>
      <c r="G421" s="57">
        <v>36206.92</v>
      </c>
    </row>
    <row r="422" spans="1:7" ht="15.75" x14ac:dyDescent="0.25">
      <c r="A422" s="37" t="s">
        <v>94</v>
      </c>
      <c r="B422" s="38"/>
      <c r="C422" s="38"/>
      <c r="D422" s="38"/>
      <c r="E422" s="38"/>
      <c r="F422" s="39"/>
      <c r="G422" s="57">
        <v>4200</v>
      </c>
    </row>
    <row r="423" spans="1:7" ht="15.75" x14ac:dyDescent="0.25">
      <c r="A423" s="34" t="s">
        <v>95</v>
      </c>
      <c r="B423" s="35"/>
      <c r="C423" s="35"/>
      <c r="D423" s="35"/>
      <c r="E423" s="35"/>
      <c r="F423" s="36"/>
      <c r="G423" s="57">
        <f>G421+G422</f>
        <v>40406.92</v>
      </c>
    </row>
    <row r="424" spans="1:7" ht="18.75" x14ac:dyDescent="0.3">
      <c r="A424" s="40"/>
      <c r="B424" s="40"/>
      <c r="C424" s="40"/>
      <c r="D424" s="40"/>
      <c r="E424" s="40"/>
      <c r="F424" s="40"/>
      <c r="G424" s="40"/>
    </row>
    <row r="425" spans="1:7" ht="31.5" customHeight="1" x14ac:dyDescent="0.25">
      <c r="A425" s="85" t="s">
        <v>54</v>
      </c>
      <c r="B425" s="86"/>
      <c r="C425" s="86"/>
      <c r="D425" s="86"/>
      <c r="E425" s="86"/>
      <c r="F425" s="86"/>
      <c r="G425" s="87"/>
    </row>
    <row r="426" spans="1:7" ht="15.75" x14ac:dyDescent="0.25">
      <c r="A426" s="41" t="s">
        <v>36</v>
      </c>
      <c r="B426" s="42"/>
      <c r="C426" s="42"/>
      <c r="D426" s="42"/>
      <c r="E426" s="42"/>
      <c r="F426" s="42"/>
      <c r="G426" s="43"/>
    </row>
    <row r="427" spans="1:7" ht="15.75" x14ac:dyDescent="0.25">
      <c r="A427" s="44" t="s">
        <v>37</v>
      </c>
      <c r="B427" s="45"/>
      <c r="C427" s="45"/>
      <c r="D427" s="45"/>
      <c r="E427" s="45"/>
      <c r="F427" s="45"/>
      <c r="G427" s="46"/>
    </row>
    <row r="428" spans="1:7" ht="15.75" x14ac:dyDescent="0.25">
      <c r="A428" s="47"/>
      <c r="B428" s="47"/>
      <c r="C428" s="47"/>
      <c r="D428" s="47"/>
      <c r="E428" s="47"/>
      <c r="F428" s="47"/>
      <c r="G428" s="47"/>
    </row>
    <row r="429" spans="1:7" ht="15.75" x14ac:dyDescent="0.25">
      <c r="A429" s="48" t="s">
        <v>50</v>
      </c>
      <c r="B429" s="49"/>
      <c r="C429" s="49"/>
      <c r="D429" s="49"/>
      <c r="E429" s="49"/>
      <c r="F429" s="49"/>
      <c r="G429" s="50"/>
    </row>
    <row r="430" spans="1:7" ht="15.75" x14ac:dyDescent="0.25">
      <c r="A430" s="47"/>
      <c r="B430" s="47"/>
      <c r="C430" s="47"/>
      <c r="D430" s="47"/>
      <c r="E430" s="47"/>
      <c r="F430" s="47"/>
      <c r="G430" s="47"/>
    </row>
    <row r="431" spans="1:7" ht="15.75" x14ac:dyDescent="0.25">
      <c r="A431" s="47"/>
      <c r="B431" s="47"/>
      <c r="C431" s="47"/>
      <c r="D431" s="47"/>
      <c r="E431" s="47"/>
      <c r="F431" s="47"/>
      <c r="G431" s="47"/>
    </row>
    <row r="432" spans="1:7" ht="15.75" x14ac:dyDescent="0.25">
      <c r="A432" s="47"/>
      <c r="B432" s="47"/>
      <c r="C432" s="47"/>
      <c r="D432" s="47"/>
      <c r="E432" s="47"/>
      <c r="F432" s="47"/>
      <c r="G432" s="47"/>
    </row>
    <row r="439" spans="1:9" ht="21" x14ac:dyDescent="0.35">
      <c r="A439" s="88" t="s">
        <v>20</v>
      </c>
      <c r="B439" s="89"/>
      <c r="C439" s="89"/>
      <c r="D439" s="89"/>
      <c r="E439" s="89"/>
      <c r="F439" s="89"/>
      <c r="G439" s="90"/>
      <c r="H439" s="56"/>
      <c r="I439" s="56"/>
    </row>
    <row r="442" spans="1:9" ht="17.25" x14ac:dyDescent="0.3">
      <c r="A442" s="51" t="s">
        <v>96</v>
      </c>
      <c r="B442" s="51"/>
      <c r="C442" s="51"/>
      <c r="D442" s="51"/>
      <c r="E442" s="51"/>
      <c r="F442" s="51"/>
      <c r="G442" s="51"/>
      <c r="H442" s="51"/>
      <c r="I442" s="51"/>
    </row>
    <row r="443" spans="1:9" ht="17.25" x14ac:dyDescent="0.3">
      <c r="A443" s="51"/>
      <c r="B443" s="51"/>
      <c r="C443" s="51"/>
      <c r="D443" s="51"/>
      <c r="E443" s="51"/>
      <c r="F443" s="51"/>
      <c r="G443" s="51"/>
      <c r="H443" s="51"/>
      <c r="I443" s="51"/>
    </row>
    <row r="444" spans="1:9" ht="17.25" x14ac:dyDescent="0.3">
      <c r="A444" s="51" t="s">
        <v>97</v>
      </c>
      <c r="B444" s="51"/>
      <c r="C444" s="51"/>
      <c r="D444" s="51"/>
      <c r="E444" s="51"/>
      <c r="F444" s="51"/>
      <c r="G444" s="51"/>
      <c r="H444" s="51"/>
      <c r="I444" s="51"/>
    </row>
    <row r="445" spans="1:9" ht="17.25" x14ac:dyDescent="0.3">
      <c r="A445" s="51"/>
      <c r="B445" s="51"/>
      <c r="C445" s="51"/>
      <c r="D445" s="51"/>
      <c r="E445" s="51"/>
      <c r="F445" s="51"/>
      <c r="G445" s="51"/>
      <c r="H445" s="51"/>
      <c r="I445" s="51"/>
    </row>
    <row r="446" spans="1:9" ht="17.25" x14ac:dyDescent="0.3">
      <c r="A446" s="51"/>
      <c r="B446" s="51"/>
      <c r="C446" s="51"/>
      <c r="D446" s="51"/>
      <c r="E446" s="51"/>
      <c r="F446" s="51"/>
      <c r="G446" s="51"/>
      <c r="H446" s="51"/>
      <c r="I446" s="51"/>
    </row>
    <row r="447" spans="1:9" ht="17.25" x14ac:dyDescent="0.3">
      <c r="A447" s="51" t="s">
        <v>98</v>
      </c>
      <c r="B447" s="51"/>
      <c r="C447" s="51"/>
      <c r="D447" s="51"/>
      <c r="E447" s="51"/>
      <c r="F447" s="51"/>
      <c r="G447" s="51"/>
      <c r="H447" s="51"/>
      <c r="I447" s="51"/>
    </row>
    <row r="448" spans="1:9" ht="17.25" x14ac:dyDescent="0.3">
      <c r="A448" s="51"/>
      <c r="B448" s="51"/>
      <c r="C448" s="51"/>
      <c r="D448" s="51"/>
      <c r="E448" s="51"/>
      <c r="F448" s="51"/>
      <c r="G448" s="51"/>
      <c r="H448" s="51"/>
      <c r="I448" s="51"/>
    </row>
    <row r="449" spans="1:9" ht="17.25" x14ac:dyDescent="0.3">
      <c r="A449" s="51" t="s">
        <v>40</v>
      </c>
      <c r="B449" s="51"/>
      <c r="C449" s="51"/>
      <c r="D449" s="51"/>
      <c r="E449" s="51"/>
      <c r="F449" s="51"/>
      <c r="G449" s="51"/>
      <c r="H449" s="51"/>
      <c r="I449" s="51"/>
    </row>
    <row r="450" spans="1:9" ht="17.25" x14ac:dyDescent="0.3">
      <c r="A450" s="51"/>
      <c r="B450" s="51"/>
      <c r="C450" s="51"/>
      <c r="D450" s="51"/>
      <c r="E450" s="51"/>
      <c r="F450" s="51"/>
      <c r="G450" s="51"/>
      <c r="H450" s="51"/>
      <c r="I450" s="51"/>
    </row>
    <row r="451" spans="1:9" ht="33" customHeight="1" x14ac:dyDescent="0.3">
      <c r="A451" s="91" t="s">
        <v>99</v>
      </c>
      <c r="B451" s="91"/>
      <c r="C451" s="91"/>
      <c r="D451" s="91"/>
      <c r="E451" s="91"/>
      <c r="F451" s="91"/>
      <c r="G451" s="91"/>
      <c r="H451" s="55"/>
      <c r="I451" s="55"/>
    </row>
    <row r="452" spans="1:9" ht="17.25" x14ac:dyDescent="0.3">
      <c r="A452" s="51"/>
      <c r="B452" s="51"/>
      <c r="C452" s="51"/>
      <c r="D452" s="51"/>
      <c r="E452" s="51"/>
      <c r="F452" s="51"/>
      <c r="G452" s="51"/>
      <c r="H452" s="51"/>
      <c r="I452" s="51"/>
    </row>
    <row r="453" spans="1:9" ht="33" customHeight="1" x14ac:dyDescent="0.3">
      <c r="A453" s="91" t="s">
        <v>100</v>
      </c>
      <c r="B453" s="91"/>
      <c r="C453" s="91"/>
      <c r="D453" s="91"/>
      <c r="E453" s="91"/>
      <c r="F453" s="91"/>
      <c r="G453" s="91"/>
      <c r="H453" s="55"/>
      <c r="I453" s="55"/>
    </row>
    <row r="454" spans="1:9" ht="17.25" x14ac:dyDescent="0.3">
      <c r="A454" s="51"/>
      <c r="B454" s="51"/>
      <c r="C454" s="51"/>
      <c r="D454" s="51"/>
      <c r="E454" s="51"/>
      <c r="F454" s="51"/>
      <c r="G454" s="51"/>
      <c r="H454" s="51"/>
      <c r="I454" s="51"/>
    </row>
    <row r="455" spans="1:9" ht="33" customHeight="1" x14ac:dyDescent="0.3">
      <c r="A455" s="91" t="s">
        <v>101</v>
      </c>
      <c r="B455" s="91"/>
      <c r="C455" s="91"/>
      <c r="D455" s="91"/>
      <c r="E455" s="91"/>
      <c r="F455" s="91"/>
      <c r="G455" s="91"/>
      <c r="H455" s="55"/>
      <c r="I455" s="55"/>
    </row>
    <row r="457" spans="1:9" ht="18.75" x14ac:dyDescent="0.3">
      <c r="A457" s="1" t="s">
        <v>103</v>
      </c>
      <c r="B457" s="2"/>
      <c r="C457" s="2"/>
      <c r="D457" s="2"/>
      <c r="E457" s="2"/>
      <c r="F457" s="2"/>
      <c r="G457" s="53"/>
    </row>
    <row r="458" spans="1:9" ht="15.75" x14ac:dyDescent="0.25">
      <c r="A458" s="3" t="s">
        <v>1</v>
      </c>
      <c r="B458" s="3" t="s">
        <v>2</v>
      </c>
      <c r="C458" s="4" t="s">
        <v>3</v>
      </c>
      <c r="D458" s="4"/>
      <c r="E458" s="4"/>
      <c r="F458" s="4"/>
      <c r="G458" s="62" t="s">
        <v>30</v>
      </c>
    </row>
    <row r="459" spans="1:9" ht="15.75" x14ac:dyDescent="0.25">
      <c r="A459" s="5">
        <v>45117</v>
      </c>
      <c r="B459" s="6" t="s">
        <v>4</v>
      </c>
      <c r="C459" s="7" t="s">
        <v>5</v>
      </c>
      <c r="D459" s="7"/>
      <c r="E459" s="7"/>
      <c r="F459" s="7"/>
      <c r="G459" s="52">
        <v>1172.99</v>
      </c>
    </row>
    <row r="460" spans="1:9" ht="15.75" x14ac:dyDescent="0.25">
      <c r="A460" s="5">
        <v>45117</v>
      </c>
      <c r="B460" s="6" t="s">
        <v>4</v>
      </c>
      <c r="C460" s="7" t="s">
        <v>6</v>
      </c>
      <c r="D460" s="7"/>
      <c r="E460" s="7"/>
      <c r="F460" s="7"/>
      <c r="G460" s="52">
        <v>4200</v>
      </c>
    </row>
    <row r="461" spans="1:9" ht="15.75" x14ac:dyDescent="0.25">
      <c r="A461" s="5">
        <v>45124</v>
      </c>
      <c r="B461" s="6" t="s">
        <v>4</v>
      </c>
      <c r="C461" s="7" t="s">
        <v>61</v>
      </c>
      <c r="D461" s="7"/>
      <c r="E461" s="7"/>
      <c r="F461" s="7"/>
      <c r="G461" s="52">
        <v>1089.71</v>
      </c>
    </row>
    <row r="462" spans="1:9" ht="15.75" x14ac:dyDescent="0.25">
      <c r="A462" s="5">
        <v>45124</v>
      </c>
      <c r="B462" s="6" t="s">
        <v>4</v>
      </c>
      <c r="C462" s="7" t="s">
        <v>8</v>
      </c>
      <c r="D462" s="7"/>
      <c r="E462" s="7"/>
      <c r="F462" s="7"/>
      <c r="G462" s="52">
        <v>290.30000000000018</v>
      </c>
    </row>
    <row r="463" spans="1:9" ht="15.75" x14ac:dyDescent="0.25">
      <c r="A463" s="8">
        <v>45124</v>
      </c>
      <c r="B463" s="6" t="s">
        <v>4</v>
      </c>
      <c r="C463" s="7" t="s">
        <v>9</v>
      </c>
      <c r="D463" s="7"/>
      <c r="E463" s="7"/>
      <c r="F463" s="7"/>
      <c r="G463" s="52">
        <v>382.57</v>
      </c>
    </row>
    <row r="464" spans="1:9" ht="15.75" x14ac:dyDescent="0.25">
      <c r="A464" s="8">
        <v>45127</v>
      </c>
      <c r="B464" s="54" t="s">
        <v>4</v>
      </c>
      <c r="C464" s="7" t="s">
        <v>47</v>
      </c>
      <c r="D464" s="7"/>
      <c r="E464" s="7"/>
      <c r="F464" s="7"/>
      <c r="G464" s="52">
        <v>198.12</v>
      </c>
    </row>
    <row r="465" spans="1:7" ht="15.75" x14ac:dyDescent="0.25">
      <c r="A465" s="5">
        <v>45107</v>
      </c>
      <c r="B465" s="6" t="s">
        <v>4</v>
      </c>
      <c r="C465" s="7" t="s">
        <v>102</v>
      </c>
      <c r="D465" s="7"/>
      <c r="E465" s="7"/>
      <c r="F465" s="7"/>
      <c r="G465" s="52">
        <v>150</v>
      </c>
    </row>
    <row r="466" spans="1:7" ht="15.75" x14ac:dyDescent="0.25">
      <c r="A466" s="5">
        <v>45135</v>
      </c>
      <c r="B466" s="6" t="s">
        <v>4</v>
      </c>
      <c r="C466" s="7" t="s">
        <v>14</v>
      </c>
      <c r="D466" s="7"/>
      <c r="E466" s="7"/>
      <c r="F466" s="7"/>
      <c r="G466" s="52">
        <v>130</v>
      </c>
    </row>
    <row r="467" spans="1:7" ht="15.75" x14ac:dyDescent="0.25">
      <c r="A467" s="8">
        <v>45108</v>
      </c>
      <c r="B467" s="6" t="s">
        <v>4</v>
      </c>
      <c r="C467" s="7" t="s">
        <v>15</v>
      </c>
      <c r="D467" s="7"/>
      <c r="E467" s="7"/>
      <c r="F467" s="7"/>
      <c r="G467" s="52">
        <v>60</v>
      </c>
    </row>
    <row r="468" spans="1:7" ht="21" x14ac:dyDescent="0.35">
      <c r="A468" s="9" t="s">
        <v>16</v>
      </c>
      <c r="B468" s="10"/>
      <c r="C468" s="11"/>
      <c r="D468" s="11"/>
      <c r="E468" s="11"/>
      <c r="F468" s="11"/>
      <c r="G468" s="12">
        <f>SUM(G459:G467)</f>
        <v>7673.69</v>
      </c>
    </row>
    <row r="469" spans="1:7" ht="21" x14ac:dyDescent="0.35">
      <c r="A469" s="13" t="s">
        <v>17</v>
      </c>
      <c r="B469" s="11"/>
      <c r="C469" s="11"/>
      <c r="D469" s="11"/>
      <c r="E469" s="11"/>
      <c r="F469" s="11"/>
      <c r="G469" s="14">
        <f>ROUND(G468/14,2)</f>
        <v>548.12</v>
      </c>
    </row>
    <row r="470" spans="1:7" ht="21" x14ac:dyDescent="0.35">
      <c r="A470" s="13" t="s">
        <v>74</v>
      </c>
      <c r="B470" s="11"/>
      <c r="C470" s="11"/>
      <c r="D470" s="11"/>
      <c r="E470" s="11"/>
      <c r="F470" s="11"/>
      <c r="G470" s="14">
        <f>ROUND(G469/13,2)</f>
        <v>42.16</v>
      </c>
    </row>
    <row r="471" spans="1:7" ht="21" x14ac:dyDescent="0.35">
      <c r="A471" s="13" t="s">
        <v>19</v>
      </c>
      <c r="B471" s="11"/>
      <c r="C471" s="11"/>
      <c r="D471" s="11"/>
      <c r="E471" s="11"/>
      <c r="F471" s="11"/>
      <c r="G471" s="12">
        <f>G469+G470</f>
        <v>590.28</v>
      </c>
    </row>
    <row r="481" spans="1:7" ht="21" x14ac:dyDescent="0.35">
      <c r="A481" s="88" t="s">
        <v>20</v>
      </c>
      <c r="B481" s="89"/>
      <c r="C481" s="89"/>
      <c r="D481" s="89"/>
      <c r="E481" s="89"/>
      <c r="F481" s="89"/>
      <c r="G481" s="90"/>
    </row>
    <row r="484" spans="1:7" ht="18.75" x14ac:dyDescent="0.25">
      <c r="A484" s="19" t="s">
        <v>104</v>
      </c>
      <c r="B484" s="15"/>
      <c r="C484" s="15"/>
      <c r="D484" s="15"/>
      <c r="E484" s="15"/>
      <c r="F484" s="15"/>
      <c r="G484" s="16"/>
    </row>
    <row r="485" spans="1:7" ht="15.75" x14ac:dyDescent="0.25">
      <c r="A485" s="17"/>
      <c r="B485" s="18"/>
      <c r="C485" s="18"/>
      <c r="D485" s="18"/>
      <c r="E485" s="18"/>
      <c r="F485" s="18"/>
      <c r="G485" s="18"/>
    </row>
    <row r="486" spans="1:7" ht="15.75" x14ac:dyDescent="0.25">
      <c r="A486" s="17"/>
      <c r="B486" s="18"/>
      <c r="C486" s="18"/>
      <c r="D486" s="18"/>
      <c r="E486" s="18"/>
      <c r="F486" s="18"/>
      <c r="G486" s="18"/>
    </row>
    <row r="487" spans="1:7" ht="15.75" x14ac:dyDescent="0.25">
      <c r="A487" s="20" t="s">
        <v>22</v>
      </c>
      <c r="B487" s="21" t="s">
        <v>23</v>
      </c>
      <c r="C487" s="22"/>
      <c r="D487" s="21" t="s">
        <v>24</v>
      </c>
      <c r="E487" s="22"/>
      <c r="F487" s="59" t="s">
        <v>25</v>
      </c>
      <c r="G487" s="60" t="s">
        <v>26</v>
      </c>
    </row>
    <row r="488" spans="1:7" ht="15.75" x14ac:dyDescent="0.25">
      <c r="A488" s="23" t="s">
        <v>27</v>
      </c>
      <c r="B488" s="24" t="s">
        <v>28</v>
      </c>
      <c r="C488" s="24" t="s">
        <v>29</v>
      </c>
      <c r="D488" s="24" t="s">
        <v>28</v>
      </c>
      <c r="E488" s="24" t="s">
        <v>30</v>
      </c>
      <c r="F488" s="58" t="s">
        <v>31</v>
      </c>
      <c r="G488" s="61" t="s">
        <v>31</v>
      </c>
    </row>
    <row r="489" spans="1:7" ht="15.75" x14ac:dyDescent="0.25">
      <c r="A489" s="25" t="s">
        <v>32</v>
      </c>
      <c r="B489" s="26">
        <v>30.831000000000017</v>
      </c>
      <c r="C489" s="27">
        <v>290.30000000000018</v>
      </c>
      <c r="D489" s="28">
        <v>0</v>
      </c>
      <c r="E489" s="27">
        <v>0</v>
      </c>
      <c r="F489" s="29">
        <v>0</v>
      </c>
      <c r="G489" s="27">
        <v>0</v>
      </c>
    </row>
    <row r="490" spans="1:7" ht="15.75" x14ac:dyDescent="0.25">
      <c r="A490" s="30">
        <v>201</v>
      </c>
      <c r="B490" s="26">
        <v>18.109000000000002</v>
      </c>
      <c r="C490" s="27">
        <v>205.89</v>
      </c>
      <c r="D490" s="31">
        <v>4.9000000000003041E-2</v>
      </c>
      <c r="E490" s="27">
        <v>1.63</v>
      </c>
      <c r="F490" s="27">
        <v>590.28</v>
      </c>
      <c r="G490" s="27">
        <v>798</v>
      </c>
    </row>
    <row r="491" spans="1:7" ht="15.75" x14ac:dyDescent="0.25">
      <c r="A491" s="30">
        <v>202</v>
      </c>
      <c r="B491" s="26">
        <v>55.604999999999997</v>
      </c>
      <c r="C491" s="27">
        <v>454.49</v>
      </c>
      <c r="D491" s="28">
        <v>4.17999999999995</v>
      </c>
      <c r="E491" s="27">
        <v>139.19</v>
      </c>
      <c r="F491" s="27">
        <v>590.28</v>
      </c>
      <c r="G491" s="27">
        <v>1184</v>
      </c>
    </row>
    <row r="492" spans="1:7" ht="15.75" x14ac:dyDescent="0.25">
      <c r="A492" s="30">
        <v>301</v>
      </c>
      <c r="B492" s="26">
        <v>18.812000000000001</v>
      </c>
      <c r="C492" s="27">
        <v>210.55</v>
      </c>
      <c r="D492" s="28">
        <v>4.1229999999999336</v>
      </c>
      <c r="E492" s="27">
        <v>137.30000000000001</v>
      </c>
      <c r="F492" s="27">
        <v>590.28</v>
      </c>
      <c r="G492" s="27">
        <v>939</v>
      </c>
    </row>
    <row r="493" spans="1:7" ht="15.75" x14ac:dyDescent="0.25">
      <c r="A493" s="30">
        <v>302</v>
      </c>
      <c r="B493" s="26">
        <v>13.577999999999999</v>
      </c>
      <c r="C493" s="27">
        <v>175.85</v>
      </c>
      <c r="D493" s="28">
        <v>2.7259999999999991</v>
      </c>
      <c r="E493" s="27">
        <v>90.78</v>
      </c>
      <c r="F493" s="27">
        <v>590.28</v>
      </c>
      <c r="G493" s="27">
        <v>857</v>
      </c>
    </row>
    <row r="494" spans="1:7" ht="15.75" x14ac:dyDescent="0.25">
      <c r="A494" s="30">
        <v>401</v>
      </c>
      <c r="B494" s="26">
        <v>18.303999999999998</v>
      </c>
      <c r="C494" s="27">
        <v>207.18</v>
      </c>
      <c r="D494" s="28">
        <v>3.035000000000025</v>
      </c>
      <c r="E494" s="27">
        <v>101.07</v>
      </c>
      <c r="F494" s="27">
        <v>590.28</v>
      </c>
      <c r="G494" s="27">
        <v>899</v>
      </c>
    </row>
    <row r="495" spans="1:7" ht="15.75" x14ac:dyDescent="0.25">
      <c r="A495" s="30">
        <v>402</v>
      </c>
      <c r="B495" s="26">
        <v>16.561</v>
      </c>
      <c r="C495" s="27">
        <v>195.62</v>
      </c>
      <c r="D495" s="28">
        <v>4.45900000000006</v>
      </c>
      <c r="E495" s="27">
        <v>148.47999999999999</v>
      </c>
      <c r="F495" s="27">
        <v>590.28</v>
      </c>
      <c r="G495" s="27">
        <v>935</v>
      </c>
    </row>
    <row r="496" spans="1:7" ht="15.75" x14ac:dyDescent="0.25">
      <c r="A496" s="30">
        <v>501</v>
      </c>
      <c r="B496" s="26">
        <v>11.866</v>
      </c>
      <c r="C496" s="27">
        <v>164.5</v>
      </c>
      <c r="D496" s="28">
        <v>1.0450000000000159</v>
      </c>
      <c r="E496" s="27">
        <v>34.799999999999997</v>
      </c>
      <c r="F496" s="27">
        <v>590.28</v>
      </c>
      <c r="G496" s="27">
        <v>790</v>
      </c>
    </row>
    <row r="497" spans="1:7" ht="15.75" x14ac:dyDescent="0.25">
      <c r="A497" s="30">
        <v>502</v>
      </c>
      <c r="B497" s="26">
        <v>12.635999999999999</v>
      </c>
      <c r="C497" s="27">
        <v>169.6</v>
      </c>
      <c r="D497" s="28">
        <v>1.8370000000000459</v>
      </c>
      <c r="E497" s="27">
        <v>61.17</v>
      </c>
      <c r="F497" s="27">
        <v>590.28</v>
      </c>
      <c r="G497" s="27">
        <v>822</v>
      </c>
    </row>
    <row r="498" spans="1:7" ht="15.75" x14ac:dyDescent="0.25">
      <c r="A498" s="30">
        <v>601</v>
      </c>
      <c r="B498" s="26">
        <v>8.0090000000000003</v>
      </c>
      <c r="C498" s="27">
        <v>138.91999999999999</v>
      </c>
      <c r="D498" s="28">
        <v>0.17600000000004457</v>
      </c>
      <c r="E498" s="27">
        <v>5.86</v>
      </c>
      <c r="F498" s="27">
        <v>590.28</v>
      </c>
      <c r="G498" s="27">
        <v>736</v>
      </c>
    </row>
    <row r="499" spans="1:7" ht="15.75" x14ac:dyDescent="0.25">
      <c r="A499" s="30">
        <v>602</v>
      </c>
      <c r="B499" s="26">
        <v>18.584</v>
      </c>
      <c r="C499" s="27">
        <v>209.04</v>
      </c>
      <c r="D499" s="28">
        <v>2.6270000000000095</v>
      </c>
      <c r="E499" s="27">
        <v>87.48</v>
      </c>
      <c r="F499" s="27">
        <v>590.28</v>
      </c>
      <c r="G499" s="27">
        <v>887</v>
      </c>
    </row>
    <row r="500" spans="1:7" ht="15.75" x14ac:dyDescent="0.25">
      <c r="A500" s="30">
        <v>701</v>
      </c>
      <c r="B500" s="26">
        <v>9.9350000000000005</v>
      </c>
      <c r="C500" s="27">
        <v>151.69</v>
      </c>
      <c r="D500" s="28">
        <v>0.93600000000003547</v>
      </c>
      <c r="E500" s="27">
        <v>31.17</v>
      </c>
      <c r="F500" s="27">
        <v>590.28</v>
      </c>
      <c r="G500" s="27">
        <v>774</v>
      </c>
    </row>
    <row r="501" spans="1:7" ht="15.75" x14ac:dyDescent="0.25">
      <c r="A501" s="30">
        <v>702</v>
      </c>
      <c r="B501" s="26">
        <v>5.1790000000000003</v>
      </c>
      <c r="C501" s="27">
        <v>120.16</v>
      </c>
      <c r="D501" s="28">
        <v>1.978999999999985</v>
      </c>
      <c r="E501" s="27">
        <v>65.900000000000006</v>
      </c>
      <c r="F501" s="27">
        <v>590.28</v>
      </c>
      <c r="G501" s="27">
        <v>777</v>
      </c>
    </row>
    <row r="502" spans="1:7" ht="15.75" x14ac:dyDescent="0.25">
      <c r="A502" s="30">
        <v>801</v>
      </c>
      <c r="B502" s="26">
        <v>7.7569999999999997</v>
      </c>
      <c r="C502" s="27">
        <v>137.25</v>
      </c>
      <c r="D502" s="28">
        <v>2.2040000000000077</v>
      </c>
      <c r="E502" s="27">
        <v>73.39</v>
      </c>
      <c r="F502" s="27">
        <v>590.28</v>
      </c>
      <c r="G502" s="27">
        <v>801</v>
      </c>
    </row>
    <row r="503" spans="1:7" ht="15.75" x14ac:dyDescent="0.25">
      <c r="A503" s="30">
        <v>802</v>
      </c>
      <c r="B503" s="26">
        <v>17.234000000000002</v>
      </c>
      <c r="C503" s="27">
        <v>200.09</v>
      </c>
      <c r="D503" s="28">
        <v>2.0289999999999964</v>
      </c>
      <c r="E503" s="27">
        <v>67.569999999999993</v>
      </c>
      <c r="F503" s="27">
        <v>590.28</v>
      </c>
      <c r="G503" s="27">
        <v>858</v>
      </c>
    </row>
    <row r="505" spans="1:7" x14ac:dyDescent="0.25">
      <c r="A505" s="32"/>
      <c r="B505" s="7"/>
      <c r="C505" s="7"/>
      <c r="D505" s="7"/>
      <c r="E505" s="7"/>
      <c r="F505" s="7"/>
      <c r="G505" s="33"/>
    </row>
    <row r="506" spans="1:7" x14ac:dyDescent="0.25">
      <c r="A506" s="32"/>
      <c r="B506" s="7"/>
      <c r="C506" s="7"/>
      <c r="D506" s="7"/>
      <c r="E506" s="7"/>
      <c r="F506" s="7"/>
      <c r="G506" s="33"/>
    </row>
    <row r="507" spans="1:7" x14ac:dyDescent="0.25">
      <c r="A507" s="32"/>
      <c r="B507" s="7"/>
      <c r="C507" s="7"/>
      <c r="D507" s="7"/>
      <c r="E507" s="7"/>
      <c r="F507" s="7"/>
      <c r="G507" s="33"/>
    </row>
    <row r="509" spans="1:7" ht="15.75" x14ac:dyDescent="0.25">
      <c r="A509" s="34" t="s">
        <v>105</v>
      </c>
      <c r="B509" s="35"/>
      <c r="C509" s="35"/>
      <c r="D509" s="35"/>
      <c r="E509" s="35"/>
      <c r="F509" s="36"/>
      <c r="G509" s="57">
        <v>40406.92</v>
      </c>
    </row>
    <row r="510" spans="1:7" ht="15.75" x14ac:dyDescent="0.25">
      <c r="A510" s="37" t="s">
        <v>106</v>
      </c>
      <c r="B510" s="38"/>
      <c r="C510" s="38"/>
      <c r="D510" s="38"/>
      <c r="E510" s="38"/>
      <c r="F510" s="39"/>
      <c r="G510" s="57">
        <v>4200</v>
      </c>
    </row>
    <row r="511" spans="1:7" ht="15.75" x14ac:dyDescent="0.25">
      <c r="A511" s="34" t="s">
        <v>107</v>
      </c>
      <c r="B511" s="35"/>
      <c r="C511" s="35"/>
      <c r="D511" s="35"/>
      <c r="E511" s="35"/>
      <c r="F511" s="36"/>
      <c r="G511" s="57">
        <f>G509+G510</f>
        <v>44606.92</v>
      </c>
    </row>
    <row r="512" spans="1:7" ht="18.75" x14ac:dyDescent="0.3">
      <c r="A512" s="40"/>
      <c r="B512" s="40"/>
      <c r="C512" s="40"/>
      <c r="D512" s="40"/>
      <c r="E512" s="40"/>
      <c r="F512" s="40"/>
      <c r="G512" s="40"/>
    </row>
    <row r="513" spans="1:9" ht="31.5" customHeight="1" x14ac:dyDescent="0.25">
      <c r="A513" s="85" t="s">
        <v>54</v>
      </c>
      <c r="B513" s="86"/>
      <c r="C513" s="86"/>
      <c r="D513" s="86"/>
      <c r="E513" s="86"/>
      <c r="F513" s="86"/>
      <c r="G513" s="87"/>
    </row>
    <row r="514" spans="1:9" ht="15.75" x14ac:dyDescent="0.25">
      <c r="A514" s="41" t="s">
        <v>36</v>
      </c>
      <c r="B514" s="42"/>
      <c r="C514" s="42"/>
      <c r="D514" s="42"/>
      <c r="E514" s="42"/>
      <c r="F514" s="42"/>
      <c r="G514" s="43"/>
    </row>
    <row r="515" spans="1:9" ht="15.75" x14ac:dyDescent="0.25">
      <c r="A515" s="44" t="s">
        <v>37</v>
      </c>
      <c r="B515" s="45"/>
      <c r="C515" s="45"/>
      <c r="D515" s="45"/>
      <c r="E515" s="45"/>
      <c r="F515" s="45"/>
      <c r="G515" s="46"/>
    </row>
    <row r="516" spans="1:9" ht="15.75" x14ac:dyDescent="0.25">
      <c r="A516" s="47"/>
      <c r="B516" s="47"/>
      <c r="C516" s="47"/>
      <c r="D516" s="47"/>
      <c r="E516" s="47"/>
      <c r="F516" s="47"/>
      <c r="G516" s="47"/>
    </row>
    <row r="517" spans="1:9" ht="15.75" x14ac:dyDescent="0.25">
      <c r="A517" s="48" t="s">
        <v>50</v>
      </c>
      <c r="B517" s="49"/>
      <c r="C517" s="49"/>
      <c r="D517" s="49"/>
      <c r="E517" s="49"/>
      <c r="F517" s="49"/>
      <c r="G517" s="50"/>
    </row>
    <row r="518" spans="1:9" ht="15.75" x14ac:dyDescent="0.25">
      <c r="A518" s="47"/>
      <c r="B518" s="47"/>
      <c r="C518" s="47"/>
      <c r="D518" s="47"/>
      <c r="E518" s="47"/>
      <c r="F518" s="47"/>
      <c r="G518" s="47"/>
    </row>
    <row r="519" spans="1:9" ht="15.75" x14ac:dyDescent="0.25">
      <c r="A519" s="47"/>
      <c r="B519" s="47"/>
      <c r="C519" s="47"/>
      <c r="D519" s="47"/>
      <c r="E519" s="47"/>
      <c r="F519" s="47"/>
      <c r="G519" s="47"/>
    </row>
    <row r="520" spans="1:9" ht="15.75" x14ac:dyDescent="0.25">
      <c r="A520" s="47"/>
      <c r="B520" s="47"/>
      <c r="C520" s="47"/>
      <c r="D520" s="47"/>
      <c r="E520" s="47"/>
      <c r="F520" s="47"/>
      <c r="G520" s="47"/>
    </row>
    <row r="527" spans="1:9" ht="21" x14ac:dyDescent="0.35">
      <c r="A527" s="88" t="s">
        <v>20</v>
      </c>
      <c r="B527" s="89"/>
      <c r="C527" s="89"/>
      <c r="D527" s="89"/>
      <c r="E527" s="89"/>
      <c r="F527" s="89"/>
      <c r="G527" s="90"/>
      <c r="H527" s="56"/>
      <c r="I527" s="56"/>
    </row>
    <row r="530" spans="1:9" ht="17.25" x14ac:dyDescent="0.3">
      <c r="A530" s="51" t="s">
        <v>108</v>
      </c>
      <c r="B530" s="51"/>
      <c r="C530" s="51"/>
      <c r="D530" s="51"/>
      <c r="E530" s="51"/>
      <c r="F530" s="51"/>
      <c r="G530" s="51"/>
      <c r="H530" s="51"/>
      <c r="I530" s="51"/>
    </row>
    <row r="531" spans="1:9" ht="17.25" x14ac:dyDescent="0.3">
      <c r="A531" s="51"/>
      <c r="B531" s="51"/>
      <c r="C531" s="51"/>
      <c r="D531" s="51"/>
      <c r="E531" s="51"/>
      <c r="F531" s="51"/>
      <c r="G531" s="51"/>
      <c r="H531" s="51"/>
      <c r="I531" s="51"/>
    </row>
    <row r="532" spans="1:9" ht="17.25" x14ac:dyDescent="0.3">
      <c r="A532" s="51" t="s">
        <v>109</v>
      </c>
      <c r="B532" s="51"/>
      <c r="C532" s="51"/>
      <c r="D532" s="51"/>
      <c r="E532" s="51"/>
      <c r="F532" s="51"/>
      <c r="G532" s="51"/>
      <c r="H532" s="51"/>
      <c r="I532" s="51"/>
    </row>
    <row r="533" spans="1:9" ht="17.25" x14ac:dyDescent="0.3">
      <c r="A533" s="51"/>
      <c r="B533" s="51"/>
      <c r="C533" s="51"/>
      <c r="D533" s="51"/>
      <c r="E533" s="51"/>
      <c r="F533" s="51"/>
      <c r="G533" s="51"/>
      <c r="H533" s="51"/>
      <c r="I533" s="51"/>
    </row>
    <row r="534" spans="1:9" ht="17.25" x14ac:dyDescent="0.3">
      <c r="A534" s="51"/>
      <c r="B534" s="51"/>
      <c r="C534" s="51"/>
      <c r="D534" s="51"/>
      <c r="E534" s="51"/>
      <c r="F534" s="51"/>
      <c r="G534" s="51"/>
      <c r="H534" s="51"/>
      <c r="I534" s="51"/>
    </row>
    <row r="535" spans="1:9" ht="17.25" x14ac:dyDescent="0.3">
      <c r="A535" s="51" t="s">
        <v>110</v>
      </c>
      <c r="B535" s="51"/>
      <c r="C535" s="51"/>
      <c r="D535" s="51"/>
      <c r="E535" s="51"/>
      <c r="F535" s="51"/>
      <c r="G535" s="51"/>
      <c r="H535" s="51"/>
      <c r="I535" s="51"/>
    </row>
    <row r="536" spans="1:9" ht="17.25" x14ac:dyDescent="0.3">
      <c r="A536" s="51"/>
      <c r="B536" s="51"/>
      <c r="C536" s="51"/>
      <c r="D536" s="51"/>
      <c r="E536" s="51"/>
      <c r="F536" s="51"/>
      <c r="G536" s="51"/>
      <c r="H536" s="51"/>
      <c r="I536" s="51"/>
    </row>
    <row r="537" spans="1:9" ht="17.25" x14ac:dyDescent="0.3">
      <c r="A537" s="51" t="s">
        <v>40</v>
      </c>
      <c r="B537" s="51"/>
      <c r="C537" s="51"/>
      <c r="D537" s="51"/>
      <c r="E537" s="51"/>
      <c r="F537" s="51"/>
      <c r="G537" s="51"/>
      <c r="H537" s="51"/>
      <c r="I537" s="51"/>
    </row>
    <row r="538" spans="1:9" ht="17.25" x14ac:dyDescent="0.3">
      <c r="A538" s="51"/>
      <c r="B538" s="51"/>
      <c r="C538" s="51"/>
      <c r="D538" s="51"/>
      <c r="E538" s="51"/>
      <c r="F538" s="51"/>
      <c r="G538" s="51"/>
      <c r="H538" s="51"/>
      <c r="I538" s="51"/>
    </row>
    <row r="539" spans="1:9" ht="33" customHeight="1" x14ac:dyDescent="0.3">
      <c r="A539" s="91" t="s">
        <v>111</v>
      </c>
      <c r="B539" s="91"/>
      <c r="C539" s="91"/>
      <c r="D539" s="91"/>
      <c r="E539" s="91"/>
      <c r="F539" s="91"/>
      <c r="G539" s="91"/>
      <c r="H539" s="55"/>
      <c r="I539" s="55"/>
    </row>
    <row r="540" spans="1:9" ht="17.25" x14ac:dyDescent="0.3">
      <c r="A540" s="51"/>
      <c r="B540" s="51"/>
      <c r="C540" s="51"/>
      <c r="D540" s="51"/>
      <c r="E540" s="51"/>
      <c r="F540" s="51"/>
      <c r="G540" s="51"/>
      <c r="H540" s="51"/>
      <c r="I540" s="51"/>
    </row>
    <row r="541" spans="1:9" ht="33" customHeight="1" x14ac:dyDescent="0.3">
      <c r="A541" s="91" t="s">
        <v>112</v>
      </c>
      <c r="B541" s="91"/>
      <c r="C541" s="91"/>
      <c r="D541" s="91"/>
      <c r="E541" s="91"/>
      <c r="F541" s="91"/>
      <c r="G541" s="91"/>
      <c r="H541" s="55"/>
      <c r="I541" s="55"/>
    </row>
    <row r="542" spans="1:9" ht="17.25" x14ac:dyDescent="0.3">
      <c r="A542" s="51"/>
      <c r="B542" s="51"/>
      <c r="C542" s="51"/>
      <c r="D542" s="51"/>
      <c r="E542" s="51"/>
      <c r="F542" s="51"/>
      <c r="G542" s="51"/>
      <c r="H542" s="51"/>
      <c r="I542" s="51"/>
    </row>
    <row r="543" spans="1:9" ht="33" customHeight="1" x14ac:dyDescent="0.3">
      <c r="A543" s="91" t="s">
        <v>113</v>
      </c>
      <c r="B543" s="91"/>
      <c r="C543" s="91"/>
      <c r="D543" s="91"/>
      <c r="E543" s="91"/>
      <c r="F543" s="91"/>
      <c r="G543" s="91"/>
      <c r="H543" s="55"/>
      <c r="I543" s="55"/>
    </row>
    <row r="545" spans="1:7" ht="18.75" x14ac:dyDescent="0.3">
      <c r="A545" s="1" t="s">
        <v>114</v>
      </c>
      <c r="B545" s="2"/>
      <c r="C545" s="2"/>
      <c r="D545" s="2"/>
      <c r="E545" s="2"/>
      <c r="F545" s="2"/>
      <c r="G545" s="53"/>
    </row>
    <row r="546" spans="1:7" ht="15.75" x14ac:dyDescent="0.25">
      <c r="A546" s="3" t="s">
        <v>1</v>
      </c>
      <c r="B546" s="3" t="s">
        <v>2</v>
      </c>
      <c r="C546" s="4" t="s">
        <v>3</v>
      </c>
      <c r="D546" s="4"/>
      <c r="E546" s="4"/>
      <c r="F546" s="4"/>
      <c r="G546" s="62" t="s">
        <v>30</v>
      </c>
    </row>
    <row r="547" spans="1:7" ht="15.75" x14ac:dyDescent="0.25">
      <c r="A547" s="5">
        <v>45148</v>
      </c>
      <c r="B547" s="6" t="s">
        <v>4</v>
      </c>
      <c r="C547" s="7" t="s">
        <v>5</v>
      </c>
      <c r="D547" s="7"/>
      <c r="E547" s="7"/>
      <c r="F547" s="7"/>
      <c r="G547" s="52">
        <v>1172.99</v>
      </c>
    </row>
    <row r="548" spans="1:7" ht="15.75" x14ac:dyDescent="0.25">
      <c r="A548" s="5">
        <v>45148</v>
      </c>
      <c r="B548" s="6" t="s">
        <v>4</v>
      </c>
      <c r="C548" s="7" t="s">
        <v>6</v>
      </c>
      <c r="D548" s="7"/>
      <c r="E548" s="7"/>
      <c r="F548" s="7"/>
      <c r="G548" s="52">
        <v>4200</v>
      </c>
    </row>
    <row r="549" spans="1:7" ht="15.75" x14ac:dyDescent="0.25">
      <c r="A549" s="5">
        <v>45153</v>
      </c>
      <c r="B549" s="6" t="s">
        <v>4</v>
      </c>
      <c r="C549" s="7" t="s">
        <v>61</v>
      </c>
      <c r="D549" s="7"/>
      <c r="E549" s="7"/>
      <c r="F549" s="7"/>
      <c r="G549" s="52">
        <v>1089.71</v>
      </c>
    </row>
    <row r="550" spans="1:7" ht="15.75" x14ac:dyDescent="0.25">
      <c r="A550" s="5">
        <v>45153</v>
      </c>
      <c r="B550" s="6" t="s">
        <v>4</v>
      </c>
      <c r="C550" s="7" t="s">
        <v>8</v>
      </c>
      <c r="D550" s="7"/>
      <c r="E550" s="7"/>
      <c r="F550" s="7"/>
      <c r="G550" s="52">
        <v>318.50999999999976</v>
      </c>
    </row>
    <row r="551" spans="1:7" ht="15.75" x14ac:dyDescent="0.25">
      <c r="A551" s="8">
        <v>45155</v>
      </c>
      <c r="B551" s="6" t="s">
        <v>4</v>
      </c>
      <c r="C551" s="7" t="s">
        <v>9</v>
      </c>
      <c r="D551" s="7"/>
      <c r="E551" s="7"/>
      <c r="F551" s="7"/>
      <c r="G551" s="52">
        <v>369.12</v>
      </c>
    </row>
    <row r="552" spans="1:7" ht="15.75" x14ac:dyDescent="0.25">
      <c r="A552" s="8">
        <v>45156</v>
      </c>
      <c r="B552" s="54" t="s">
        <v>4</v>
      </c>
      <c r="C552" s="7" t="s">
        <v>47</v>
      </c>
      <c r="D552" s="7"/>
      <c r="E552" s="7"/>
      <c r="F552" s="7"/>
      <c r="G552" s="52">
        <v>198.12</v>
      </c>
    </row>
    <row r="553" spans="1:7" ht="15.75" x14ac:dyDescent="0.25">
      <c r="A553" s="5">
        <v>45139</v>
      </c>
      <c r="B553" s="6" t="s">
        <v>4</v>
      </c>
      <c r="C553" s="7" t="s">
        <v>115</v>
      </c>
      <c r="D553" s="7"/>
      <c r="E553" s="7"/>
      <c r="F553" s="7"/>
      <c r="G553" s="52">
        <v>33.39</v>
      </c>
    </row>
    <row r="554" spans="1:7" ht="15.75" x14ac:dyDescent="0.25">
      <c r="A554" s="5">
        <v>45139</v>
      </c>
      <c r="B554" s="6" t="s">
        <v>4</v>
      </c>
      <c r="C554" s="7" t="s">
        <v>116</v>
      </c>
      <c r="D554" s="7"/>
      <c r="E554" s="7"/>
      <c r="F554" s="7"/>
      <c r="G554" s="52">
        <v>21.2</v>
      </c>
    </row>
    <row r="555" spans="1:7" ht="15.75" x14ac:dyDescent="0.25">
      <c r="A555" s="8">
        <v>45166</v>
      </c>
      <c r="B555" s="6" t="s">
        <v>4</v>
      </c>
      <c r="C555" s="7" t="s">
        <v>14</v>
      </c>
      <c r="D555" s="7"/>
      <c r="E555" s="7"/>
      <c r="F555" s="7"/>
      <c r="G555" s="52">
        <v>130</v>
      </c>
    </row>
    <row r="556" spans="1:7" ht="15.75" x14ac:dyDescent="0.25">
      <c r="A556" s="8">
        <v>45139</v>
      </c>
      <c r="B556" s="6" t="s">
        <v>4</v>
      </c>
      <c r="C556" s="7" t="s">
        <v>15</v>
      </c>
      <c r="D556" s="7"/>
      <c r="E556" s="7"/>
      <c r="F556" s="7"/>
      <c r="G556" s="52">
        <v>60</v>
      </c>
    </row>
    <row r="557" spans="1:7" ht="21" x14ac:dyDescent="0.35">
      <c r="A557" s="9" t="s">
        <v>16</v>
      </c>
      <c r="B557" s="10"/>
      <c r="C557" s="11"/>
      <c r="D557" s="11"/>
      <c r="E557" s="11"/>
      <c r="F557" s="11"/>
      <c r="G557" s="12">
        <f>SUM(G547:G556)</f>
        <v>7593.0399999999991</v>
      </c>
    </row>
    <row r="558" spans="1:7" ht="21" x14ac:dyDescent="0.35">
      <c r="A558" s="13" t="s">
        <v>17</v>
      </c>
      <c r="B558" s="11"/>
      <c r="C558" s="11"/>
      <c r="D558" s="11"/>
      <c r="E558" s="11"/>
      <c r="F558" s="11"/>
      <c r="G558" s="14">
        <f>ROUND(G557/14,2)</f>
        <v>542.36</v>
      </c>
    </row>
    <row r="559" spans="1:7" ht="21" x14ac:dyDescent="0.35">
      <c r="A559" s="13" t="s">
        <v>74</v>
      </c>
      <c r="B559" s="11"/>
      <c r="C559" s="11"/>
      <c r="D559" s="11"/>
      <c r="E559" s="11"/>
      <c r="F559" s="11"/>
      <c r="G559" s="14">
        <f>ROUND(G558/13,2)</f>
        <v>41.72</v>
      </c>
    </row>
    <row r="560" spans="1:7" ht="21" x14ac:dyDescent="0.35">
      <c r="A560" s="13" t="s">
        <v>19</v>
      </c>
      <c r="B560" s="11"/>
      <c r="C560" s="11"/>
      <c r="D560" s="11"/>
      <c r="E560" s="11"/>
      <c r="F560" s="11"/>
      <c r="G560" s="12">
        <f>G558+G559</f>
        <v>584.08000000000004</v>
      </c>
    </row>
    <row r="569" spans="1:7" ht="21" x14ac:dyDescent="0.35">
      <c r="A569" s="88" t="s">
        <v>20</v>
      </c>
      <c r="B569" s="89"/>
      <c r="C569" s="89"/>
      <c r="D569" s="89"/>
      <c r="E569" s="89"/>
      <c r="F569" s="89"/>
      <c r="G569" s="90"/>
    </row>
    <row r="572" spans="1:7" ht="18.75" x14ac:dyDescent="0.25">
      <c r="A572" s="19" t="s">
        <v>117</v>
      </c>
      <c r="B572" s="15"/>
      <c r="C572" s="15"/>
      <c r="D572" s="15"/>
      <c r="E572" s="15"/>
      <c r="F572" s="15"/>
      <c r="G572" s="16"/>
    </row>
    <row r="573" spans="1:7" ht="15.75" x14ac:dyDescent="0.25">
      <c r="A573" s="17"/>
      <c r="B573" s="18"/>
      <c r="C573" s="18"/>
      <c r="D573" s="18"/>
      <c r="E573" s="18"/>
      <c r="F573" s="18"/>
      <c r="G573" s="18"/>
    </row>
    <row r="574" spans="1:7" ht="15.75" x14ac:dyDescent="0.25">
      <c r="A574" s="17"/>
      <c r="B574" s="18"/>
      <c r="C574" s="18"/>
      <c r="D574" s="18"/>
      <c r="E574" s="18"/>
      <c r="F574" s="18"/>
      <c r="G574" s="18"/>
    </row>
    <row r="575" spans="1:7" ht="15.75" x14ac:dyDescent="0.25">
      <c r="A575" s="20" t="s">
        <v>22</v>
      </c>
      <c r="B575" s="21" t="s">
        <v>23</v>
      </c>
      <c r="C575" s="22"/>
      <c r="D575" s="21" t="s">
        <v>24</v>
      </c>
      <c r="E575" s="22"/>
      <c r="F575" s="59" t="s">
        <v>25</v>
      </c>
      <c r="G575" s="60" t="s">
        <v>26</v>
      </c>
    </row>
    <row r="576" spans="1:7" ht="15.75" x14ac:dyDescent="0.25">
      <c r="A576" s="23" t="s">
        <v>27</v>
      </c>
      <c r="B576" s="24" t="s">
        <v>28</v>
      </c>
      <c r="C576" s="24" t="s">
        <v>29</v>
      </c>
      <c r="D576" s="24" t="s">
        <v>28</v>
      </c>
      <c r="E576" s="24" t="s">
        <v>30</v>
      </c>
      <c r="F576" s="58" t="s">
        <v>31</v>
      </c>
      <c r="G576" s="61" t="s">
        <v>31</v>
      </c>
    </row>
    <row r="577" spans="1:7" ht="15.75" x14ac:dyDescent="0.25">
      <c r="A577" s="25" t="s">
        <v>32</v>
      </c>
      <c r="B577" s="26">
        <v>33.867999999999995</v>
      </c>
      <c r="C577" s="27">
        <v>318.50999999999976</v>
      </c>
      <c r="D577" s="28">
        <v>0</v>
      </c>
      <c r="E577" s="27">
        <v>0</v>
      </c>
      <c r="F577" s="29">
        <v>0</v>
      </c>
      <c r="G577" s="27">
        <v>0</v>
      </c>
    </row>
    <row r="578" spans="1:7" ht="15.75" x14ac:dyDescent="0.25">
      <c r="A578" s="30">
        <v>201</v>
      </c>
      <c r="B578" s="26">
        <v>14.275</v>
      </c>
      <c r="C578" s="27">
        <v>187.35</v>
      </c>
      <c r="D578" s="31">
        <v>1.9E-2</v>
      </c>
      <c r="E578" s="27">
        <v>0.61</v>
      </c>
      <c r="F578" s="27">
        <v>584.08000000000004</v>
      </c>
      <c r="G578" s="27">
        <v>773</v>
      </c>
    </row>
    <row r="579" spans="1:7" ht="15.75" x14ac:dyDescent="0.25">
      <c r="A579" s="30">
        <v>202</v>
      </c>
      <c r="B579" s="26">
        <v>53.384999999999998</v>
      </c>
      <c r="C579" s="27">
        <v>451.34</v>
      </c>
      <c r="D579" s="28">
        <v>5.1470000000000002</v>
      </c>
      <c r="E579" s="27">
        <v>163.93</v>
      </c>
      <c r="F579" s="27">
        <v>584.08000000000004</v>
      </c>
      <c r="G579" s="27">
        <v>1200</v>
      </c>
    </row>
    <row r="580" spans="1:7" ht="15.75" x14ac:dyDescent="0.25">
      <c r="A580" s="30">
        <v>301</v>
      </c>
      <c r="B580" s="26">
        <v>16.265000000000001</v>
      </c>
      <c r="C580" s="27">
        <v>200.78</v>
      </c>
      <c r="D580" s="28">
        <v>3.2069999999999999</v>
      </c>
      <c r="E580" s="27">
        <v>102.14</v>
      </c>
      <c r="F580" s="27">
        <v>584.08000000000004</v>
      </c>
      <c r="G580" s="27">
        <v>887</v>
      </c>
    </row>
    <row r="581" spans="1:7" ht="15.75" x14ac:dyDescent="0.25">
      <c r="A581" s="30">
        <v>302</v>
      </c>
      <c r="B581" s="26">
        <v>14.523999999999999</v>
      </c>
      <c r="C581" s="27">
        <v>189.03</v>
      </c>
      <c r="D581" s="28">
        <v>2.7290000000000001</v>
      </c>
      <c r="E581" s="27">
        <v>86.92</v>
      </c>
      <c r="F581" s="27">
        <v>584.08000000000004</v>
      </c>
      <c r="G581" s="27">
        <v>861</v>
      </c>
    </row>
    <row r="582" spans="1:7" ht="15.75" x14ac:dyDescent="0.25">
      <c r="A582" s="30">
        <v>401</v>
      </c>
      <c r="B582" s="26">
        <v>17.617999999999999</v>
      </c>
      <c r="C582" s="27">
        <v>209.92</v>
      </c>
      <c r="D582" s="28">
        <v>2.4470000000000001</v>
      </c>
      <c r="E582" s="27">
        <v>77.94</v>
      </c>
      <c r="F582" s="27">
        <v>584.08000000000004</v>
      </c>
      <c r="G582" s="27">
        <v>872</v>
      </c>
    </row>
    <row r="583" spans="1:7" ht="15.75" x14ac:dyDescent="0.25">
      <c r="A583" s="30">
        <v>402</v>
      </c>
      <c r="B583" s="26">
        <v>21.602</v>
      </c>
      <c r="C583" s="27">
        <v>236.81</v>
      </c>
      <c r="D583" s="28">
        <v>6.3109999999999999</v>
      </c>
      <c r="E583" s="27">
        <v>201.01</v>
      </c>
      <c r="F583" s="27">
        <v>584.08000000000004</v>
      </c>
      <c r="G583" s="27">
        <v>1022</v>
      </c>
    </row>
    <row r="584" spans="1:7" ht="15.75" x14ac:dyDescent="0.25">
      <c r="A584" s="30">
        <v>501</v>
      </c>
      <c r="B584" s="26">
        <v>11.558999999999999</v>
      </c>
      <c r="C584" s="27">
        <v>169.02</v>
      </c>
      <c r="D584" s="28">
        <v>1.395</v>
      </c>
      <c r="E584" s="27">
        <v>44.43</v>
      </c>
      <c r="F584" s="27">
        <v>584.08000000000004</v>
      </c>
      <c r="G584" s="27">
        <v>798</v>
      </c>
    </row>
    <row r="585" spans="1:7" ht="15.75" x14ac:dyDescent="0.25">
      <c r="A585" s="30">
        <v>502</v>
      </c>
      <c r="B585" s="26">
        <v>14.581</v>
      </c>
      <c r="C585" s="27">
        <v>189.42</v>
      </c>
      <c r="D585" s="28">
        <v>1.663</v>
      </c>
      <c r="E585" s="27">
        <v>52.97</v>
      </c>
      <c r="F585" s="27">
        <v>584.08000000000004</v>
      </c>
      <c r="G585" s="27">
        <v>827</v>
      </c>
    </row>
    <row r="586" spans="1:7" ht="15.75" x14ac:dyDescent="0.25">
      <c r="A586" s="30">
        <v>601</v>
      </c>
      <c r="B586" s="26">
        <v>10.821</v>
      </c>
      <c r="C586" s="27">
        <v>164.04</v>
      </c>
      <c r="D586" s="28">
        <v>0.158</v>
      </c>
      <c r="E586" s="27">
        <v>5.03</v>
      </c>
      <c r="F586" s="27">
        <v>584.08000000000004</v>
      </c>
      <c r="G586" s="27">
        <v>754</v>
      </c>
    </row>
    <row r="587" spans="1:7" ht="15.75" x14ac:dyDescent="0.25">
      <c r="A587" s="30">
        <v>602</v>
      </c>
      <c r="B587" s="26">
        <v>29.184000000000001</v>
      </c>
      <c r="C587" s="27">
        <v>287.99</v>
      </c>
      <c r="D587" s="28">
        <v>2.6909999999999998</v>
      </c>
      <c r="E587" s="27">
        <v>85.71</v>
      </c>
      <c r="F587" s="27">
        <v>584.08000000000004</v>
      </c>
      <c r="G587" s="27">
        <v>958</v>
      </c>
    </row>
    <row r="588" spans="1:7" ht="15.75" x14ac:dyDescent="0.25">
      <c r="A588" s="30">
        <v>701</v>
      </c>
      <c r="B588" s="26">
        <v>10.114000000000001</v>
      </c>
      <c r="C588" s="27">
        <v>159.26</v>
      </c>
      <c r="D588" s="28">
        <v>0.89500000000000002</v>
      </c>
      <c r="E588" s="27">
        <v>28.51</v>
      </c>
      <c r="F588" s="27">
        <v>584.08000000000004</v>
      </c>
      <c r="G588" s="27">
        <v>772</v>
      </c>
    </row>
    <row r="589" spans="1:7" ht="15.75" x14ac:dyDescent="0.25">
      <c r="A589" s="30">
        <v>702</v>
      </c>
      <c r="B589" s="26">
        <v>3.0859999999999999</v>
      </c>
      <c r="C589" s="27">
        <v>111.83</v>
      </c>
      <c r="D589" s="28">
        <v>0.92</v>
      </c>
      <c r="E589" s="27">
        <v>29.3</v>
      </c>
      <c r="F589" s="27">
        <v>584.08000000000004</v>
      </c>
      <c r="G589" s="27">
        <v>726</v>
      </c>
    </row>
    <row r="590" spans="1:7" ht="15.75" x14ac:dyDescent="0.25">
      <c r="A590" s="30">
        <v>801</v>
      </c>
      <c r="B590" s="26">
        <v>7.431</v>
      </c>
      <c r="C590" s="27">
        <v>141.15</v>
      </c>
      <c r="D590" s="28">
        <v>2.7709999999999999</v>
      </c>
      <c r="E590" s="27">
        <v>88.26</v>
      </c>
      <c r="F590" s="27">
        <v>584.08000000000004</v>
      </c>
      <c r="G590" s="27">
        <v>814</v>
      </c>
    </row>
    <row r="591" spans="1:7" ht="15.75" x14ac:dyDescent="0.25">
      <c r="A591" s="30">
        <v>802</v>
      </c>
      <c r="B591" s="26">
        <v>15.686999999999999</v>
      </c>
      <c r="C591" s="27">
        <v>196.88</v>
      </c>
      <c r="D591" s="28">
        <v>2.0779999999999998</v>
      </c>
      <c r="E591" s="27">
        <v>66.180000000000007</v>
      </c>
      <c r="F591" s="27">
        <v>584.08000000000004</v>
      </c>
      <c r="G591" s="27">
        <v>848</v>
      </c>
    </row>
    <row r="593" spans="1:7" x14ac:dyDescent="0.25">
      <c r="A593" s="32"/>
      <c r="B593" s="7"/>
      <c r="C593" s="7"/>
      <c r="D593" s="7"/>
      <c r="E593" s="7"/>
      <c r="F593" s="7"/>
      <c r="G593" s="33"/>
    </row>
    <row r="594" spans="1:7" x14ac:dyDescent="0.25">
      <c r="A594" s="32"/>
      <c r="B594" s="7"/>
      <c r="C594" s="7"/>
      <c r="D594" s="7"/>
      <c r="E594" s="7"/>
      <c r="F594" s="7"/>
      <c r="G594" s="33"/>
    </row>
    <row r="595" spans="1:7" x14ac:dyDescent="0.25">
      <c r="A595" s="32"/>
      <c r="B595" s="7"/>
      <c r="C595" s="7"/>
      <c r="D595" s="7"/>
      <c r="E595" s="7"/>
      <c r="F595" s="7"/>
      <c r="G595" s="33"/>
    </row>
    <row r="597" spans="1:7" ht="15.75" x14ac:dyDescent="0.25">
      <c r="A597" s="34" t="s">
        <v>118</v>
      </c>
      <c r="B597" s="35"/>
      <c r="C597" s="35"/>
      <c r="D597" s="35"/>
      <c r="E597" s="35"/>
      <c r="F597" s="36"/>
      <c r="G597" s="57">
        <v>44606.92</v>
      </c>
    </row>
    <row r="598" spans="1:7" ht="15.75" x14ac:dyDescent="0.25">
      <c r="A598" s="37" t="s">
        <v>119</v>
      </c>
      <c r="B598" s="38"/>
      <c r="C598" s="38"/>
      <c r="D598" s="38"/>
      <c r="E598" s="38"/>
      <c r="F598" s="39"/>
      <c r="G598" s="57">
        <v>4200</v>
      </c>
    </row>
    <row r="599" spans="1:7" ht="15.75" x14ac:dyDescent="0.25">
      <c r="A599" s="34" t="s">
        <v>120</v>
      </c>
      <c r="B599" s="35"/>
      <c r="C599" s="35"/>
      <c r="D599" s="35"/>
      <c r="E599" s="35"/>
      <c r="F599" s="36"/>
      <c r="G599" s="57">
        <f>G597+G598</f>
        <v>48806.92</v>
      </c>
    </row>
    <row r="600" spans="1:7" ht="18.75" x14ac:dyDescent="0.3">
      <c r="A600" s="40"/>
      <c r="B600" s="40"/>
      <c r="C600" s="40"/>
      <c r="D600" s="40"/>
      <c r="E600" s="40"/>
      <c r="F600" s="40"/>
      <c r="G600" s="40"/>
    </row>
    <row r="601" spans="1:7" ht="31.5" customHeight="1" x14ac:dyDescent="0.25">
      <c r="A601" s="85" t="s">
        <v>54</v>
      </c>
      <c r="B601" s="86"/>
      <c r="C601" s="86"/>
      <c r="D601" s="86"/>
      <c r="E601" s="86"/>
      <c r="F601" s="86"/>
      <c r="G601" s="87"/>
    </row>
    <row r="602" spans="1:7" ht="15.75" x14ac:dyDescent="0.25">
      <c r="A602" s="41" t="s">
        <v>36</v>
      </c>
      <c r="B602" s="42"/>
      <c r="C602" s="42"/>
      <c r="D602" s="42"/>
      <c r="E602" s="42"/>
      <c r="F602" s="42"/>
      <c r="G602" s="43"/>
    </row>
    <row r="603" spans="1:7" ht="15.75" x14ac:dyDescent="0.25">
      <c r="A603" s="44" t="s">
        <v>37</v>
      </c>
      <c r="B603" s="45"/>
      <c r="C603" s="45"/>
      <c r="D603" s="45"/>
      <c r="E603" s="45"/>
      <c r="F603" s="45"/>
      <c r="G603" s="46"/>
    </row>
    <row r="604" spans="1:7" ht="15.75" x14ac:dyDescent="0.25">
      <c r="A604" s="47"/>
      <c r="B604" s="47"/>
      <c r="C604" s="47"/>
      <c r="D604" s="47"/>
      <c r="E604" s="47"/>
      <c r="F604" s="47"/>
      <c r="G604" s="47"/>
    </row>
    <row r="605" spans="1:7" ht="15.75" x14ac:dyDescent="0.25">
      <c r="A605" s="48" t="s">
        <v>50</v>
      </c>
      <c r="B605" s="49"/>
      <c r="C605" s="49"/>
      <c r="D605" s="49"/>
      <c r="E605" s="49"/>
      <c r="F605" s="49"/>
      <c r="G605" s="50"/>
    </row>
    <row r="606" spans="1:7" ht="15.75" x14ac:dyDescent="0.25">
      <c r="A606" s="47"/>
      <c r="B606" s="47"/>
      <c r="C606" s="47"/>
      <c r="D606" s="47"/>
      <c r="E606" s="47"/>
      <c r="F606" s="47"/>
      <c r="G606" s="47"/>
    </row>
    <row r="607" spans="1:7" ht="15.75" x14ac:dyDescent="0.25">
      <c r="A607" s="47"/>
      <c r="B607" s="47"/>
      <c r="C607" s="47"/>
      <c r="D607" s="47"/>
      <c r="E607" s="47"/>
      <c r="F607" s="47"/>
      <c r="G607" s="47"/>
    </row>
    <row r="608" spans="1:7" ht="15.75" x14ac:dyDescent="0.25">
      <c r="A608" s="47"/>
      <c r="B608" s="47"/>
      <c r="C608" s="47"/>
      <c r="D608" s="47"/>
      <c r="E608" s="47"/>
      <c r="F608" s="47"/>
      <c r="G608" s="47"/>
    </row>
    <row r="615" spans="1:9" ht="21" x14ac:dyDescent="0.35">
      <c r="A615" s="88" t="s">
        <v>20</v>
      </c>
      <c r="B615" s="89"/>
      <c r="C615" s="89"/>
      <c r="D615" s="89"/>
      <c r="E615" s="89"/>
      <c r="F615" s="89"/>
      <c r="G615" s="90"/>
      <c r="H615" s="56"/>
      <c r="I615" s="56"/>
    </row>
    <row r="618" spans="1:9" ht="17.25" x14ac:dyDescent="0.3">
      <c r="A618" s="51" t="s">
        <v>127</v>
      </c>
      <c r="B618" s="51"/>
      <c r="C618" s="51"/>
      <c r="D618" s="51"/>
      <c r="E618" s="51"/>
      <c r="F618" s="51"/>
      <c r="G618" s="51"/>
      <c r="H618" s="51"/>
      <c r="I618" s="51"/>
    </row>
    <row r="619" spans="1:9" ht="17.25" x14ac:dyDescent="0.3">
      <c r="A619" s="51"/>
      <c r="B619" s="51"/>
      <c r="C619" s="51"/>
      <c r="D619" s="51"/>
      <c r="E619" s="51"/>
      <c r="F619" s="51"/>
      <c r="G619" s="51"/>
      <c r="H619" s="51"/>
      <c r="I619" s="51"/>
    </row>
    <row r="620" spans="1:9" ht="17.25" x14ac:dyDescent="0.3">
      <c r="A620" s="51" t="s">
        <v>128</v>
      </c>
      <c r="B620" s="51"/>
      <c r="C620" s="51"/>
      <c r="D620" s="51"/>
      <c r="E620" s="51"/>
      <c r="F620" s="51"/>
      <c r="G620" s="51"/>
      <c r="H620" s="51"/>
      <c r="I620" s="51"/>
    </row>
    <row r="621" spans="1:9" ht="17.25" x14ac:dyDescent="0.3">
      <c r="A621" s="51"/>
      <c r="B621" s="51"/>
      <c r="C621" s="51"/>
      <c r="D621" s="51"/>
      <c r="E621" s="51"/>
      <c r="F621" s="51"/>
      <c r="G621" s="51"/>
      <c r="H621" s="51"/>
      <c r="I621" s="51"/>
    </row>
    <row r="622" spans="1:9" ht="17.25" x14ac:dyDescent="0.3">
      <c r="A622" s="51"/>
      <c r="B622" s="51"/>
      <c r="C622" s="51"/>
      <c r="D622" s="51"/>
      <c r="E622" s="51"/>
      <c r="F622" s="51"/>
      <c r="G622" s="51"/>
      <c r="H622" s="51"/>
      <c r="I622" s="51"/>
    </row>
    <row r="623" spans="1:9" ht="17.25" x14ac:dyDescent="0.3">
      <c r="A623" s="51" t="s">
        <v>129</v>
      </c>
      <c r="B623" s="51"/>
      <c r="C623" s="51"/>
      <c r="D623" s="51"/>
      <c r="E623" s="51"/>
      <c r="F623" s="51"/>
      <c r="G623" s="51"/>
      <c r="H623" s="51"/>
      <c r="I623" s="51"/>
    </row>
    <row r="624" spans="1:9" ht="17.25" x14ac:dyDescent="0.3">
      <c r="A624" s="51"/>
      <c r="B624" s="51"/>
      <c r="C624" s="51"/>
      <c r="D624" s="51"/>
      <c r="E624" s="51"/>
      <c r="F624" s="51"/>
      <c r="G624" s="51"/>
      <c r="H624" s="51"/>
      <c r="I624" s="51"/>
    </row>
    <row r="625" spans="1:9" ht="17.25" x14ac:dyDescent="0.3">
      <c r="A625" s="51" t="s">
        <v>40</v>
      </c>
      <c r="B625" s="51"/>
      <c r="C625" s="51"/>
      <c r="D625" s="51"/>
      <c r="E625" s="51"/>
      <c r="F625" s="51"/>
      <c r="G625" s="51"/>
      <c r="H625" s="51"/>
      <c r="I625" s="51"/>
    </row>
    <row r="626" spans="1:9" ht="17.25" x14ac:dyDescent="0.3">
      <c r="A626" s="51"/>
      <c r="B626" s="51"/>
      <c r="C626" s="51"/>
      <c r="D626" s="51"/>
      <c r="E626" s="51"/>
      <c r="F626" s="51"/>
      <c r="G626" s="51"/>
      <c r="H626" s="51"/>
      <c r="I626" s="51"/>
    </row>
    <row r="627" spans="1:9" ht="33" customHeight="1" x14ac:dyDescent="0.3">
      <c r="A627" s="91" t="s">
        <v>130</v>
      </c>
      <c r="B627" s="91"/>
      <c r="C627" s="91"/>
      <c r="D627" s="91"/>
      <c r="E627" s="91"/>
      <c r="F627" s="91"/>
      <c r="G627" s="91"/>
      <c r="H627" s="55"/>
      <c r="I627" s="55"/>
    </row>
    <row r="628" spans="1:9" ht="17.25" x14ac:dyDescent="0.3">
      <c r="A628" s="51"/>
      <c r="B628" s="51"/>
      <c r="C628" s="51"/>
      <c r="D628" s="51"/>
      <c r="E628" s="51"/>
      <c r="F628" s="51"/>
      <c r="G628" s="51"/>
      <c r="H628" s="51"/>
      <c r="I628" s="51"/>
    </row>
    <row r="629" spans="1:9" ht="33" customHeight="1" x14ac:dyDescent="0.3">
      <c r="A629" s="91" t="s">
        <v>131</v>
      </c>
      <c r="B629" s="91"/>
      <c r="C629" s="91"/>
      <c r="D629" s="91"/>
      <c r="E629" s="91"/>
      <c r="F629" s="91"/>
      <c r="G629" s="91"/>
      <c r="H629" s="55"/>
      <c r="I629" s="55"/>
    </row>
    <row r="630" spans="1:9" ht="17.25" x14ac:dyDescent="0.3">
      <c r="A630" s="51"/>
      <c r="B630" s="51"/>
      <c r="C630" s="51"/>
      <c r="D630" s="51"/>
      <c r="E630" s="51"/>
      <c r="F630" s="51"/>
      <c r="G630" s="51"/>
      <c r="H630" s="51"/>
      <c r="I630" s="51"/>
    </row>
    <row r="631" spans="1:9" ht="33" customHeight="1" x14ac:dyDescent="0.3">
      <c r="A631" s="91" t="s">
        <v>132</v>
      </c>
      <c r="B631" s="91"/>
      <c r="C631" s="91"/>
      <c r="D631" s="91"/>
      <c r="E631" s="91"/>
      <c r="F631" s="91"/>
      <c r="G631" s="91"/>
      <c r="H631" s="55"/>
      <c r="I631" s="55"/>
    </row>
    <row r="633" spans="1:9" ht="18.75" x14ac:dyDescent="0.3">
      <c r="A633" s="1" t="s">
        <v>133</v>
      </c>
      <c r="B633" s="2"/>
      <c r="C633" s="2"/>
      <c r="D633" s="2"/>
      <c r="E633" s="2"/>
      <c r="F633" s="2"/>
      <c r="G633" s="53"/>
    </row>
    <row r="634" spans="1:9" ht="15.75" x14ac:dyDescent="0.25">
      <c r="A634" s="3" t="s">
        <v>1</v>
      </c>
      <c r="B634" s="3" t="s">
        <v>2</v>
      </c>
      <c r="C634" s="4" t="s">
        <v>3</v>
      </c>
      <c r="D634" s="4"/>
      <c r="E634" s="4"/>
      <c r="F634" s="4"/>
      <c r="G634" s="62" t="s">
        <v>30</v>
      </c>
    </row>
    <row r="635" spans="1:9" ht="15.75" x14ac:dyDescent="0.25">
      <c r="A635" s="5">
        <v>45180</v>
      </c>
      <c r="B635" s="6" t="s">
        <v>4</v>
      </c>
      <c r="C635" s="7" t="s">
        <v>5</v>
      </c>
      <c r="D635" s="7"/>
      <c r="E635" s="7"/>
      <c r="F635" s="7"/>
      <c r="G635" s="52">
        <v>1172.99</v>
      </c>
    </row>
    <row r="636" spans="1:9" ht="15.75" x14ac:dyDescent="0.25">
      <c r="A636" s="5">
        <v>45177</v>
      </c>
      <c r="B636" s="6" t="s">
        <v>4</v>
      </c>
      <c r="C636" s="7" t="s">
        <v>6</v>
      </c>
      <c r="D636" s="7"/>
      <c r="E636" s="7"/>
      <c r="F636" s="7"/>
      <c r="G636" s="52">
        <v>4200</v>
      </c>
    </row>
    <row r="637" spans="1:9" ht="15.75" x14ac:dyDescent="0.25">
      <c r="A637" s="5">
        <v>45184</v>
      </c>
      <c r="B637" s="6" t="s">
        <v>4</v>
      </c>
      <c r="C637" s="7" t="s">
        <v>61</v>
      </c>
      <c r="D637" s="7"/>
      <c r="E637" s="7"/>
      <c r="F637" s="7"/>
      <c r="G637" s="52">
        <v>1089.71</v>
      </c>
    </row>
    <row r="638" spans="1:9" ht="15.75" x14ac:dyDescent="0.25">
      <c r="A638" s="5">
        <v>45184</v>
      </c>
      <c r="B638" s="6" t="s">
        <v>4</v>
      </c>
      <c r="C638" s="7" t="s">
        <v>8</v>
      </c>
      <c r="D638" s="7"/>
      <c r="E638" s="7"/>
      <c r="F638" s="7"/>
      <c r="G638" s="52">
        <v>492.88000000000011</v>
      </c>
    </row>
    <row r="639" spans="1:9" ht="15.75" x14ac:dyDescent="0.25">
      <c r="A639" s="8">
        <v>45187</v>
      </c>
      <c r="B639" s="6" t="s">
        <v>4</v>
      </c>
      <c r="C639" s="7" t="s">
        <v>9</v>
      </c>
      <c r="D639" s="7"/>
      <c r="E639" s="7"/>
      <c r="F639" s="7"/>
      <c r="G639" s="52">
        <v>357.01</v>
      </c>
    </row>
    <row r="640" spans="1:9" ht="15.75" x14ac:dyDescent="0.25">
      <c r="A640" s="8">
        <v>45189</v>
      </c>
      <c r="B640" s="54" t="s">
        <v>4</v>
      </c>
      <c r="C640" s="7" t="s">
        <v>47</v>
      </c>
      <c r="D640" s="7"/>
      <c r="E640" s="7"/>
      <c r="F640" s="7"/>
      <c r="G640" s="52">
        <v>198.12</v>
      </c>
    </row>
    <row r="641" spans="1:7" ht="15.75" x14ac:dyDescent="0.25">
      <c r="A641" s="5">
        <v>45160</v>
      </c>
      <c r="B641" s="6" t="s">
        <v>4</v>
      </c>
      <c r="C641" s="7" t="s">
        <v>135</v>
      </c>
      <c r="D641" s="7"/>
      <c r="E641" s="7"/>
      <c r="F641" s="7"/>
      <c r="G641" s="52">
        <v>230</v>
      </c>
    </row>
    <row r="642" spans="1:7" ht="15.75" x14ac:dyDescent="0.25">
      <c r="A642" s="5">
        <v>45169</v>
      </c>
      <c r="B642" s="6" t="s">
        <v>4</v>
      </c>
      <c r="C642" s="7" t="s">
        <v>136</v>
      </c>
      <c r="D642" s="7"/>
      <c r="E642" s="7"/>
      <c r="F642" s="7"/>
      <c r="G642" s="52">
        <v>221.6</v>
      </c>
    </row>
    <row r="643" spans="1:7" ht="15.75" x14ac:dyDescent="0.25">
      <c r="A643" s="8">
        <v>45197</v>
      </c>
      <c r="B643" s="6" t="s">
        <v>4</v>
      </c>
      <c r="C643" s="7" t="s">
        <v>14</v>
      </c>
      <c r="D643" s="7"/>
      <c r="E643" s="7"/>
      <c r="F643" s="7"/>
      <c r="G643" s="52">
        <v>130</v>
      </c>
    </row>
    <row r="644" spans="1:7" ht="15.75" x14ac:dyDescent="0.25">
      <c r="A644" s="8">
        <v>45170</v>
      </c>
      <c r="B644" s="6" t="s">
        <v>4</v>
      </c>
      <c r="C644" s="7" t="s">
        <v>15</v>
      </c>
      <c r="D644" s="7"/>
      <c r="E644" s="7"/>
      <c r="F644" s="7"/>
      <c r="G644" s="52">
        <v>60</v>
      </c>
    </row>
    <row r="645" spans="1:7" ht="21" x14ac:dyDescent="0.35">
      <c r="A645" s="9" t="s">
        <v>16</v>
      </c>
      <c r="B645" s="10"/>
      <c r="C645" s="11"/>
      <c r="D645" s="11"/>
      <c r="E645" s="11"/>
      <c r="F645" s="11"/>
      <c r="G645" s="12">
        <f>SUM(G635:G644)</f>
        <v>8152.31</v>
      </c>
    </row>
    <row r="646" spans="1:7" ht="21" x14ac:dyDescent="0.35">
      <c r="A646" s="13" t="s">
        <v>17</v>
      </c>
      <c r="B646" s="11"/>
      <c r="C646" s="11"/>
      <c r="D646" s="11"/>
      <c r="E646" s="11"/>
      <c r="F646" s="11"/>
      <c r="G646" s="14">
        <f>ROUND(G645/14,2)</f>
        <v>582.30999999999995</v>
      </c>
    </row>
    <row r="647" spans="1:7" ht="21" x14ac:dyDescent="0.35">
      <c r="A647" s="13" t="s">
        <v>74</v>
      </c>
      <c r="B647" s="11"/>
      <c r="C647" s="11"/>
      <c r="D647" s="11"/>
      <c r="E647" s="11"/>
      <c r="F647" s="11"/>
      <c r="G647" s="14">
        <f>ROUND(G646/13,2)</f>
        <v>44.79</v>
      </c>
    </row>
    <row r="648" spans="1:7" ht="21" x14ac:dyDescent="0.35">
      <c r="A648" s="13" t="s">
        <v>19</v>
      </c>
      <c r="B648" s="11"/>
      <c r="C648" s="11"/>
      <c r="D648" s="11"/>
      <c r="E648" s="11"/>
      <c r="F648" s="11"/>
      <c r="G648" s="12">
        <f>G646+G647</f>
        <v>627.09999999999991</v>
      </c>
    </row>
    <row r="657" spans="1:7" ht="21" x14ac:dyDescent="0.35">
      <c r="A657" s="88" t="s">
        <v>20</v>
      </c>
      <c r="B657" s="89"/>
      <c r="C657" s="89"/>
      <c r="D657" s="89"/>
      <c r="E657" s="89"/>
      <c r="F657" s="89"/>
      <c r="G657" s="90"/>
    </row>
    <row r="660" spans="1:7" ht="18.75" x14ac:dyDescent="0.25">
      <c r="A660" s="19" t="s">
        <v>134</v>
      </c>
      <c r="B660" s="15"/>
      <c r="C660" s="15"/>
      <c r="D660" s="15"/>
      <c r="E660" s="15"/>
      <c r="F660" s="15"/>
      <c r="G660" s="16"/>
    </row>
    <row r="661" spans="1:7" ht="15.75" x14ac:dyDescent="0.25">
      <c r="A661" s="17"/>
      <c r="B661" s="18"/>
      <c r="C661" s="18"/>
      <c r="D661" s="18"/>
      <c r="E661" s="18"/>
      <c r="F661" s="18"/>
      <c r="G661" s="18"/>
    </row>
    <row r="662" spans="1:7" ht="15.75" x14ac:dyDescent="0.25">
      <c r="A662" s="17"/>
      <c r="B662" s="18"/>
      <c r="C662" s="18"/>
      <c r="D662" s="18"/>
      <c r="E662" s="18"/>
      <c r="F662" s="18"/>
      <c r="G662" s="18"/>
    </row>
    <row r="663" spans="1:7" ht="15.75" x14ac:dyDescent="0.25">
      <c r="A663" s="20" t="s">
        <v>22</v>
      </c>
      <c r="B663" s="21" t="s">
        <v>23</v>
      </c>
      <c r="C663" s="22"/>
      <c r="D663" s="21" t="s">
        <v>24</v>
      </c>
      <c r="E663" s="22"/>
      <c r="F663" s="59" t="s">
        <v>25</v>
      </c>
      <c r="G663" s="60" t="s">
        <v>26</v>
      </c>
    </row>
    <row r="664" spans="1:7" ht="15.75" x14ac:dyDescent="0.25">
      <c r="A664" s="23" t="s">
        <v>27</v>
      </c>
      <c r="B664" s="24" t="s">
        <v>28</v>
      </c>
      <c r="C664" s="24" t="s">
        <v>29</v>
      </c>
      <c r="D664" s="24" t="s">
        <v>28</v>
      </c>
      <c r="E664" s="24" t="s">
        <v>30</v>
      </c>
      <c r="F664" s="58" t="s">
        <v>31</v>
      </c>
      <c r="G664" s="61" t="s">
        <v>31</v>
      </c>
    </row>
    <row r="665" spans="1:7" ht="15.75" x14ac:dyDescent="0.25">
      <c r="A665" s="25" t="s">
        <v>32</v>
      </c>
      <c r="B665" s="26">
        <v>61.702999999999975</v>
      </c>
      <c r="C665" s="27">
        <v>492.88000000000011</v>
      </c>
      <c r="D665" s="28">
        <v>0</v>
      </c>
      <c r="E665" s="27">
        <v>0</v>
      </c>
      <c r="F665" s="29">
        <v>0</v>
      </c>
      <c r="G665" s="27">
        <v>0</v>
      </c>
    </row>
    <row r="666" spans="1:7" ht="15.75" x14ac:dyDescent="0.25">
      <c r="A666" s="30">
        <v>201</v>
      </c>
      <c r="B666" s="26">
        <v>20.036999999999999</v>
      </c>
      <c r="C666" s="27">
        <v>217.34</v>
      </c>
      <c r="D666" s="31">
        <v>0.36499999999999999</v>
      </c>
      <c r="E666" s="27">
        <v>11.63</v>
      </c>
      <c r="F666" s="27">
        <v>627.09999999999991</v>
      </c>
      <c r="G666" s="27">
        <v>857</v>
      </c>
    </row>
    <row r="667" spans="1:7" ht="15.75" x14ac:dyDescent="0.25">
      <c r="A667" s="30">
        <v>202</v>
      </c>
      <c r="B667" s="26">
        <v>42.697000000000003</v>
      </c>
      <c r="C667" s="27">
        <v>367.12</v>
      </c>
      <c r="D667" s="28">
        <v>4.5</v>
      </c>
      <c r="E667" s="27">
        <v>143.33000000000001</v>
      </c>
      <c r="F667" s="27">
        <v>627.09999999999991</v>
      </c>
      <c r="G667" s="27">
        <v>1138</v>
      </c>
    </row>
    <row r="668" spans="1:7" ht="15.75" x14ac:dyDescent="0.25">
      <c r="A668" s="30">
        <v>301</v>
      </c>
      <c r="B668" s="26">
        <v>16.074000000000002</v>
      </c>
      <c r="C668" s="27">
        <v>191.14</v>
      </c>
      <c r="D668" s="28">
        <v>3.597</v>
      </c>
      <c r="E668" s="27">
        <v>114.56</v>
      </c>
      <c r="F668" s="27">
        <v>627.09999999999991</v>
      </c>
      <c r="G668" s="27">
        <v>933</v>
      </c>
    </row>
    <row r="669" spans="1:7" ht="15.75" x14ac:dyDescent="0.25">
      <c r="A669" s="30">
        <v>302</v>
      </c>
      <c r="B669" s="26">
        <v>11.486000000000001</v>
      </c>
      <c r="C669" s="27">
        <v>160.82</v>
      </c>
      <c r="D669" s="28">
        <v>2.653</v>
      </c>
      <c r="E669" s="27">
        <v>84.5</v>
      </c>
      <c r="F669" s="27">
        <v>627.09999999999991</v>
      </c>
      <c r="G669" s="27">
        <v>873</v>
      </c>
    </row>
    <row r="670" spans="1:7" ht="15.75" x14ac:dyDescent="0.25">
      <c r="A670" s="30">
        <v>401</v>
      </c>
      <c r="B670" s="26">
        <v>18.917999999999999</v>
      </c>
      <c r="C670" s="27">
        <v>209.94</v>
      </c>
      <c r="D670" s="28">
        <v>2.117</v>
      </c>
      <c r="E670" s="27">
        <v>67.430000000000007</v>
      </c>
      <c r="F670" s="27">
        <v>627.09999999999991</v>
      </c>
      <c r="G670" s="27">
        <v>905</v>
      </c>
    </row>
    <row r="671" spans="1:7" ht="15.75" x14ac:dyDescent="0.25">
      <c r="A671" s="30">
        <v>402</v>
      </c>
      <c r="B671" s="26">
        <v>17.327000000000002</v>
      </c>
      <c r="C671" s="27">
        <v>199.43</v>
      </c>
      <c r="D671" s="28">
        <v>4.3140000000000001</v>
      </c>
      <c r="E671" s="27">
        <v>137.4</v>
      </c>
      <c r="F671" s="27">
        <v>627.09999999999991</v>
      </c>
      <c r="G671" s="27">
        <v>964</v>
      </c>
    </row>
    <row r="672" spans="1:7" ht="15.75" x14ac:dyDescent="0.25">
      <c r="A672" s="30">
        <v>501</v>
      </c>
      <c r="B672" s="26">
        <v>10.815</v>
      </c>
      <c r="C672" s="27">
        <v>156.38</v>
      </c>
      <c r="D672" s="28">
        <v>1.091</v>
      </c>
      <c r="E672" s="27">
        <v>34.75</v>
      </c>
      <c r="F672" s="27">
        <v>627.09999999999991</v>
      </c>
      <c r="G672" s="27">
        <v>819</v>
      </c>
    </row>
    <row r="673" spans="1:7" ht="15.75" x14ac:dyDescent="0.25">
      <c r="A673" s="30">
        <v>502</v>
      </c>
      <c r="B673" s="26">
        <v>12.473000000000001</v>
      </c>
      <c r="C673" s="27">
        <v>167.34</v>
      </c>
      <c r="D673" s="28">
        <v>1.258</v>
      </c>
      <c r="E673" s="27">
        <v>40.07</v>
      </c>
      <c r="F673" s="27">
        <v>627.09999999999991</v>
      </c>
      <c r="G673" s="27">
        <v>835</v>
      </c>
    </row>
    <row r="674" spans="1:7" ht="15.75" x14ac:dyDescent="0.25">
      <c r="A674" s="30">
        <v>601</v>
      </c>
      <c r="B674" s="26">
        <v>9.3889999999999993</v>
      </c>
      <c r="C674" s="27">
        <v>146.96</v>
      </c>
      <c r="D674" s="28">
        <v>0.115</v>
      </c>
      <c r="E674" s="27">
        <v>3.66</v>
      </c>
      <c r="F674" s="27">
        <v>627.09999999999991</v>
      </c>
      <c r="G674" s="27">
        <v>778</v>
      </c>
    </row>
    <row r="675" spans="1:7" ht="15.75" x14ac:dyDescent="0.25">
      <c r="A675" s="30">
        <v>602</v>
      </c>
      <c r="B675" s="26">
        <v>4.3220000000000001</v>
      </c>
      <c r="C675" s="27">
        <v>113.46</v>
      </c>
      <c r="D675" s="28">
        <v>1.9410000000000001</v>
      </c>
      <c r="E675" s="27">
        <v>61.82</v>
      </c>
      <c r="F675" s="27">
        <v>627.09999999999991</v>
      </c>
      <c r="G675" s="27">
        <v>803</v>
      </c>
    </row>
    <row r="676" spans="1:7" ht="15.75" x14ac:dyDescent="0.25">
      <c r="A676" s="30">
        <v>701</v>
      </c>
      <c r="B676" s="26">
        <v>9.07</v>
      </c>
      <c r="C676" s="27">
        <v>144.85</v>
      </c>
      <c r="D676" s="28">
        <v>0.72799999999999998</v>
      </c>
      <c r="E676" s="27">
        <v>23.19</v>
      </c>
      <c r="F676" s="27">
        <v>627.09999999999991</v>
      </c>
      <c r="G676" s="27">
        <v>796</v>
      </c>
    </row>
    <row r="677" spans="1:7" ht="15.75" x14ac:dyDescent="0.25">
      <c r="A677" s="30">
        <v>702</v>
      </c>
      <c r="B677" s="26">
        <v>2.5190000000000001</v>
      </c>
      <c r="C677" s="27">
        <v>101.55</v>
      </c>
      <c r="D677" s="28">
        <v>0.61899999999999999</v>
      </c>
      <c r="E677" s="27">
        <v>19.72</v>
      </c>
      <c r="F677" s="27">
        <v>627.09999999999991</v>
      </c>
      <c r="G677" s="27">
        <v>749</v>
      </c>
    </row>
    <row r="678" spans="1:7" ht="15.75" x14ac:dyDescent="0.25">
      <c r="A678" s="30">
        <v>801</v>
      </c>
      <c r="B678" s="26">
        <v>7.3159999999999998</v>
      </c>
      <c r="C678" s="27">
        <v>133.25</v>
      </c>
      <c r="D678" s="28">
        <v>2.2149999999999999</v>
      </c>
      <c r="E678" s="27">
        <v>70.55</v>
      </c>
      <c r="F678" s="27">
        <v>627.09999999999991</v>
      </c>
      <c r="G678" s="27">
        <v>831</v>
      </c>
    </row>
    <row r="679" spans="1:7" ht="15.75" x14ac:dyDescent="0.25">
      <c r="A679" s="30">
        <v>802</v>
      </c>
      <c r="B679" s="26">
        <v>16.853999999999999</v>
      </c>
      <c r="C679" s="27">
        <v>196.3</v>
      </c>
      <c r="D679" s="28">
        <v>2.4809999999999999</v>
      </c>
      <c r="E679" s="27">
        <v>79.02</v>
      </c>
      <c r="F679" s="27">
        <v>627.09999999999991</v>
      </c>
      <c r="G679" s="27">
        <v>903</v>
      </c>
    </row>
    <row r="681" spans="1:7" x14ac:dyDescent="0.25">
      <c r="A681" s="32"/>
      <c r="B681" s="7"/>
      <c r="C681" s="7"/>
      <c r="D681" s="7"/>
      <c r="E681" s="7"/>
      <c r="F681" s="7"/>
      <c r="G681" s="33"/>
    </row>
    <row r="682" spans="1:7" x14ac:dyDescent="0.25">
      <c r="A682" s="32"/>
      <c r="B682" s="7"/>
      <c r="C682" s="7"/>
      <c r="D682" s="7"/>
      <c r="E682" s="7"/>
      <c r="F682" s="7"/>
      <c r="G682" s="33"/>
    </row>
    <row r="683" spans="1:7" x14ac:dyDescent="0.25">
      <c r="A683" s="32"/>
      <c r="B683" s="7"/>
      <c r="C683" s="7"/>
      <c r="D683" s="7"/>
      <c r="E683" s="7"/>
      <c r="F683" s="7"/>
      <c r="G683" s="33"/>
    </row>
    <row r="685" spans="1:7" ht="15.75" x14ac:dyDescent="0.25">
      <c r="A685" s="34" t="s">
        <v>137</v>
      </c>
      <c r="B685" s="35"/>
      <c r="C685" s="35"/>
      <c r="D685" s="35"/>
      <c r="E685" s="35"/>
      <c r="F685" s="36"/>
      <c r="G685" s="57">
        <v>48806.92</v>
      </c>
    </row>
    <row r="686" spans="1:7" ht="15.75" x14ac:dyDescent="0.25">
      <c r="A686" s="37" t="s">
        <v>138</v>
      </c>
      <c r="B686" s="38"/>
      <c r="C686" s="38"/>
      <c r="D686" s="38"/>
      <c r="E686" s="38"/>
      <c r="F686" s="39"/>
      <c r="G686" s="57">
        <v>4200</v>
      </c>
    </row>
    <row r="687" spans="1:7" ht="15.75" x14ac:dyDescent="0.25">
      <c r="A687" s="34" t="s">
        <v>139</v>
      </c>
      <c r="B687" s="35"/>
      <c r="C687" s="35"/>
      <c r="D687" s="35"/>
      <c r="E687" s="35"/>
      <c r="F687" s="36"/>
      <c r="G687" s="57">
        <f>G685+G686</f>
        <v>53006.92</v>
      </c>
    </row>
    <row r="688" spans="1:7" ht="18.75" x14ac:dyDescent="0.3">
      <c r="A688" s="40"/>
      <c r="B688" s="40"/>
      <c r="C688" s="40"/>
      <c r="D688" s="40"/>
      <c r="E688" s="40"/>
      <c r="F688" s="40"/>
      <c r="G688" s="40"/>
    </row>
    <row r="689" spans="1:9" ht="31.5" customHeight="1" x14ac:dyDescent="0.25">
      <c r="A689" s="85" t="s">
        <v>54</v>
      </c>
      <c r="B689" s="86"/>
      <c r="C689" s="86"/>
      <c r="D689" s="86"/>
      <c r="E689" s="86"/>
      <c r="F689" s="86"/>
      <c r="G689" s="87"/>
    </row>
    <row r="690" spans="1:9" ht="15.75" x14ac:dyDescent="0.25">
      <c r="A690" s="41" t="s">
        <v>36</v>
      </c>
      <c r="B690" s="42"/>
      <c r="C690" s="42"/>
      <c r="D690" s="42"/>
      <c r="E690" s="42"/>
      <c r="F690" s="42"/>
      <c r="G690" s="43"/>
    </row>
    <row r="691" spans="1:9" ht="15.75" x14ac:dyDescent="0.25">
      <c r="A691" s="44" t="s">
        <v>37</v>
      </c>
      <c r="B691" s="45"/>
      <c r="C691" s="45"/>
      <c r="D691" s="45"/>
      <c r="E691" s="45"/>
      <c r="F691" s="45"/>
      <c r="G691" s="46"/>
    </row>
    <row r="692" spans="1:9" ht="15.75" x14ac:dyDescent="0.25">
      <c r="A692" s="47"/>
      <c r="B692" s="47"/>
      <c r="C692" s="47"/>
      <c r="D692" s="47"/>
      <c r="E692" s="47"/>
      <c r="F692" s="47"/>
      <c r="G692" s="47"/>
    </row>
    <row r="693" spans="1:9" ht="15.75" x14ac:dyDescent="0.25">
      <c r="A693" s="48" t="s">
        <v>50</v>
      </c>
      <c r="B693" s="49"/>
      <c r="C693" s="49"/>
      <c r="D693" s="49"/>
      <c r="E693" s="49"/>
      <c r="F693" s="49"/>
      <c r="G693" s="50"/>
    </row>
    <row r="694" spans="1:9" ht="15.75" x14ac:dyDescent="0.25">
      <c r="A694" s="47"/>
      <c r="B694" s="47"/>
      <c r="C694" s="47"/>
      <c r="D694" s="47"/>
      <c r="E694" s="47"/>
      <c r="F694" s="47"/>
      <c r="G694" s="47"/>
    </row>
    <row r="695" spans="1:9" ht="15.75" x14ac:dyDescent="0.25">
      <c r="A695" s="47"/>
      <c r="B695" s="47"/>
      <c r="C695" s="47"/>
      <c r="D695" s="47"/>
      <c r="E695" s="47"/>
      <c r="F695" s="47"/>
      <c r="G695" s="47"/>
    </row>
    <row r="696" spans="1:9" ht="15.75" x14ac:dyDescent="0.25">
      <c r="A696" s="47"/>
      <c r="B696" s="47"/>
      <c r="C696" s="47"/>
      <c r="D696" s="47"/>
      <c r="E696" s="47"/>
      <c r="F696" s="47"/>
      <c r="G696" s="47"/>
    </row>
    <row r="703" spans="1:9" ht="21" x14ac:dyDescent="0.35">
      <c r="A703" s="88" t="s">
        <v>20</v>
      </c>
      <c r="B703" s="89"/>
      <c r="C703" s="89"/>
      <c r="D703" s="89"/>
      <c r="E703" s="89"/>
      <c r="F703" s="89"/>
      <c r="G703" s="90"/>
      <c r="H703" s="56"/>
      <c r="I703" s="56"/>
    </row>
    <row r="706" spans="1:9" ht="17.25" x14ac:dyDescent="0.3">
      <c r="A706" s="51" t="s">
        <v>140</v>
      </c>
      <c r="B706" s="51"/>
      <c r="C706" s="51"/>
      <c r="D706" s="51"/>
      <c r="E706" s="51"/>
      <c r="F706" s="51"/>
      <c r="G706" s="51"/>
      <c r="H706" s="51"/>
      <c r="I706" s="51"/>
    </row>
    <row r="707" spans="1:9" ht="17.25" x14ac:dyDescent="0.3">
      <c r="A707" s="51"/>
      <c r="B707" s="51"/>
      <c r="C707" s="51"/>
      <c r="D707" s="51"/>
      <c r="E707" s="51"/>
      <c r="F707" s="51"/>
      <c r="G707" s="51"/>
      <c r="H707" s="51"/>
      <c r="I707" s="51"/>
    </row>
    <row r="708" spans="1:9" ht="17.25" x14ac:dyDescent="0.3">
      <c r="A708" s="51" t="s">
        <v>141</v>
      </c>
      <c r="B708" s="51"/>
      <c r="C708" s="51"/>
      <c r="D708" s="51"/>
      <c r="E708" s="51"/>
      <c r="F708" s="51"/>
      <c r="G708" s="51"/>
      <c r="H708" s="51"/>
      <c r="I708" s="51"/>
    </row>
    <row r="709" spans="1:9" ht="17.25" x14ac:dyDescent="0.3">
      <c r="A709" s="51"/>
      <c r="B709" s="51"/>
      <c r="C709" s="51"/>
      <c r="D709" s="51"/>
      <c r="E709" s="51"/>
      <c r="F709" s="51"/>
      <c r="G709" s="51"/>
      <c r="H709" s="51"/>
      <c r="I709" s="51"/>
    </row>
    <row r="710" spans="1:9" ht="17.25" x14ac:dyDescent="0.3">
      <c r="A710" s="51"/>
      <c r="B710" s="51"/>
      <c r="C710" s="51"/>
      <c r="D710" s="51"/>
      <c r="E710" s="51"/>
      <c r="F710" s="51"/>
      <c r="G710" s="51"/>
      <c r="H710" s="51"/>
      <c r="I710" s="51"/>
    </row>
    <row r="711" spans="1:9" ht="17.25" x14ac:dyDescent="0.3">
      <c r="A711" s="51" t="s">
        <v>142</v>
      </c>
      <c r="B711" s="51"/>
      <c r="C711" s="51"/>
      <c r="D711" s="51"/>
      <c r="E711" s="51"/>
      <c r="F711" s="51"/>
      <c r="G711" s="51"/>
      <c r="H711" s="51"/>
      <c r="I711" s="51"/>
    </row>
    <row r="712" spans="1:9" ht="17.25" x14ac:dyDescent="0.3">
      <c r="A712" s="51"/>
      <c r="B712" s="51"/>
      <c r="C712" s="51"/>
      <c r="D712" s="51"/>
      <c r="E712" s="51"/>
      <c r="F712" s="51"/>
      <c r="G712" s="51"/>
      <c r="H712" s="51"/>
      <c r="I712" s="51"/>
    </row>
    <row r="713" spans="1:9" ht="17.25" x14ac:dyDescent="0.3">
      <c r="A713" s="51" t="s">
        <v>40</v>
      </c>
      <c r="B713" s="51"/>
      <c r="C713" s="51"/>
      <c r="D713" s="51"/>
      <c r="E713" s="51"/>
      <c r="F713" s="51"/>
      <c r="G713" s="51"/>
      <c r="H713" s="51"/>
      <c r="I713" s="51"/>
    </row>
    <row r="714" spans="1:9" ht="17.25" x14ac:dyDescent="0.3">
      <c r="A714" s="51"/>
      <c r="B714" s="51"/>
      <c r="C714" s="51"/>
      <c r="D714" s="51"/>
      <c r="E714" s="51"/>
      <c r="F714" s="51"/>
      <c r="G714" s="51"/>
      <c r="H714" s="51"/>
      <c r="I714" s="51"/>
    </row>
    <row r="715" spans="1:9" ht="33" customHeight="1" x14ac:dyDescent="0.3">
      <c r="A715" s="91" t="s">
        <v>143</v>
      </c>
      <c r="B715" s="91"/>
      <c r="C715" s="91"/>
      <c r="D715" s="91"/>
      <c r="E715" s="91"/>
      <c r="F715" s="91"/>
      <c r="G715" s="91"/>
      <c r="H715" s="55"/>
      <c r="I715" s="55"/>
    </row>
    <row r="716" spans="1:9" ht="17.25" x14ac:dyDescent="0.3">
      <c r="A716" s="51"/>
      <c r="B716" s="51"/>
      <c r="C716" s="51"/>
      <c r="D716" s="51"/>
      <c r="E716" s="51"/>
      <c r="F716" s="51"/>
      <c r="G716" s="51"/>
      <c r="H716" s="51"/>
      <c r="I716" s="51"/>
    </row>
    <row r="717" spans="1:9" ht="33" customHeight="1" x14ac:dyDescent="0.3">
      <c r="A717" s="91" t="s">
        <v>131</v>
      </c>
      <c r="B717" s="91"/>
      <c r="C717" s="91"/>
      <c r="D717" s="91"/>
      <c r="E717" s="91"/>
      <c r="F717" s="91"/>
      <c r="G717" s="91"/>
      <c r="H717" s="55"/>
      <c r="I717" s="55"/>
    </row>
    <row r="718" spans="1:9" ht="17.25" x14ac:dyDescent="0.3">
      <c r="A718" s="51"/>
      <c r="B718" s="51"/>
      <c r="C718" s="51"/>
      <c r="D718" s="51"/>
      <c r="E718" s="51"/>
      <c r="F718" s="51"/>
      <c r="G718" s="51"/>
      <c r="H718" s="51"/>
      <c r="I718" s="51"/>
    </row>
    <row r="719" spans="1:9" ht="33" customHeight="1" x14ac:dyDescent="0.3">
      <c r="A719" s="91" t="s">
        <v>144</v>
      </c>
      <c r="B719" s="91"/>
      <c r="C719" s="91"/>
      <c r="D719" s="91"/>
      <c r="E719" s="91"/>
      <c r="F719" s="91"/>
      <c r="G719" s="91"/>
      <c r="H719" s="55"/>
      <c r="I719" s="55"/>
    </row>
    <row r="721" spans="1:7" ht="18.75" x14ac:dyDescent="0.3">
      <c r="A721" s="1" t="s">
        <v>145</v>
      </c>
      <c r="B721" s="2"/>
      <c r="C721" s="2"/>
      <c r="D721" s="2"/>
      <c r="E721" s="2"/>
      <c r="F721" s="2"/>
      <c r="G721" s="53"/>
    </row>
    <row r="722" spans="1:7" ht="15.75" x14ac:dyDescent="0.25">
      <c r="A722" s="3" t="s">
        <v>1</v>
      </c>
      <c r="B722" s="3" t="s">
        <v>2</v>
      </c>
      <c r="C722" s="4" t="s">
        <v>3</v>
      </c>
      <c r="D722" s="4"/>
      <c r="E722" s="4"/>
      <c r="F722" s="4"/>
      <c r="G722" s="62" t="s">
        <v>30</v>
      </c>
    </row>
    <row r="723" spans="1:7" ht="15.75" x14ac:dyDescent="0.25">
      <c r="A723" s="5">
        <v>45209</v>
      </c>
      <c r="B723" s="6" t="s">
        <v>4</v>
      </c>
      <c r="C723" s="7" t="s">
        <v>5</v>
      </c>
      <c r="D723" s="7"/>
      <c r="E723" s="7"/>
      <c r="F723" s="7"/>
      <c r="G723" s="52">
        <v>1172.99</v>
      </c>
    </row>
    <row r="724" spans="1:7" ht="15.75" x14ac:dyDescent="0.25">
      <c r="A724" s="5">
        <v>45208</v>
      </c>
      <c r="B724" s="6" t="s">
        <v>4</v>
      </c>
      <c r="C724" s="7" t="s">
        <v>6</v>
      </c>
      <c r="D724" s="7"/>
      <c r="E724" s="7"/>
      <c r="F724" s="7"/>
      <c r="G724" s="52">
        <v>4200</v>
      </c>
    </row>
    <row r="725" spans="1:7" ht="15.75" x14ac:dyDescent="0.25">
      <c r="A725" s="5">
        <v>45215</v>
      </c>
      <c r="B725" s="6" t="s">
        <v>4</v>
      </c>
      <c r="C725" s="7" t="s">
        <v>61</v>
      </c>
      <c r="D725" s="7"/>
      <c r="E725" s="7"/>
      <c r="F725" s="7"/>
      <c r="G725" s="52">
        <v>1089.71</v>
      </c>
    </row>
    <row r="726" spans="1:7" ht="15.75" x14ac:dyDescent="0.25">
      <c r="A726" s="5">
        <v>45215</v>
      </c>
      <c r="B726" s="6" t="s">
        <v>4</v>
      </c>
      <c r="C726" s="7" t="s">
        <v>8</v>
      </c>
      <c r="D726" s="7"/>
      <c r="E726" s="7"/>
      <c r="F726" s="7"/>
      <c r="G726" s="52">
        <v>343.68000000000029</v>
      </c>
    </row>
    <row r="727" spans="1:7" ht="15.75" x14ac:dyDescent="0.25">
      <c r="A727" s="8">
        <v>45216</v>
      </c>
      <c r="B727" s="6" t="s">
        <v>4</v>
      </c>
      <c r="C727" s="7" t="s">
        <v>9</v>
      </c>
      <c r="D727" s="7"/>
      <c r="E727" s="7"/>
      <c r="F727" s="7"/>
      <c r="G727" s="52">
        <v>380.31</v>
      </c>
    </row>
    <row r="728" spans="1:7" ht="15.75" x14ac:dyDescent="0.25">
      <c r="A728" s="8">
        <v>45189</v>
      </c>
      <c r="B728" s="54" t="s">
        <v>4</v>
      </c>
      <c r="C728" s="7" t="s">
        <v>47</v>
      </c>
      <c r="D728" s="7"/>
      <c r="E728" s="7"/>
      <c r="F728" s="7"/>
      <c r="G728" s="52">
        <v>198.12</v>
      </c>
    </row>
    <row r="729" spans="1:7" ht="15.75" x14ac:dyDescent="0.25">
      <c r="A729" s="5">
        <v>45197</v>
      </c>
      <c r="B729" s="6" t="s">
        <v>4</v>
      </c>
      <c r="C729" s="7" t="s">
        <v>14</v>
      </c>
      <c r="D729" s="7"/>
      <c r="E729" s="7"/>
      <c r="F729" s="7"/>
      <c r="G729" s="52">
        <v>130</v>
      </c>
    </row>
    <row r="730" spans="1:7" ht="15.75" x14ac:dyDescent="0.25">
      <c r="A730" s="5">
        <v>45200</v>
      </c>
      <c r="B730" s="6" t="s">
        <v>4</v>
      </c>
      <c r="C730" s="7" t="s">
        <v>15</v>
      </c>
      <c r="D730" s="7"/>
      <c r="E730" s="7"/>
      <c r="F730" s="7"/>
      <c r="G730" s="52">
        <v>60</v>
      </c>
    </row>
    <row r="731" spans="1:7" ht="21" x14ac:dyDescent="0.35">
      <c r="A731" s="9" t="s">
        <v>16</v>
      </c>
      <c r="B731" s="10"/>
      <c r="C731" s="11"/>
      <c r="D731" s="11"/>
      <c r="E731" s="11"/>
      <c r="F731" s="11"/>
      <c r="G731" s="12">
        <f>SUM(G723:G730)</f>
        <v>7574.81</v>
      </c>
    </row>
    <row r="732" spans="1:7" ht="21" x14ac:dyDescent="0.35">
      <c r="A732" s="13" t="s">
        <v>17</v>
      </c>
      <c r="B732" s="11"/>
      <c r="C732" s="11"/>
      <c r="D732" s="11"/>
      <c r="E732" s="11"/>
      <c r="F732" s="11"/>
      <c r="G732" s="14">
        <f>ROUND(G731/14,2)</f>
        <v>541.05999999999995</v>
      </c>
    </row>
    <row r="733" spans="1:7" ht="21" x14ac:dyDescent="0.35">
      <c r="A733" s="13" t="s">
        <v>74</v>
      </c>
      <c r="B733" s="11"/>
      <c r="C733" s="11"/>
      <c r="D733" s="11"/>
      <c r="E733" s="11"/>
      <c r="F733" s="11"/>
      <c r="G733" s="14">
        <f>ROUND(G732/13,2)</f>
        <v>41.62</v>
      </c>
    </row>
    <row r="734" spans="1:7" ht="21" x14ac:dyDescent="0.35">
      <c r="A734" s="13" t="s">
        <v>19</v>
      </c>
      <c r="B734" s="11"/>
      <c r="C734" s="11"/>
      <c r="D734" s="11"/>
      <c r="E734" s="11"/>
      <c r="F734" s="11"/>
      <c r="G734" s="12">
        <f>G732+G733</f>
        <v>582.67999999999995</v>
      </c>
    </row>
    <row r="744" spans="1:7" ht="21" x14ac:dyDescent="0.35">
      <c r="A744" s="88" t="s">
        <v>20</v>
      </c>
      <c r="B744" s="89"/>
      <c r="C744" s="89"/>
      <c r="D744" s="89"/>
      <c r="E744" s="89"/>
      <c r="F744" s="89"/>
      <c r="G744" s="90"/>
    </row>
    <row r="747" spans="1:7" ht="18.75" x14ac:dyDescent="0.25">
      <c r="A747" s="19" t="s">
        <v>146</v>
      </c>
      <c r="B747" s="15"/>
      <c r="C747" s="15"/>
      <c r="D747" s="15"/>
      <c r="E747" s="15"/>
      <c r="F747" s="15"/>
      <c r="G747" s="16"/>
    </row>
    <row r="748" spans="1:7" ht="15.75" x14ac:dyDescent="0.25">
      <c r="A748" s="17"/>
      <c r="B748" s="18"/>
      <c r="C748" s="18"/>
      <c r="D748" s="18"/>
      <c r="E748" s="18"/>
      <c r="F748" s="18"/>
      <c r="G748" s="18"/>
    </row>
    <row r="749" spans="1:7" ht="15.75" x14ac:dyDescent="0.25">
      <c r="A749" s="17"/>
      <c r="B749" s="18"/>
      <c r="C749" s="18"/>
      <c r="D749" s="18"/>
      <c r="E749" s="18"/>
      <c r="F749" s="18"/>
      <c r="G749" s="18"/>
    </row>
    <row r="750" spans="1:7" ht="15.75" x14ac:dyDescent="0.25">
      <c r="A750" s="20" t="s">
        <v>22</v>
      </c>
      <c r="B750" s="21" t="s">
        <v>23</v>
      </c>
      <c r="C750" s="22"/>
      <c r="D750" s="21" t="s">
        <v>24</v>
      </c>
      <c r="E750" s="22"/>
      <c r="F750" s="59" t="s">
        <v>25</v>
      </c>
      <c r="G750" s="60" t="s">
        <v>26</v>
      </c>
    </row>
    <row r="751" spans="1:7" ht="15.75" x14ac:dyDescent="0.25">
      <c r="A751" s="23" t="s">
        <v>27</v>
      </c>
      <c r="B751" s="24" t="s">
        <v>28</v>
      </c>
      <c r="C751" s="24" t="s">
        <v>29</v>
      </c>
      <c r="D751" s="24" t="s">
        <v>28</v>
      </c>
      <c r="E751" s="24" t="s">
        <v>30</v>
      </c>
      <c r="F751" s="58" t="s">
        <v>31</v>
      </c>
      <c r="G751" s="61" t="s">
        <v>31</v>
      </c>
    </row>
    <row r="752" spans="1:7" ht="15.75" x14ac:dyDescent="0.25">
      <c r="A752" s="25" t="s">
        <v>32</v>
      </c>
      <c r="B752" s="26">
        <v>41.855000000000018</v>
      </c>
      <c r="C752" s="27">
        <v>343.68000000000029</v>
      </c>
      <c r="D752" s="28">
        <v>0</v>
      </c>
      <c r="E752" s="27">
        <v>0</v>
      </c>
      <c r="F752" s="29">
        <v>0</v>
      </c>
      <c r="G752" s="27">
        <v>0</v>
      </c>
    </row>
    <row r="753" spans="1:7" ht="15.75" x14ac:dyDescent="0.25">
      <c r="A753" s="30">
        <v>201</v>
      </c>
      <c r="B753" s="26">
        <v>20.702000000000002</v>
      </c>
      <c r="C753" s="27">
        <v>208.06</v>
      </c>
      <c r="D753" s="31">
        <v>0.157</v>
      </c>
      <c r="E753" s="27">
        <v>5</v>
      </c>
      <c r="F753" s="27">
        <v>582.67999999999995</v>
      </c>
      <c r="G753" s="27">
        <v>796</v>
      </c>
    </row>
    <row r="754" spans="1:7" ht="15.75" x14ac:dyDescent="0.25">
      <c r="A754" s="30">
        <v>202</v>
      </c>
      <c r="B754" s="26">
        <v>31.349</v>
      </c>
      <c r="C754" s="27">
        <v>275.99</v>
      </c>
      <c r="D754" s="28">
        <v>3.1709999999999998</v>
      </c>
      <c r="E754" s="27">
        <v>101</v>
      </c>
      <c r="F754" s="27">
        <v>582.67999999999995</v>
      </c>
      <c r="G754" s="27">
        <v>960</v>
      </c>
    </row>
    <row r="755" spans="1:7" ht="15.75" x14ac:dyDescent="0.25">
      <c r="A755" s="30">
        <v>301</v>
      </c>
      <c r="B755" s="26">
        <v>17.024999999999999</v>
      </c>
      <c r="C755" s="27">
        <v>184.6</v>
      </c>
      <c r="D755" s="28">
        <v>3.0979999999999999</v>
      </c>
      <c r="E755" s="27">
        <v>98.67</v>
      </c>
      <c r="F755" s="27">
        <v>582.67999999999995</v>
      </c>
      <c r="G755" s="27">
        <v>866</v>
      </c>
    </row>
    <row r="756" spans="1:7" ht="15.75" x14ac:dyDescent="0.25">
      <c r="A756" s="30">
        <v>302</v>
      </c>
      <c r="B756" s="26">
        <v>14.898999999999999</v>
      </c>
      <c r="C756" s="27">
        <v>171.04</v>
      </c>
      <c r="D756" s="28">
        <v>2.1549999999999998</v>
      </c>
      <c r="E756" s="27">
        <v>68.64</v>
      </c>
      <c r="F756" s="27">
        <v>582.67999999999995</v>
      </c>
      <c r="G756" s="27">
        <v>823</v>
      </c>
    </row>
    <row r="757" spans="1:7" ht="15.75" x14ac:dyDescent="0.25">
      <c r="A757" s="30">
        <v>401</v>
      </c>
      <c r="B757" s="26">
        <v>18.457999999999998</v>
      </c>
      <c r="C757" s="27">
        <v>193.75</v>
      </c>
      <c r="D757" s="28">
        <v>2.1800000000000002</v>
      </c>
      <c r="E757" s="27">
        <v>69.430000000000007</v>
      </c>
      <c r="F757" s="27">
        <v>582.67999999999995</v>
      </c>
      <c r="G757" s="27">
        <v>846</v>
      </c>
    </row>
    <row r="758" spans="1:7" ht="15.75" x14ac:dyDescent="0.25">
      <c r="A758" s="30">
        <v>402</v>
      </c>
      <c r="B758" s="26">
        <v>16.975999999999999</v>
      </c>
      <c r="C758" s="27">
        <v>184.29</v>
      </c>
      <c r="D758" s="28">
        <v>4.8380000000000001</v>
      </c>
      <c r="E758" s="27">
        <v>154.09</v>
      </c>
      <c r="F758" s="27">
        <v>582.67999999999995</v>
      </c>
      <c r="G758" s="27">
        <v>922</v>
      </c>
    </row>
    <row r="759" spans="1:7" ht="15.75" x14ac:dyDescent="0.25">
      <c r="A759" s="30">
        <v>501</v>
      </c>
      <c r="B759" s="26">
        <v>12.58</v>
      </c>
      <c r="C759" s="27">
        <v>156.25</v>
      </c>
      <c r="D759" s="28">
        <v>1.173</v>
      </c>
      <c r="E759" s="27">
        <v>37.36</v>
      </c>
      <c r="F759" s="27">
        <v>582.67999999999995</v>
      </c>
      <c r="G759" s="27">
        <v>777</v>
      </c>
    </row>
    <row r="760" spans="1:7" ht="15.75" x14ac:dyDescent="0.25">
      <c r="A760" s="30">
        <v>502</v>
      </c>
      <c r="B760" s="26">
        <v>10.266</v>
      </c>
      <c r="C760" s="27">
        <v>141.47999999999999</v>
      </c>
      <c r="D760" s="28">
        <v>1.1040000000000001</v>
      </c>
      <c r="E760" s="27">
        <v>35.159999999999997</v>
      </c>
      <c r="F760" s="27">
        <v>582.67999999999995</v>
      </c>
      <c r="G760" s="27">
        <v>760</v>
      </c>
    </row>
    <row r="761" spans="1:7" ht="15.75" x14ac:dyDescent="0.25">
      <c r="A761" s="30">
        <v>601</v>
      </c>
      <c r="B761" s="26">
        <v>15.499000000000001</v>
      </c>
      <c r="C761" s="27">
        <v>174.87</v>
      </c>
      <c r="D761" s="28">
        <v>8.7999999999999995E-2</v>
      </c>
      <c r="E761" s="27">
        <v>2.8</v>
      </c>
      <c r="F761" s="27">
        <v>582.67999999999995</v>
      </c>
      <c r="G761" s="27">
        <v>761</v>
      </c>
    </row>
    <row r="762" spans="1:7" ht="15.75" x14ac:dyDescent="0.25">
      <c r="A762" s="30">
        <v>602</v>
      </c>
      <c r="B762" s="26">
        <v>5.1379999999999999</v>
      </c>
      <c r="C762" s="27">
        <v>108.77</v>
      </c>
      <c r="D762" s="28">
        <v>2.1850000000000001</v>
      </c>
      <c r="E762" s="27">
        <v>69.59</v>
      </c>
      <c r="F762" s="27">
        <v>582.67999999999995</v>
      </c>
      <c r="G762" s="27">
        <v>762</v>
      </c>
    </row>
    <row r="763" spans="1:7" ht="15.75" x14ac:dyDescent="0.25">
      <c r="A763" s="30">
        <v>701</v>
      </c>
      <c r="B763" s="26">
        <v>9.3550000000000004</v>
      </c>
      <c r="C763" s="27">
        <v>135.66999999999999</v>
      </c>
      <c r="D763" s="28">
        <v>0.66300000000000003</v>
      </c>
      <c r="E763" s="27">
        <v>21.12</v>
      </c>
      <c r="F763" s="27">
        <v>582.67999999999995</v>
      </c>
      <c r="G763" s="27">
        <v>740</v>
      </c>
    </row>
    <row r="764" spans="1:7" ht="15.75" x14ac:dyDescent="0.25">
      <c r="A764" s="30">
        <v>702</v>
      </c>
      <c r="B764" s="26">
        <v>3.278</v>
      </c>
      <c r="C764" s="27">
        <v>96.9</v>
      </c>
      <c r="D764" s="28">
        <v>0.872</v>
      </c>
      <c r="E764" s="27">
        <v>27.77</v>
      </c>
      <c r="F764" s="27">
        <v>582.67999999999995</v>
      </c>
      <c r="G764" s="27">
        <v>708</v>
      </c>
    </row>
    <row r="765" spans="1:7" ht="15.75" x14ac:dyDescent="0.25">
      <c r="A765" s="30">
        <v>801</v>
      </c>
      <c r="B765" s="26">
        <v>7.218</v>
      </c>
      <c r="C765" s="27">
        <v>122.04</v>
      </c>
      <c r="D765" s="28">
        <v>2.1139999999999999</v>
      </c>
      <c r="E765" s="27">
        <v>67.33</v>
      </c>
      <c r="F765" s="27">
        <v>582.67999999999995</v>
      </c>
      <c r="G765" s="27">
        <v>773</v>
      </c>
    </row>
    <row r="766" spans="1:7" ht="15.75" x14ac:dyDescent="0.25">
      <c r="A766" s="30">
        <v>802</v>
      </c>
      <c r="B766" s="26">
        <v>17.402000000000001</v>
      </c>
      <c r="C766" s="27">
        <v>187.01</v>
      </c>
      <c r="D766" s="28">
        <v>1.7609999999999999</v>
      </c>
      <c r="E766" s="27">
        <v>56.09</v>
      </c>
      <c r="F766" s="63">
        <v>582.67999999999995</v>
      </c>
      <c r="G766" s="63">
        <v>826</v>
      </c>
    </row>
    <row r="768" spans="1:7" x14ac:dyDescent="0.25">
      <c r="A768" s="32"/>
      <c r="B768" s="7"/>
      <c r="C768" s="7"/>
      <c r="D768" s="7"/>
      <c r="E768" s="7"/>
      <c r="F768" s="7"/>
      <c r="G768" s="33"/>
    </row>
    <row r="769" spans="1:7" x14ac:dyDescent="0.25">
      <c r="A769" s="32"/>
      <c r="B769" s="7"/>
      <c r="C769" s="7"/>
      <c r="D769" s="7"/>
      <c r="E769" s="7"/>
      <c r="F769" s="7"/>
      <c r="G769" s="33"/>
    </row>
    <row r="770" spans="1:7" x14ac:dyDescent="0.25">
      <c r="A770" s="32"/>
      <c r="B770" s="7"/>
      <c r="C770" s="7"/>
      <c r="D770" s="7"/>
      <c r="E770" s="7"/>
      <c r="F770" s="7"/>
      <c r="G770" s="33"/>
    </row>
    <row r="772" spans="1:7" ht="15.75" x14ac:dyDescent="0.25">
      <c r="A772" s="34" t="s">
        <v>147</v>
      </c>
      <c r="B772" s="35"/>
      <c r="C772" s="35"/>
      <c r="D772" s="35"/>
      <c r="E772" s="35"/>
      <c r="F772" s="36"/>
      <c r="G772" s="57">
        <v>53006.92</v>
      </c>
    </row>
    <row r="773" spans="1:7" ht="15.75" x14ac:dyDescent="0.25">
      <c r="A773" s="37" t="s">
        <v>148</v>
      </c>
      <c r="B773" s="38"/>
      <c r="C773" s="38"/>
      <c r="D773" s="38"/>
      <c r="E773" s="38"/>
      <c r="F773" s="39"/>
      <c r="G773" s="57">
        <v>4200</v>
      </c>
    </row>
    <row r="774" spans="1:7" ht="15.75" x14ac:dyDescent="0.25">
      <c r="A774" s="34" t="s">
        <v>149</v>
      </c>
      <c r="B774" s="35"/>
      <c r="C774" s="35"/>
      <c r="D774" s="35"/>
      <c r="E774" s="35"/>
      <c r="F774" s="36"/>
      <c r="G774" s="57">
        <f>G772+G773</f>
        <v>57206.92</v>
      </c>
    </row>
    <row r="775" spans="1:7" ht="18.75" x14ac:dyDescent="0.3">
      <c r="A775" s="40"/>
      <c r="B775" s="40"/>
      <c r="C775" s="40"/>
      <c r="D775" s="40"/>
      <c r="E775" s="40"/>
      <c r="F775" s="40"/>
      <c r="G775" s="40"/>
    </row>
    <row r="776" spans="1:7" ht="31.5" customHeight="1" x14ac:dyDescent="0.25">
      <c r="A776" s="85" t="s">
        <v>54</v>
      </c>
      <c r="B776" s="86"/>
      <c r="C776" s="86"/>
      <c r="D776" s="86"/>
      <c r="E776" s="86"/>
      <c r="F776" s="86"/>
      <c r="G776" s="87"/>
    </row>
    <row r="777" spans="1:7" ht="15.75" x14ac:dyDescent="0.25">
      <c r="A777" s="41" t="s">
        <v>36</v>
      </c>
      <c r="B777" s="42"/>
      <c r="C777" s="42"/>
      <c r="D777" s="42"/>
      <c r="E777" s="42"/>
      <c r="F777" s="42"/>
      <c r="G777" s="43"/>
    </row>
    <row r="778" spans="1:7" ht="15.75" x14ac:dyDescent="0.25">
      <c r="A778" s="44" t="s">
        <v>37</v>
      </c>
      <c r="B778" s="45"/>
      <c r="C778" s="45"/>
      <c r="D778" s="45"/>
      <c r="E778" s="45"/>
      <c r="F778" s="45"/>
      <c r="G778" s="46"/>
    </row>
    <row r="779" spans="1:7" ht="15.75" x14ac:dyDescent="0.25">
      <c r="A779" s="47"/>
      <c r="B779" s="47"/>
      <c r="C779" s="47"/>
      <c r="D779" s="47"/>
      <c r="E779" s="47"/>
      <c r="F779" s="47"/>
      <c r="G779" s="47"/>
    </row>
    <row r="780" spans="1:7" ht="15.75" x14ac:dyDescent="0.25">
      <c r="A780" s="48" t="s">
        <v>50</v>
      </c>
      <c r="B780" s="49"/>
      <c r="C780" s="49"/>
      <c r="D780" s="49"/>
      <c r="E780" s="49"/>
      <c r="F780" s="49"/>
      <c r="G780" s="50"/>
    </row>
    <row r="781" spans="1:7" ht="15.75" x14ac:dyDescent="0.25">
      <c r="A781" s="47"/>
      <c r="B781" s="47"/>
      <c r="C781" s="47"/>
      <c r="D781" s="47"/>
      <c r="E781" s="47"/>
      <c r="F781" s="47"/>
      <c r="G781" s="47"/>
    </row>
    <row r="782" spans="1:7" ht="15.75" x14ac:dyDescent="0.25">
      <c r="A782" s="47"/>
      <c r="B782" s="47"/>
      <c r="C782" s="47"/>
      <c r="D782" s="47"/>
      <c r="E782" s="47"/>
      <c r="F782" s="47"/>
      <c r="G782" s="47"/>
    </row>
    <row r="783" spans="1:7" ht="15.75" x14ac:dyDescent="0.25">
      <c r="A783" s="47"/>
      <c r="B783" s="47"/>
      <c r="C783" s="47"/>
      <c r="D783" s="47"/>
      <c r="E783" s="47"/>
      <c r="F783" s="47"/>
      <c r="G783" s="47"/>
    </row>
    <row r="790" spans="1:9" ht="21" x14ac:dyDescent="0.35">
      <c r="A790" s="88" t="s">
        <v>20</v>
      </c>
      <c r="B790" s="89"/>
      <c r="C790" s="89"/>
      <c r="D790" s="89"/>
      <c r="E790" s="89"/>
      <c r="F790" s="89"/>
      <c r="G790" s="90"/>
      <c r="H790" s="56"/>
      <c r="I790" s="56"/>
    </row>
    <row r="793" spans="1:9" ht="17.25" x14ac:dyDescent="0.3">
      <c r="A793" s="51" t="s">
        <v>150</v>
      </c>
      <c r="B793" s="51"/>
      <c r="C793" s="51"/>
      <c r="D793" s="51"/>
      <c r="E793" s="51"/>
      <c r="F793" s="51"/>
      <c r="G793" s="51"/>
      <c r="H793" s="51"/>
      <c r="I793" s="51"/>
    </row>
    <row r="794" spans="1:9" ht="17.25" x14ac:dyDescent="0.3">
      <c r="A794" s="51"/>
      <c r="B794" s="51"/>
      <c r="C794" s="51"/>
      <c r="D794" s="51"/>
      <c r="E794" s="51"/>
      <c r="F794" s="51"/>
      <c r="G794" s="51"/>
      <c r="H794" s="51"/>
      <c r="I794" s="51"/>
    </row>
    <row r="795" spans="1:9" ht="17.25" x14ac:dyDescent="0.3">
      <c r="A795" s="51" t="s">
        <v>151</v>
      </c>
      <c r="B795" s="51"/>
      <c r="C795" s="51"/>
      <c r="D795" s="51"/>
      <c r="E795" s="51"/>
      <c r="F795" s="51"/>
      <c r="G795" s="51"/>
      <c r="H795" s="51"/>
      <c r="I795" s="51"/>
    </row>
    <row r="796" spans="1:9" ht="17.25" x14ac:dyDescent="0.3">
      <c r="A796" s="51"/>
      <c r="B796" s="51"/>
      <c r="C796" s="51"/>
      <c r="D796" s="51"/>
      <c r="E796" s="51"/>
      <c r="F796" s="51"/>
      <c r="G796" s="51"/>
      <c r="H796" s="51"/>
      <c r="I796" s="51"/>
    </row>
    <row r="797" spans="1:9" ht="17.25" x14ac:dyDescent="0.3">
      <c r="A797" s="51"/>
      <c r="B797" s="51"/>
      <c r="C797" s="51"/>
      <c r="D797" s="51"/>
      <c r="E797" s="51"/>
      <c r="F797" s="51"/>
      <c r="G797" s="51"/>
      <c r="H797" s="51"/>
      <c r="I797" s="51"/>
    </row>
    <row r="798" spans="1:9" ht="17.25" x14ac:dyDescent="0.3">
      <c r="A798" s="51" t="s">
        <v>161</v>
      </c>
      <c r="B798" s="51"/>
      <c r="C798" s="51"/>
      <c r="D798" s="51"/>
      <c r="E798" s="51"/>
      <c r="F798" s="51"/>
      <c r="G798" s="51"/>
      <c r="H798" s="51"/>
      <c r="I798" s="51"/>
    </row>
    <row r="799" spans="1:9" ht="17.25" x14ac:dyDescent="0.3">
      <c r="A799" s="51"/>
      <c r="B799" s="51"/>
      <c r="C799" s="51"/>
      <c r="D799" s="51"/>
      <c r="E799" s="51"/>
      <c r="F799" s="51"/>
      <c r="G799" s="51"/>
      <c r="H799" s="51"/>
      <c r="I799" s="51"/>
    </row>
    <row r="800" spans="1:9" ht="17.25" x14ac:dyDescent="0.3">
      <c r="A800" s="51" t="s">
        <v>40</v>
      </c>
      <c r="B800" s="51"/>
      <c r="C800" s="51"/>
      <c r="D800" s="51"/>
      <c r="E800" s="51"/>
      <c r="F800" s="51"/>
      <c r="G800" s="51"/>
      <c r="H800" s="51"/>
      <c r="I800" s="51"/>
    </row>
    <row r="801" spans="1:9" ht="17.25" x14ac:dyDescent="0.3">
      <c r="A801" s="51"/>
      <c r="B801" s="51"/>
      <c r="C801" s="51"/>
      <c r="D801" s="51"/>
      <c r="E801" s="51"/>
      <c r="F801" s="51"/>
      <c r="G801" s="51"/>
      <c r="H801" s="51"/>
      <c r="I801" s="51"/>
    </row>
    <row r="802" spans="1:9" ht="33" customHeight="1" x14ac:dyDescent="0.3">
      <c r="A802" s="91" t="s">
        <v>152</v>
      </c>
      <c r="B802" s="91"/>
      <c r="C802" s="91"/>
      <c r="D802" s="91"/>
      <c r="E802" s="91"/>
      <c r="F802" s="91"/>
      <c r="G802" s="91"/>
      <c r="H802" s="55"/>
      <c r="I802" s="55"/>
    </row>
    <row r="803" spans="1:9" ht="17.25" x14ac:dyDescent="0.3">
      <c r="A803" s="51"/>
      <c r="B803" s="51"/>
      <c r="C803" s="51"/>
      <c r="D803" s="51"/>
      <c r="E803" s="51"/>
      <c r="F803" s="51"/>
      <c r="G803" s="51"/>
      <c r="H803" s="51"/>
      <c r="I803" s="51"/>
    </row>
    <row r="804" spans="1:9" ht="33" customHeight="1" x14ac:dyDescent="0.3">
      <c r="A804" s="91" t="s">
        <v>153</v>
      </c>
      <c r="B804" s="91"/>
      <c r="C804" s="91"/>
      <c r="D804" s="91"/>
      <c r="E804" s="91"/>
      <c r="F804" s="91"/>
      <c r="G804" s="91"/>
      <c r="H804" s="55"/>
      <c r="I804" s="55"/>
    </row>
    <row r="805" spans="1:9" ht="17.25" x14ac:dyDescent="0.3">
      <c r="A805" s="51"/>
      <c r="B805" s="51"/>
      <c r="C805" s="51"/>
      <c r="D805" s="51"/>
      <c r="E805" s="51"/>
      <c r="F805" s="51"/>
      <c r="G805" s="51"/>
      <c r="H805" s="51"/>
      <c r="I805" s="51"/>
    </row>
    <row r="806" spans="1:9" ht="33" customHeight="1" x14ac:dyDescent="0.3">
      <c r="A806" s="91" t="s">
        <v>154</v>
      </c>
      <c r="B806" s="91"/>
      <c r="C806" s="91"/>
      <c r="D806" s="91"/>
      <c r="E806" s="91"/>
      <c r="F806" s="91"/>
      <c r="G806" s="91"/>
      <c r="H806" s="55"/>
      <c r="I806" s="55"/>
    </row>
    <row r="808" spans="1:9" ht="18.75" x14ac:dyDescent="0.3">
      <c r="A808" s="1" t="s">
        <v>155</v>
      </c>
      <c r="B808" s="2"/>
      <c r="C808" s="2"/>
      <c r="D808" s="2"/>
      <c r="E808" s="2"/>
      <c r="F808" s="2"/>
      <c r="G808" s="53"/>
    </row>
    <row r="809" spans="1:9" ht="15.75" x14ac:dyDescent="0.25">
      <c r="A809" s="3" t="s">
        <v>1</v>
      </c>
      <c r="B809" s="3" t="s">
        <v>2</v>
      </c>
      <c r="C809" s="4" t="s">
        <v>3</v>
      </c>
      <c r="D809" s="4"/>
      <c r="E809" s="4"/>
      <c r="F809" s="4"/>
      <c r="G809" s="62" t="s">
        <v>30</v>
      </c>
    </row>
    <row r="810" spans="1:9" ht="15.75" x14ac:dyDescent="0.25">
      <c r="A810" s="5">
        <v>45240</v>
      </c>
      <c r="B810" s="6" t="s">
        <v>4</v>
      </c>
      <c r="C810" s="7" t="s">
        <v>5</v>
      </c>
      <c r="D810" s="7"/>
      <c r="E810" s="7"/>
      <c r="F810" s="7"/>
      <c r="G810" s="52">
        <v>1172.99</v>
      </c>
    </row>
    <row r="811" spans="1:9" ht="15.75" x14ac:dyDescent="0.25">
      <c r="A811" s="5">
        <v>45239</v>
      </c>
      <c r="B811" s="6" t="s">
        <v>4</v>
      </c>
      <c r="C811" s="7" t="s">
        <v>6</v>
      </c>
      <c r="D811" s="7"/>
      <c r="E811" s="7"/>
      <c r="F811" s="7"/>
      <c r="G811" s="52">
        <v>4200</v>
      </c>
    </row>
    <row r="812" spans="1:9" ht="15.75" x14ac:dyDescent="0.25">
      <c r="A812" s="5">
        <v>45245</v>
      </c>
      <c r="B812" s="6" t="s">
        <v>4</v>
      </c>
      <c r="C812" s="7" t="s">
        <v>61</v>
      </c>
      <c r="D812" s="7"/>
      <c r="E812" s="7"/>
      <c r="F812" s="7"/>
      <c r="G812" s="52">
        <v>1089.71</v>
      </c>
    </row>
    <row r="813" spans="1:9" ht="15.75" x14ac:dyDescent="0.25">
      <c r="A813" s="5">
        <v>45245</v>
      </c>
      <c r="B813" s="6" t="s">
        <v>4</v>
      </c>
      <c r="C813" s="7" t="s">
        <v>8</v>
      </c>
      <c r="D813" s="7"/>
      <c r="E813" s="7"/>
      <c r="F813" s="7"/>
      <c r="G813" s="52">
        <v>412.38</v>
      </c>
    </row>
    <row r="814" spans="1:9" ht="15.75" x14ac:dyDescent="0.25">
      <c r="A814" s="8">
        <v>45247</v>
      </c>
      <c r="B814" s="6" t="s">
        <v>4</v>
      </c>
      <c r="C814" s="7" t="s">
        <v>9</v>
      </c>
      <c r="D814" s="7"/>
      <c r="E814" s="7"/>
      <c r="F814" s="7"/>
      <c r="G814" s="52">
        <v>352.37</v>
      </c>
    </row>
    <row r="815" spans="1:9" ht="15.75" x14ac:dyDescent="0.25">
      <c r="A815" s="8">
        <v>45250</v>
      </c>
      <c r="B815" s="54" t="s">
        <v>4</v>
      </c>
      <c r="C815" s="7" t="s">
        <v>47</v>
      </c>
      <c r="D815" s="7"/>
      <c r="E815" s="7"/>
      <c r="F815" s="7"/>
      <c r="G815" s="52">
        <v>198.12</v>
      </c>
    </row>
    <row r="816" spans="1:9" ht="15.75" x14ac:dyDescent="0.25">
      <c r="A816" s="8">
        <v>45232</v>
      </c>
      <c r="B816" s="64" t="s">
        <v>4</v>
      </c>
      <c r="C816" s="32" t="s">
        <v>160</v>
      </c>
      <c r="D816" s="7"/>
      <c r="E816" s="7"/>
      <c r="F816" s="7"/>
      <c r="G816" s="65">
        <v>25</v>
      </c>
    </row>
    <row r="817" spans="1:7" ht="15.75" x14ac:dyDescent="0.25">
      <c r="A817" s="5">
        <v>45227</v>
      </c>
      <c r="B817" s="6" t="s">
        <v>4</v>
      </c>
      <c r="C817" s="7" t="s">
        <v>14</v>
      </c>
      <c r="D817" s="7"/>
      <c r="E817" s="7"/>
      <c r="F817" s="7"/>
      <c r="G817" s="52">
        <v>130</v>
      </c>
    </row>
    <row r="818" spans="1:7" ht="15.75" x14ac:dyDescent="0.25">
      <c r="A818" s="5">
        <v>45231</v>
      </c>
      <c r="B818" s="6" t="s">
        <v>4</v>
      </c>
      <c r="C818" s="7" t="s">
        <v>15</v>
      </c>
      <c r="D818" s="7"/>
      <c r="E818" s="7"/>
      <c r="F818" s="7"/>
      <c r="G818" s="52">
        <v>60</v>
      </c>
    </row>
    <row r="819" spans="1:7" ht="21" x14ac:dyDescent="0.35">
      <c r="A819" s="9" t="s">
        <v>16</v>
      </c>
      <c r="B819" s="10"/>
      <c r="C819" s="11"/>
      <c r="D819" s="11"/>
      <c r="E819" s="11"/>
      <c r="F819" s="11"/>
      <c r="G819" s="12">
        <f>SUM(G810:G818)</f>
        <v>7640.57</v>
      </c>
    </row>
    <row r="820" spans="1:7" ht="21" x14ac:dyDescent="0.35">
      <c r="A820" s="13" t="s">
        <v>17</v>
      </c>
      <c r="B820" s="11"/>
      <c r="C820" s="11"/>
      <c r="D820" s="11"/>
      <c r="E820" s="11"/>
      <c r="F820" s="11"/>
      <c r="G820" s="14">
        <f>ROUND(G819/14,2)</f>
        <v>545.76</v>
      </c>
    </row>
    <row r="821" spans="1:7" ht="21" x14ac:dyDescent="0.35">
      <c r="A821" s="13" t="s">
        <v>74</v>
      </c>
      <c r="B821" s="11"/>
      <c r="C821" s="11"/>
      <c r="D821" s="11"/>
      <c r="E821" s="11"/>
      <c r="F821" s="11"/>
      <c r="G821" s="14">
        <f>ROUND(G820/13,2)</f>
        <v>41.98</v>
      </c>
    </row>
    <row r="822" spans="1:7" ht="21" x14ac:dyDescent="0.35">
      <c r="A822" s="13" t="s">
        <v>19</v>
      </c>
      <c r="B822" s="11"/>
      <c r="C822" s="11"/>
      <c r="D822" s="11"/>
      <c r="E822" s="11"/>
      <c r="F822" s="11"/>
      <c r="G822" s="12">
        <f>G820+G821</f>
        <v>587.74</v>
      </c>
    </row>
    <row r="832" spans="1:7" ht="21" x14ac:dyDescent="0.35">
      <c r="A832" s="88" t="s">
        <v>20</v>
      </c>
      <c r="B832" s="89"/>
      <c r="C832" s="89"/>
      <c r="D832" s="89"/>
      <c r="E832" s="89"/>
      <c r="F832" s="89"/>
      <c r="G832" s="90"/>
    </row>
    <row r="835" spans="1:7" ht="18.75" x14ac:dyDescent="0.25">
      <c r="A835" s="19" t="s">
        <v>156</v>
      </c>
      <c r="B835" s="15"/>
      <c r="C835" s="15"/>
      <c r="D835" s="15"/>
      <c r="E835" s="15"/>
      <c r="F835" s="15"/>
      <c r="G835" s="16"/>
    </row>
    <row r="836" spans="1:7" ht="15.75" x14ac:dyDescent="0.25">
      <c r="A836" s="17"/>
      <c r="B836" s="18"/>
      <c r="C836" s="18"/>
      <c r="D836" s="18"/>
      <c r="E836" s="18"/>
      <c r="F836" s="18"/>
      <c r="G836" s="18"/>
    </row>
    <row r="837" spans="1:7" ht="15.75" x14ac:dyDescent="0.25">
      <c r="A837" s="17"/>
      <c r="B837" s="18"/>
      <c r="C837" s="18"/>
      <c r="D837" s="18"/>
      <c r="E837" s="18"/>
      <c r="F837" s="18"/>
      <c r="G837" s="18"/>
    </row>
    <row r="838" spans="1:7" ht="15.75" x14ac:dyDescent="0.25">
      <c r="A838" s="20" t="s">
        <v>22</v>
      </c>
      <c r="B838" s="21" t="s">
        <v>23</v>
      </c>
      <c r="C838" s="22"/>
      <c r="D838" s="21" t="s">
        <v>24</v>
      </c>
      <c r="E838" s="22"/>
      <c r="F838" s="59" t="s">
        <v>25</v>
      </c>
      <c r="G838" s="60" t="s">
        <v>26</v>
      </c>
    </row>
    <row r="839" spans="1:7" ht="15.75" x14ac:dyDescent="0.25">
      <c r="A839" s="23" t="s">
        <v>27</v>
      </c>
      <c r="B839" s="24" t="s">
        <v>28</v>
      </c>
      <c r="C839" s="24" t="s">
        <v>29</v>
      </c>
      <c r="D839" s="24" t="s">
        <v>28</v>
      </c>
      <c r="E839" s="24" t="s">
        <v>30</v>
      </c>
      <c r="F839" s="58" t="s">
        <v>31</v>
      </c>
      <c r="G839" s="61" t="s">
        <v>31</v>
      </c>
    </row>
    <row r="840" spans="1:7" ht="15.75" x14ac:dyDescent="0.25">
      <c r="A840" s="25" t="s">
        <v>32</v>
      </c>
      <c r="B840" s="26">
        <v>53.187000000000012</v>
      </c>
      <c r="C840" s="27">
        <v>412.38000000000056</v>
      </c>
      <c r="D840" s="28">
        <v>0</v>
      </c>
      <c r="E840" s="27">
        <v>0</v>
      </c>
      <c r="F840" s="29">
        <v>0</v>
      </c>
      <c r="G840" s="27">
        <v>0</v>
      </c>
    </row>
    <row r="841" spans="1:7" ht="15.75" x14ac:dyDescent="0.25">
      <c r="A841" s="30">
        <v>201</v>
      </c>
      <c r="B841" s="26">
        <v>20.048999999999999</v>
      </c>
      <c r="C841" s="27">
        <v>201.69</v>
      </c>
      <c r="D841" s="31">
        <v>0.51300000000000168</v>
      </c>
      <c r="E841" s="27">
        <v>16.34</v>
      </c>
      <c r="F841" s="27">
        <v>587.74</v>
      </c>
      <c r="G841" s="27">
        <v>806</v>
      </c>
    </row>
    <row r="842" spans="1:7" ht="15.75" x14ac:dyDescent="0.25">
      <c r="A842" s="30">
        <v>202</v>
      </c>
      <c r="B842" s="26">
        <v>17.747</v>
      </c>
      <c r="C842" s="27">
        <v>187.09</v>
      </c>
      <c r="D842" s="28">
        <v>2.4360000000000355</v>
      </c>
      <c r="E842" s="27">
        <v>77.59</v>
      </c>
      <c r="F842" s="27">
        <v>587.74</v>
      </c>
      <c r="G842" s="27">
        <v>853</v>
      </c>
    </row>
    <row r="843" spans="1:7" ht="15.75" x14ac:dyDescent="0.25">
      <c r="A843" s="30">
        <v>301</v>
      </c>
      <c r="B843" s="26">
        <v>19.690999999999999</v>
      </c>
      <c r="C843" s="27">
        <v>199.42</v>
      </c>
      <c r="D843" s="28">
        <v>3.0460000000000491</v>
      </c>
      <c r="E843" s="27">
        <v>97.02</v>
      </c>
      <c r="F843" s="27">
        <v>587.74</v>
      </c>
      <c r="G843" s="27">
        <v>885</v>
      </c>
    </row>
    <row r="844" spans="1:7" ht="15.75" x14ac:dyDescent="0.25">
      <c r="A844" s="30">
        <v>302</v>
      </c>
      <c r="B844" s="26">
        <v>14.308999999999999</v>
      </c>
      <c r="C844" s="27">
        <v>165.29</v>
      </c>
      <c r="D844" s="28">
        <v>1.8480000000000132</v>
      </c>
      <c r="E844" s="27">
        <v>58.86</v>
      </c>
      <c r="F844" s="27">
        <v>587.74</v>
      </c>
      <c r="G844" s="27">
        <v>812</v>
      </c>
    </row>
    <row r="845" spans="1:7" ht="15.75" x14ac:dyDescent="0.25">
      <c r="A845" s="30">
        <v>401</v>
      </c>
      <c r="B845" s="26">
        <v>16.936</v>
      </c>
      <c r="C845" s="27">
        <v>181.95</v>
      </c>
      <c r="D845" s="28">
        <v>1.8669999999999618</v>
      </c>
      <c r="E845" s="27">
        <v>59.46</v>
      </c>
      <c r="F845" s="27">
        <v>587.74</v>
      </c>
      <c r="G845" s="27">
        <v>830</v>
      </c>
    </row>
    <row r="846" spans="1:7" ht="15.75" x14ac:dyDescent="0.25">
      <c r="A846" s="30">
        <v>402</v>
      </c>
      <c r="B846" s="26">
        <v>19.902999999999999</v>
      </c>
      <c r="C846" s="27">
        <v>200.76</v>
      </c>
      <c r="D846" s="28">
        <v>4.0220000000000482</v>
      </c>
      <c r="E846" s="27">
        <v>128.1</v>
      </c>
      <c r="F846" s="27">
        <v>587.74</v>
      </c>
      <c r="G846" s="27">
        <v>917</v>
      </c>
    </row>
    <row r="847" spans="1:7" ht="15.75" x14ac:dyDescent="0.25">
      <c r="A847" s="30">
        <v>501</v>
      </c>
      <c r="B847" s="26">
        <v>11.975</v>
      </c>
      <c r="C847" s="27">
        <v>150.5</v>
      </c>
      <c r="D847" s="28">
        <v>0.92599999999998772</v>
      </c>
      <c r="E847" s="27">
        <v>29.49</v>
      </c>
      <c r="F847" s="27">
        <v>587.74</v>
      </c>
      <c r="G847" s="27">
        <v>768</v>
      </c>
    </row>
    <row r="848" spans="1:7" ht="15.75" x14ac:dyDescent="0.25">
      <c r="A848" s="30">
        <v>502</v>
      </c>
      <c r="B848" s="26">
        <v>11.352</v>
      </c>
      <c r="C848" s="27">
        <v>146.55000000000001</v>
      </c>
      <c r="D848" s="28">
        <v>1.1129999999999995</v>
      </c>
      <c r="E848" s="27">
        <v>35.450000000000003</v>
      </c>
      <c r="F848" s="27">
        <v>587.74</v>
      </c>
      <c r="G848" s="27">
        <v>770</v>
      </c>
    </row>
    <row r="849" spans="1:7" ht="15.75" x14ac:dyDescent="0.25">
      <c r="A849" s="30">
        <v>601</v>
      </c>
      <c r="B849" s="26">
        <v>11.044</v>
      </c>
      <c r="C849" s="27">
        <v>144.59</v>
      </c>
      <c r="D849" s="28">
        <v>9.3999999999994088E-2</v>
      </c>
      <c r="E849" s="27">
        <v>2.99</v>
      </c>
      <c r="F849" s="27">
        <v>587.74</v>
      </c>
      <c r="G849" s="27">
        <v>736</v>
      </c>
    </row>
    <row r="850" spans="1:7" ht="15.75" x14ac:dyDescent="0.25">
      <c r="A850" s="30">
        <v>602</v>
      </c>
      <c r="B850" s="26">
        <v>5.1859999999999999</v>
      </c>
      <c r="C850" s="27">
        <v>107.45</v>
      </c>
      <c r="D850" s="28">
        <v>2.4960000000000377</v>
      </c>
      <c r="E850" s="27">
        <v>79.5</v>
      </c>
      <c r="F850" s="27">
        <v>587.74</v>
      </c>
      <c r="G850" s="27">
        <v>775</v>
      </c>
    </row>
    <row r="851" spans="1:7" ht="15.75" x14ac:dyDescent="0.25">
      <c r="A851" s="30">
        <v>701</v>
      </c>
      <c r="B851" s="26">
        <v>9.9120000000000008</v>
      </c>
      <c r="C851" s="27">
        <v>137.41999999999999</v>
      </c>
      <c r="D851" s="28">
        <v>0.72599999999999909</v>
      </c>
      <c r="E851" s="27">
        <v>23.12</v>
      </c>
      <c r="F851" s="27">
        <v>587.74</v>
      </c>
      <c r="G851" s="27">
        <v>749</v>
      </c>
    </row>
    <row r="852" spans="1:7" ht="15.75" x14ac:dyDescent="0.25">
      <c r="A852" s="30">
        <v>702</v>
      </c>
      <c r="B852" s="26">
        <v>2.79</v>
      </c>
      <c r="C852" s="27">
        <v>92.26</v>
      </c>
      <c r="D852" s="28">
        <v>0.93600000000003547</v>
      </c>
      <c r="E852" s="27">
        <v>29.81</v>
      </c>
      <c r="F852" s="27">
        <v>587.74</v>
      </c>
      <c r="G852" s="27">
        <v>710</v>
      </c>
    </row>
    <row r="853" spans="1:7" ht="15.75" x14ac:dyDescent="0.25">
      <c r="A853" s="30">
        <v>801</v>
      </c>
      <c r="B853" s="26">
        <v>8.9039999999999999</v>
      </c>
      <c r="C853" s="27">
        <v>131.03</v>
      </c>
      <c r="D853" s="28">
        <v>2.132000000000005</v>
      </c>
      <c r="E853" s="27">
        <v>67.900000000000006</v>
      </c>
      <c r="F853" s="27">
        <v>587.74</v>
      </c>
      <c r="G853" s="27">
        <v>787</v>
      </c>
    </row>
    <row r="854" spans="1:7" ht="15.75" x14ac:dyDescent="0.25">
      <c r="A854" s="30">
        <v>802</v>
      </c>
      <c r="B854" s="26">
        <v>16.015000000000001</v>
      </c>
      <c r="C854" s="27">
        <v>176.11</v>
      </c>
      <c r="D854" s="28">
        <v>1.4599999999999795</v>
      </c>
      <c r="E854" s="27">
        <v>46.5</v>
      </c>
      <c r="F854" s="63">
        <v>587.74</v>
      </c>
      <c r="G854" s="63">
        <v>811</v>
      </c>
    </row>
    <row r="856" spans="1:7" x14ac:dyDescent="0.25">
      <c r="A856" s="32"/>
      <c r="B856" s="7"/>
      <c r="C856" s="7"/>
      <c r="D856" s="7"/>
      <c r="E856" s="7"/>
      <c r="F856" s="7"/>
      <c r="G856" s="33"/>
    </row>
    <row r="857" spans="1:7" x14ac:dyDescent="0.25">
      <c r="A857" s="32"/>
      <c r="B857" s="7"/>
      <c r="C857" s="7"/>
      <c r="D857" s="7"/>
      <c r="E857" s="7"/>
      <c r="F857" s="7"/>
      <c r="G857" s="33"/>
    </row>
    <row r="858" spans="1:7" x14ac:dyDescent="0.25">
      <c r="A858" s="32"/>
      <c r="B858" s="7"/>
      <c r="C858" s="7"/>
      <c r="D858" s="7"/>
      <c r="E858" s="7"/>
      <c r="F858" s="7"/>
      <c r="G858" s="33"/>
    </row>
    <row r="860" spans="1:7" ht="15.75" x14ac:dyDescent="0.25">
      <c r="A860" s="34" t="s">
        <v>157</v>
      </c>
      <c r="B860" s="35"/>
      <c r="C860" s="35"/>
      <c r="D860" s="35"/>
      <c r="E860" s="35"/>
      <c r="F860" s="36"/>
      <c r="G860" s="57">
        <v>57206.92</v>
      </c>
    </row>
    <row r="861" spans="1:7" ht="15.75" x14ac:dyDescent="0.25">
      <c r="A861" s="37" t="s">
        <v>158</v>
      </c>
      <c r="B861" s="38"/>
      <c r="C861" s="38"/>
      <c r="D861" s="38"/>
      <c r="E861" s="38"/>
      <c r="F861" s="39"/>
      <c r="G861" s="57">
        <v>4200</v>
      </c>
    </row>
    <row r="862" spans="1:7" ht="15.75" x14ac:dyDescent="0.25">
      <c r="A862" s="34" t="s">
        <v>159</v>
      </c>
      <c r="B862" s="35"/>
      <c r="C862" s="35"/>
      <c r="D862" s="35"/>
      <c r="E862" s="35"/>
      <c r="F862" s="36"/>
      <c r="G862" s="57">
        <f>G860+G861</f>
        <v>61406.92</v>
      </c>
    </row>
    <row r="863" spans="1:7" ht="18.75" x14ac:dyDescent="0.3">
      <c r="A863" s="40"/>
      <c r="B863" s="40"/>
      <c r="C863" s="40"/>
      <c r="D863" s="40"/>
      <c r="E863" s="40"/>
      <c r="F863" s="40"/>
      <c r="G863" s="40"/>
    </row>
    <row r="864" spans="1:7" ht="31.5" customHeight="1" x14ac:dyDescent="0.25">
      <c r="A864" s="85" t="s">
        <v>54</v>
      </c>
      <c r="B864" s="86"/>
      <c r="C864" s="86"/>
      <c r="D864" s="86"/>
      <c r="E864" s="86"/>
      <c r="F864" s="86"/>
      <c r="G864" s="87"/>
    </row>
    <row r="865" spans="1:9" ht="15.75" x14ac:dyDescent="0.25">
      <c r="A865" s="41" t="s">
        <v>36</v>
      </c>
      <c r="B865" s="42"/>
      <c r="C865" s="42"/>
      <c r="D865" s="42"/>
      <c r="E865" s="42"/>
      <c r="F865" s="42"/>
      <c r="G865" s="43"/>
    </row>
    <row r="866" spans="1:9" ht="15.75" x14ac:dyDescent="0.25">
      <c r="A866" s="44" t="s">
        <v>37</v>
      </c>
      <c r="B866" s="45"/>
      <c r="C866" s="45"/>
      <c r="D866" s="45"/>
      <c r="E866" s="45"/>
      <c r="F866" s="45"/>
      <c r="G866" s="46"/>
    </row>
    <row r="867" spans="1:9" ht="15.75" x14ac:dyDescent="0.25">
      <c r="A867" s="47"/>
      <c r="B867" s="47"/>
      <c r="C867" s="47"/>
      <c r="D867" s="47"/>
      <c r="E867" s="47"/>
      <c r="F867" s="47"/>
      <c r="G867" s="47"/>
    </row>
    <row r="868" spans="1:9" ht="15.75" x14ac:dyDescent="0.25">
      <c r="A868" s="48" t="s">
        <v>50</v>
      </c>
      <c r="B868" s="49"/>
      <c r="C868" s="49"/>
      <c r="D868" s="49"/>
      <c r="E868" s="49"/>
      <c r="F868" s="49"/>
      <c r="G868" s="50"/>
    </row>
    <row r="869" spans="1:9" ht="15.75" x14ac:dyDescent="0.25">
      <c r="A869" s="47"/>
      <c r="B869" s="47"/>
      <c r="C869" s="47"/>
      <c r="D869" s="47"/>
      <c r="E869" s="47"/>
      <c r="F869" s="47"/>
      <c r="G869" s="47"/>
    </row>
    <row r="870" spans="1:9" ht="15.75" x14ac:dyDescent="0.25">
      <c r="A870" s="47"/>
      <c r="B870" s="47"/>
      <c r="C870" s="47"/>
      <c r="D870" s="47"/>
      <c r="E870" s="47"/>
      <c r="F870" s="47"/>
      <c r="G870" s="47"/>
    </row>
    <row r="871" spans="1:9" ht="15.75" x14ac:dyDescent="0.25">
      <c r="A871" s="47"/>
      <c r="B871" s="47"/>
      <c r="C871" s="47"/>
      <c r="D871" s="47"/>
      <c r="E871" s="47"/>
      <c r="F871" s="47"/>
      <c r="G871" s="47"/>
    </row>
    <row r="878" spans="1:9" ht="21" x14ac:dyDescent="0.35">
      <c r="A878" s="88" t="s">
        <v>20</v>
      </c>
      <c r="B878" s="89"/>
      <c r="C878" s="89"/>
      <c r="D878" s="89"/>
      <c r="E878" s="89"/>
      <c r="F878" s="89"/>
      <c r="G878" s="90"/>
      <c r="H878" s="56"/>
      <c r="I878" s="56"/>
    </row>
    <row r="881" spans="1:9" ht="17.25" x14ac:dyDescent="0.3">
      <c r="A881" s="51" t="s">
        <v>162</v>
      </c>
      <c r="B881" s="51"/>
      <c r="C881" s="51"/>
      <c r="D881" s="51"/>
      <c r="E881" s="51"/>
      <c r="F881" s="51"/>
      <c r="G881" s="51"/>
      <c r="H881" s="51"/>
      <c r="I881" s="51"/>
    </row>
    <row r="882" spans="1:9" ht="17.25" x14ac:dyDescent="0.3">
      <c r="A882" s="51"/>
      <c r="B882" s="51"/>
      <c r="C882" s="51"/>
      <c r="D882" s="51"/>
      <c r="E882" s="51"/>
      <c r="F882" s="51"/>
      <c r="G882" s="51"/>
      <c r="H882" s="51"/>
      <c r="I882" s="51"/>
    </row>
    <row r="883" spans="1:9" ht="17.25" x14ac:dyDescent="0.3">
      <c r="A883" s="51" t="s">
        <v>163</v>
      </c>
      <c r="B883" s="51"/>
      <c r="C883" s="51"/>
      <c r="D883" s="51"/>
      <c r="E883" s="51"/>
      <c r="F883" s="51"/>
      <c r="G883" s="51"/>
      <c r="H883" s="51"/>
      <c r="I883" s="51"/>
    </row>
    <row r="884" spans="1:9" ht="17.25" x14ac:dyDescent="0.3">
      <c r="A884" s="51"/>
      <c r="B884" s="51"/>
      <c r="C884" s="51"/>
      <c r="D884" s="51"/>
      <c r="E884" s="51"/>
      <c r="F884" s="51"/>
      <c r="G884" s="51"/>
      <c r="H884" s="51"/>
      <c r="I884" s="51"/>
    </row>
    <row r="885" spans="1:9" ht="17.25" x14ac:dyDescent="0.3">
      <c r="A885" s="51"/>
      <c r="B885" s="51"/>
      <c r="C885" s="51"/>
      <c r="D885" s="51"/>
      <c r="E885" s="51"/>
      <c r="F885" s="51"/>
      <c r="G885" s="51"/>
      <c r="H885" s="51"/>
      <c r="I885" s="51"/>
    </row>
    <row r="886" spans="1:9" ht="17.25" x14ac:dyDescent="0.3">
      <c r="A886" s="51" t="s">
        <v>164</v>
      </c>
      <c r="B886" s="51"/>
      <c r="C886" s="51"/>
      <c r="D886" s="51"/>
      <c r="E886" s="51"/>
      <c r="F886" s="51"/>
      <c r="G886" s="51"/>
      <c r="H886" s="51"/>
      <c r="I886" s="51"/>
    </row>
    <row r="887" spans="1:9" ht="17.25" x14ac:dyDescent="0.3">
      <c r="A887" s="51"/>
      <c r="B887" s="51"/>
      <c r="C887" s="51"/>
      <c r="D887" s="51"/>
      <c r="E887" s="51"/>
      <c r="F887" s="51"/>
      <c r="G887" s="51"/>
      <c r="H887" s="51"/>
      <c r="I887" s="51"/>
    </row>
    <row r="888" spans="1:9" ht="17.25" x14ac:dyDescent="0.3">
      <c r="A888" s="51" t="s">
        <v>40</v>
      </c>
      <c r="B888" s="51"/>
      <c r="C888" s="51"/>
      <c r="D888" s="51"/>
      <c r="E888" s="51"/>
      <c r="F888" s="51"/>
      <c r="G888" s="51"/>
      <c r="H888" s="51"/>
      <c r="I888" s="51"/>
    </row>
    <row r="889" spans="1:9" ht="17.25" x14ac:dyDescent="0.3">
      <c r="A889" s="51"/>
      <c r="B889" s="51"/>
      <c r="C889" s="51"/>
      <c r="D889" s="51"/>
      <c r="E889" s="51"/>
      <c r="F889" s="51"/>
      <c r="G889" s="51"/>
      <c r="H889" s="51"/>
      <c r="I889" s="51"/>
    </row>
    <row r="890" spans="1:9" ht="33" customHeight="1" x14ac:dyDescent="0.3">
      <c r="A890" s="91" t="s">
        <v>165</v>
      </c>
      <c r="B890" s="91"/>
      <c r="C890" s="91"/>
      <c r="D890" s="91"/>
      <c r="E890" s="91"/>
      <c r="F890" s="91"/>
      <c r="G890" s="91"/>
      <c r="H890" s="55"/>
      <c r="I890" s="55"/>
    </row>
    <row r="891" spans="1:9" ht="17.25" x14ac:dyDescent="0.3">
      <c r="A891" s="51"/>
      <c r="B891" s="51"/>
      <c r="C891" s="51"/>
      <c r="D891" s="51"/>
      <c r="E891" s="51"/>
      <c r="F891" s="51"/>
      <c r="G891" s="51"/>
      <c r="H891" s="51"/>
      <c r="I891" s="51"/>
    </row>
    <row r="892" spans="1:9" ht="33" customHeight="1" x14ac:dyDescent="0.3">
      <c r="A892" s="91" t="s">
        <v>166</v>
      </c>
      <c r="B892" s="91"/>
      <c r="C892" s="91"/>
      <c r="D892" s="91"/>
      <c r="E892" s="91"/>
      <c r="F892" s="91"/>
      <c r="G892" s="91"/>
      <c r="H892" s="55"/>
      <c r="I892" s="55"/>
    </row>
    <row r="893" spans="1:9" ht="17.25" x14ac:dyDescent="0.3">
      <c r="A893" s="51"/>
      <c r="B893" s="51"/>
      <c r="C893" s="51"/>
      <c r="D893" s="51"/>
      <c r="E893" s="51"/>
      <c r="F893" s="51"/>
      <c r="G893" s="51"/>
      <c r="H893" s="51"/>
      <c r="I893" s="51"/>
    </row>
    <row r="894" spans="1:9" ht="33" customHeight="1" x14ac:dyDescent="0.3">
      <c r="A894" s="91" t="s">
        <v>167</v>
      </c>
      <c r="B894" s="91"/>
      <c r="C894" s="91"/>
      <c r="D894" s="91"/>
      <c r="E894" s="91"/>
      <c r="F894" s="91"/>
      <c r="G894" s="91"/>
      <c r="H894" s="55"/>
      <c r="I894" s="55"/>
    </row>
    <row r="896" spans="1:9" ht="18.75" x14ac:dyDescent="0.3">
      <c r="A896" s="1" t="s">
        <v>168</v>
      </c>
      <c r="B896" s="2"/>
      <c r="C896" s="2"/>
      <c r="D896" s="2"/>
      <c r="E896" s="2"/>
      <c r="F896" s="2"/>
      <c r="G896" s="53"/>
    </row>
    <row r="897" spans="1:7" ht="15.75" x14ac:dyDescent="0.25">
      <c r="A897" s="3" t="s">
        <v>1</v>
      </c>
      <c r="B897" s="3" t="s">
        <v>2</v>
      </c>
      <c r="C897" s="4" t="s">
        <v>3</v>
      </c>
      <c r="D897" s="4"/>
      <c r="E897" s="4"/>
      <c r="F897" s="4"/>
      <c r="G897" s="62" t="s">
        <v>30</v>
      </c>
    </row>
    <row r="898" spans="1:7" ht="15.75" x14ac:dyDescent="0.25">
      <c r="A898" s="5">
        <v>45271</v>
      </c>
      <c r="B898" s="6" t="s">
        <v>4</v>
      </c>
      <c r="C898" s="7" t="s">
        <v>5</v>
      </c>
      <c r="D898" s="7"/>
      <c r="E898" s="7"/>
      <c r="F898" s="7"/>
      <c r="G898" s="52">
        <v>1172.99</v>
      </c>
    </row>
    <row r="899" spans="1:7" ht="15.75" x14ac:dyDescent="0.25">
      <c r="A899" s="5">
        <v>45268</v>
      </c>
      <c r="B899" s="6" t="s">
        <v>4</v>
      </c>
      <c r="C899" s="7" t="s">
        <v>6</v>
      </c>
      <c r="D899" s="7"/>
      <c r="E899" s="7"/>
      <c r="F899" s="7"/>
      <c r="G899" s="52">
        <v>4200</v>
      </c>
    </row>
    <row r="900" spans="1:7" ht="15.75" x14ac:dyDescent="0.25">
      <c r="A900" s="5">
        <v>45275</v>
      </c>
      <c r="B900" s="6" t="s">
        <v>4</v>
      </c>
      <c r="C900" s="7" t="s">
        <v>61</v>
      </c>
      <c r="D900" s="7"/>
      <c r="E900" s="7"/>
      <c r="F900" s="7"/>
      <c r="G900" s="52">
        <v>1089.71</v>
      </c>
    </row>
    <row r="901" spans="1:7" ht="15.75" x14ac:dyDescent="0.25">
      <c r="A901" s="5">
        <v>45275</v>
      </c>
      <c r="B901" s="6" t="s">
        <v>4</v>
      </c>
      <c r="C901" s="7" t="s">
        <v>8</v>
      </c>
      <c r="D901" s="7"/>
      <c r="E901" s="7"/>
      <c r="F901" s="7"/>
      <c r="G901" s="52">
        <v>280.87000000000035</v>
      </c>
    </row>
    <row r="902" spans="1:7" ht="15.75" x14ac:dyDescent="0.25">
      <c r="A902" s="8">
        <v>45278</v>
      </c>
      <c r="B902" s="6" t="s">
        <v>4</v>
      </c>
      <c r="C902" s="7" t="s">
        <v>9</v>
      </c>
      <c r="D902" s="7"/>
      <c r="E902" s="7"/>
      <c r="F902" s="7"/>
      <c r="G902" s="52">
        <v>379.11</v>
      </c>
    </row>
    <row r="903" spans="1:7" ht="15.75" x14ac:dyDescent="0.25">
      <c r="A903" s="8">
        <v>45280</v>
      </c>
      <c r="B903" s="54" t="s">
        <v>4</v>
      </c>
      <c r="C903" s="7" t="s">
        <v>47</v>
      </c>
      <c r="D903" s="7"/>
      <c r="E903" s="7"/>
      <c r="F903" s="7"/>
      <c r="G903" s="52">
        <v>198.12</v>
      </c>
    </row>
    <row r="904" spans="1:7" ht="15.75" x14ac:dyDescent="0.25">
      <c r="A904" s="8">
        <v>45288</v>
      </c>
      <c r="B904" s="64" t="s">
        <v>4</v>
      </c>
      <c r="C904" s="32" t="s">
        <v>14</v>
      </c>
      <c r="D904" s="7"/>
      <c r="E904" s="7"/>
      <c r="F904" s="7"/>
      <c r="G904" s="52">
        <v>130</v>
      </c>
    </row>
    <row r="905" spans="1:7" ht="15.75" x14ac:dyDescent="0.25">
      <c r="A905" s="5">
        <v>45261</v>
      </c>
      <c r="B905" s="6" t="s">
        <v>4</v>
      </c>
      <c r="C905" s="7" t="s">
        <v>15</v>
      </c>
      <c r="D905" s="7"/>
      <c r="E905" s="7"/>
      <c r="F905" s="7"/>
      <c r="G905" s="52">
        <v>60</v>
      </c>
    </row>
    <row r="906" spans="1:7" ht="21" x14ac:dyDescent="0.35">
      <c r="A906" s="9" t="s">
        <v>16</v>
      </c>
      <c r="B906" s="10"/>
      <c r="C906" s="11"/>
      <c r="D906" s="11"/>
      <c r="E906" s="11"/>
      <c r="F906" s="11"/>
      <c r="G906" s="12">
        <f>SUM(G898:G905)</f>
        <v>7510.7999999999993</v>
      </c>
    </row>
    <row r="907" spans="1:7" ht="21" x14ac:dyDescent="0.35">
      <c r="A907" s="13" t="s">
        <v>17</v>
      </c>
      <c r="B907" s="11"/>
      <c r="C907" s="11"/>
      <c r="D907" s="11"/>
      <c r="E907" s="11"/>
      <c r="F907" s="11"/>
      <c r="G907" s="14">
        <f>ROUND(G906/14,2)</f>
        <v>536.49</v>
      </c>
    </row>
    <row r="908" spans="1:7" ht="21" x14ac:dyDescent="0.35">
      <c r="A908" s="13" t="s">
        <v>74</v>
      </c>
      <c r="B908" s="11"/>
      <c r="C908" s="11"/>
      <c r="D908" s="11"/>
      <c r="E908" s="11"/>
      <c r="F908" s="11"/>
      <c r="G908" s="14">
        <f>ROUND(G907/13,2)</f>
        <v>41.27</v>
      </c>
    </row>
    <row r="909" spans="1:7" ht="21" x14ac:dyDescent="0.35">
      <c r="A909" s="13" t="s">
        <v>19</v>
      </c>
      <c r="B909" s="11"/>
      <c r="C909" s="11"/>
      <c r="D909" s="11"/>
      <c r="E909" s="11"/>
      <c r="F909" s="11"/>
      <c r="G909" s="12">
        <f>G907+G908</f>
        <v>577.76</v>
      </c>
    </row>
    <row r="919" spans="1:7" ht="21" x14ac:dyDescent="0.35">
      <c r="A919" s="88" t="s">
        <v>20</v>
      </c>
      <c r="B919" s="89"/>
      <c r="C919" s="89"/>
      <c r="D919" s="89"/>
      <c r="E919" s="89"/>
      <c r="F919" s="89"/>
      <c r="G919" s="90"/>
    </row>
    <row r="922" spans="1:7" ht="18.75" x14ac:dyDescent="0.25">
      <c r="A922" s="19" t="s">
        <v>169</v>
      </c>
      <c r="B922" s="15"/>
      <c r="C922" s="15"/>
      <c r="D922" s="15"/>
      <c r="E922" s="15"/>
      <c r="F922" s="15"/>
      <c r="G922" s="16"/>
    </row>
    <row r="923" spans="1:7" ht="15.75" x14ac:dyDescent="0.25">
      <c r="A923" s="17"/>
      <c r="B923" s="18"/>
      <c r="C923" s="18"/>
      <c r="D923" s="18"/>
      <c r="E923" s="18"/>
      <c r="F923" s="18"/>
      <c r="G923" s="18"/>
    </row>
    <row r="924" spans="1:7" ht="15.75" x14ac:dyDescent="0.25">
      <c r="A924" s="17"/>
      <c r="B924" s="18"/>
      <c r="C924" s="18"/>
      <c r="D924" s="18"/>
      <c r="E924" s="18"/>
      <c r="F924" s="18"/>
      <c r="G924" s="18"/>
    </row>
    <row r="925" spans="1:7" ht="15.75" x14ac:dyDescent="0.25">
      <c r="A925" s="20" t="s">
        <v>22</v>
      </c>
      <c r="B925" s="21" t="s">
        <v>23</v>
      </c>
      <c r="C925" s="22"/>
      <c r="D925" s="21" t="s">
        <v>24</v>
      </c>
      <c r="E925" s="22"/>
      <c r="F925" s="59" t="s">
        <v>25</v>
      </c>
      <c r="G925" s="60" t="s">
        <v>26</v>
      </c>
    </row>
    <row r="926" spans="1:7" ht="15.75" x14ac:dyDescent="0.25">
      <c r="A926" s="23" t="s">
        <v>27</v>
      </c>
      <c r="B926" s="24" t="s">
        <v>28</v>
      </c>
      <c r="C926" s="24" t="s">
        <v>29</v>
      </c>
      <c r="D926" s="24" t="s">
        <v>28</v>
      </c>
      <c r="E926" s="24" t="s">
        <v>30</v>
      </c>
      <c r="F926" s="58" t="s">
        <v>31</v>
      </c>
      <c r="G926" s="61" t="s">
        <v>31</v>
      </c>
    </row>
    <row r="927" spans="1:7" ht="15.75" x14ac:dyDescent="0.25">
      <c r="A927" s="25" t="s">
        <v>32</v>
      </c>
      <c r="B927" s="26">
        <v>31.525999999999442</v>
      </c>
      <c r="C927" s="27">
        <v>280.87000000000035</v>
      </c>
      <c r="D927" s="28">
        <v>0</v>
      </c>
      <c r="E927" s="27">
        <v>0</v>
      </c>
      <c r="F927" s="29">
        <v>0</v>
      </c>
      <c r="G927" s="27">
        <v>0</v>
      </c>
    </row>
    <row r="928" spans="1:7" ht="15.75" x14ac:dyDescent="0.25">
      <c r="A928" s="30">
        <v>201</v>
      </c>
      <c r="B928" s="26">
        <v>18.896000000000001</v>
      </c>
      <c r="C928" s="27">
        <v>199.36</v>
      </c>
      <c r="D928" s="31">
        <v>0.29299999999999998</v>
      </c>
      <c r="E928" s="27">
        <v>9.33</v>
      </c>
      <c r="F928" s="27">
        <v>577.76</v>
      </c>
      <c r="G928" s="27">
        <v>787</v>
      </c>
    </row>
    <row r="929" spans="1:7" ht="15.75" x14ac:dyDescent="0.25">
      <c r="A929" s="30">
        <v>202</v>
      </c>
      <c r="B929" s="26">
        <v>31.54700000000048</v>
      </c>
      <c r="C929" s="27">
        <v>280.7</v>
      </c>
      <c r="D929" s="28">
        <v>3.4729999999999999</v>
      </c>
      <c r="E929" s="27">
        <v>110.62</v>
      </c>
      <c r="F929" s="27">
        <v>577.76</v>
      </c>
      <c r="G929" s="27">
        <v>970</v>
      </c>
    </row>
    <row r="930" spans="1:7" ht="15.75" x14ac:dyDescent="0.25">
      <c r="A930" s="30">
        <v>301</v>
      </c>
      <c r="B930" s="26">
        <v>17.5600000000004</v>
      </c>
      <c r="C930" s="27">
        <v>190.77</v>
      </c>
      <c r="D930" s="28">
        <v>2.4820000000000002</v>
      </c>
      <c r="E930" s="27">
        <v>79.05</v>
      </c>
      <c r="F930" s="27">
        <v>577.76</v>
      </c>
      <c r="G930" s="27">
        <v>848</v>
      </c>
    </row>
    <row r="931" spans="1:7" ht="15.75" x14ac:dyDescent="0.25">
      <c r="A931" s="30">
        <v>302</v>
      </c>
      <c r="B931" s="26">
        <v>18.697000000000116</v>
      </c>
      <c r="C931" s="27">
        <v>198.08</v>
      </c>
      <c r="D931" s="28">
        <v>2.073</v>
      </c>
      <c r="E931" s="27">
        <v>66.03</v>
      </c>
      <c r="F931" s="27">
        <v>577.76</v>
      </c>
      <c r="G931" s="27">
        <v>842</v>
      </c>
    </row>
    <row r="932" spans="1:7" ht="15.75" x14ac:dyDescent="0.25">
      <c r="A932" s="30">
        <v>401</v>
      </c>
      <c r="B932" s="26">
        <v>19.101000000000113</v>
      </c>
      <c r="C932" s="27">
        <v>200.67</v>
      </c>
      <c r="D932" s="28">
        <v>1.6220000000000001</v>
      </c>
      <c r="E932" s="27">
        <v>51.66</v>
      </c>
      <c r="F932" s="27">
        <v>577.76</v>
      </c>
      <c r="G932" s="27">
        <v>831</v>
      </c>
    </row>
    <row r="933" spans="1:7" ht="15.75" x14ac:dyDescent="0.25">
      <c r="A933" s="30">
        <v>402</v>
      </c>
      <c r="B933" s="26">
        <v>22.764999999999873</v>
      </c>
      <c r="C933" s="27">
        <v>224.23</v>
      </c>
      <c r="D933" s="28">
        <v>4.0620000000000003</v>
      </c>
      <c r="E933" s="27">
        <v>129.37</v>
      </c>
      <c r="F933" s="27">
        <v>577.76</v>
      </c>
      <c r="G933" s="27">
        <v>932</v>
      </c>
    </row>
    <row r="934" spans="1:7" ht="15.75" x14ac:dyDescent="0.25">
      <c r="A934" s="30">
        <v>501</v>
      </c>
      <c r="B934" s="26">
        <v>12.949999999999818</v>
      </c>
      <c r="C934" s="27">
        <v>161.12</v>
      </c>
      <c r="D934" s="28">
        <v>0.88300000000000001</v>
      </c>
      <c r="E934" s="27">
        <v>28.12</v>
      </c>
      <c r="F934" s="27">
        <v>577.76</v>
      </c>
      <c r="G934" s="27">
        <v>767</v>
      </c>
    </row>
    <row r="935" spans="1:7" ht="15.75" x14ac:dyDescent="0.25">
      <c r="A935" s="30">
        <v>502</v>
      </c>
      <c r="B935" s="26">
        <v>14.534000000000106</v>
      </c>
      <c r="C935" s="27">
        <v>171.31</v>
      </c>
      <c r="D935" s="28">
        <v>1.4810000000000001</v>
      </c>
      <c r="E935" s="27">
        <v>47.17</v>
      </c>
      <c r="F935" s="27">
        <v>577.76</v>
      </c>
      <c r="G935" s="27">
        <v>797</v>
      </c>
    </row>
    <row r="936" spans="1:7" ht="15.75" x14ac:dyDescent="0.25">
      <c r="A936" s="30">
        <v>601</v>
      </c>
      <c r="B936" s="26">
        <v>15.529999999999973</v>
      </c>
      <c r="C936" s="27">
        <v>177.71</v>
      </c>
      <c r="D936" s="28">
        <v>0.19700000000000001</v>
      </c>
      <c r="E936" s="27">
        <v>6.27</v>
      </c>
      <c r="F936" s="27">
        <v>577.76</v>
      </c>
      <c r="G936" s="27">
        <v>762</v>
      </c>
    </row>
    <row r="937" spans="1:7" ht="15.75" x14ac:dyDescent="0.25">
      <c r="A937" s="30">
        <v>602</v>
      </c>
      <c r="B937" s="26">
        <v>8.3989999999998872</v>
      </c>
      <c r="C937" s="27">
        <v>131.86000000000001</v>
      </c>
      <c r="D937" s="28">
        <v>2.8919999999999999</v>
      </c>
      <c r="E937" s="27">
        <v>92.11</v>
      </c>
      <c r="F937" s="27">
        <v>577.76</v>
      </c>
      <c r="G937" s="27">
        <v>802</v>
      </c>
    </row>
    <row r="938" spans="1:7" ht="15.75" x14ac:dyDescent="0.25">
      <c r="A938" s="30">
        <v>701</v>
      </c>
      <c r="B938" s="26">
        <v>10.842999999999847</v>
      </c>
      <c r="C938" s="27">
        <v>147.58000000000001</v>
      </c>
      <c r="D938" s="28">
        <v>0.77</v>
      </c>
      <c r="E938" s="27">
        <v>24.52</v>
      </c>
      <c r="F938" s="27">
        <v>577.76</v>
      </c>
      <c r="G938" s="27">
        <v>750</v>
      </c>
    </row>
    <row r="939" spans="1:7" ht="15.75" x14ac:dyDescent="0.25">
      <c r="A939" s="30">
        <v>702</v>
      </c>
      <c r="B939" s="26">
        <v>3.0900000000000318</v>
      </c>
      <c r="C939" s="27">
        <v>97.72</v>
      </c>
      <c r="D939" s="28">
        <v>1.0669999999999999</v>
      </c>
      <c r="E939" s="27">
        <v>33.979999999999997</v>
      </c>
      <c r="F939" s="27">
        <v>577.76</v>
      </c>
      <c r="G939" s="27">
        <v>710</v>
      </c>
    </row>
    <row r="940" spans="1:7" ht="15.75" x14ac:dyDescent="0.25">
      <c r="A940" s="30">
        <v>801</v>
      </c>
      <c r="B940" s="26">
        <v>1.7870000000002619</v>
      </c>
      <c r="C940" s="27">
        <v>89.35</v>
      </c>
      <c r="D940" s="28">
        <v>0.13200000000000001</v>
      </c>
      <c r="E940" s="27">
        <v>4.2</v>
      </c>
      <c r="F940" s="27">
        <v>577.76</v>
      </c>
      <c r="G940" s="27">
        <v>672</v>
      </c>
    </row>
    <row r="941" spans="1:7" ht="15.75" x14ac:dyDescent="0.25">
      <c r="A941" s="30">
        <v>802</v>
      </c>
      <c r="B941" s="26">
        <v>18.774999999999636</v>
      </c>
      <c r="C941" s="27">
        <v>198.58</v>
      </c>
      <c r="D941" s="28">
        <v>1.966</v>
      </c>
      <c r="E941" s="27">
        <v>62.62</v>
      </c>
      <c r="F941" s="63">
        <v>577.76</v>
      </c>
      <c r="G941" s="63">
        <v>839</v>
      </c>
    </row>
    <row r="943" spans="1:7" x14ac:dyDescent="0.25">
      <c r="A943" s="32"/>
      <c r="B943" s="7"/>
      <c r="C943" s="7"/>
      <c r="D943" s="7"/>
      <c r="E943" s="7"/>
      <c r="F943" s="7"/>
      <c r="G943" s="33"/>
    </row>
    <row r="944" spans="1:7" x14ac:dyDescent="0.25">
      <c r="A944" s="32"/>
      <c r="B944" s="7"/>
      <c r="C944" s="7"/>
      <c r="D944" s="7"/>
      <c r="E944" s="7"/>
      <c r="F944" s="7"/>
      <c r="G944" s="33"/>
    </row>
    <row r="945" spans="1:7" x14ac:dyDescent="0.25">
      <c r="A945" s="32"/>
      <c r="B945" s="7"/>
      <c r="C945" s="7"/>
      <c r="D945" s="7"/>
      <c r="E945" s="7"/>
      <c r="F945" s="7"/>
      <c r="G945" s="33"/>
    </row>
    <row r="947" spans="1:7" ht="15.75" x14ac:dyDescent="0.25">
      <c r="A947" s="34" t="s">
        <v>170</v>
      </c>
      <c r="B947" s="35"/>
      <c r="C947" s="35"/>
      <c r="D947" s="35"/>
      <c r="E947" s="35"/>
      <c r="F947" s="36"/>
      <c r="G947" s="57">
        <v>61406.92</v>
      </c>
    </row>
    <row r="948" spans="1:7" ht="15.75" x14ac:dyDescent="0.25">
      <c r="A948" s="37" t="s">
        <v>171</v>
      </c>
      <c r="B948" s="38"/>
      <c r="C948" s="38"/>
      <c r="D948" s="38"/>
      <c r="E948" s="38"/>
      <c r="F948" s="39"/>
      <c r="G948" s="57">
        <v>4200</v>
      </c>
    </row>
    <row r="949" spans="1:7" ht="15.75" x14ac:dyDescent="0.25">
      <c r="A949" s="34" t="s">
        <v>172</v>
      </c>
      <c r="B949" s="35"/>
      <c r="C949" s="35"/>
      <c r="D949" s="35"/>
      <c r="E949" s="35"/>
      <c r="F949" s="36"/>
      <c r="G949" s="57">
        <f>G947+G948</f>
        <v>65606.92</v>
      </c>
    </row>
    <row r="950" spans="1:7" ht="18.75" x14ac:dyDescent="0.3">
      <c r="A950" s="40"/>
      <c r="B950" s="40"/>
      <c r="C950" s="40"/>
      <c r="D950" s="40"/>
      <c r="E950" s="40"/>
      <c r="F950" s="40"/>
      <c r="G950" s="40"/>
    </row>
    <row r="951" spans="1:7" ht="31.5" customHeight="1" x14ac:dyDescent="0.25">
      <c r="A951" s="85" t="s">
        <v>54</v>
      </c>
      <c r="B951" s="86"/>
      <c r="C951" s="86"/>
      <c r="D951" s="86"/>
      <c r="E951" s="86"/>
      <c r="F951" s="86"/>
      <c r="G951" s="87"/>
    </row>
    <row r="952" spans="1:7" ht="15.75" x14ac:dyDescent="0.25">
      <c r="A952" s="41" t="s">
        <v>36</v>
      </c>
      <c r="B952" s="42"/>
      <c r="C952" s="42"/>
      <c r="D952" s="42"/>
      <c r="E952" s="42"/>
      <c r="F952" s="42"/>
      <c r="G952" s="43"/>
    </row>
    <row r="953" spans="1:7" ht="15.75" x14ac:dyDescent="0.25">
      <c r="A953" s="44" t="s">
        <v>37</v>
      </c>
      <c r="B953" s="45"/>
      <c r="C953" s="45"/>
      <c r="D953" s="45"/>
      <c r="E953" s="45"/>
      <c r="F953" s="45"/>
      <c r="G953" s="46"/>
    </row>
    <row r="954" spans="1:7" ht="15.75" x14ac:dyDescent="0.25">
      <c r="A954" s="47"/>
      <c r="B954" s="47"/>
      <c r="C954" s="47"/>
      <c r="D954" s="47"/>
      <c r="E954" s="47"/>
      <c r="F954" s="47"/>
      <c r="G954" s="47"/>
    </row>
    <row r="955" spans="1:7" ht="15.75" x14ac:dyDescent="0.25">
      <c r="A955" s="48" t="s">
        <v>50</v>
      </c>
      <c r="B955" s="49"/>
      <c r="C955" s="49"/>
      <c r="D955" s="49"/>
      <c r="E955" s="49"/>
      <c r="F955" s="49"/>
      <c r="G955" s="50"/>
    </row>
    <row r="956" spans="1:7" ht="15.75" x14ac:dyDescent="0.25">
      <c r="A956" s="47"/>
      <c r="B956" s="47"/>
      <c r="C956" s="47"/>
      <c r="D956" s="47"/>
      <c r="E956" s="47"/>
      <c r="F956" s="47"/>
      <c r="G956" s="47"/>
    </row>
    <row r="957" spans="1:7" ht="15.75" x14ac:dyDescent="0.25">
      <c r="A957" s="47"/>
      <c r="B957" s="47"/>
      <c r="C957" s="47"/>
      <c r="D957" s="47"/>
      <c r="E957" s="47"/>
      <c r="F957" s="47"/>
      <c r="G957" s="47"/>
    </row>
    <row r="958" spans="1:7" ht="15.75" x14ac:dyDescent="0.25">
      <c r="A958" s="47"/>
      <c r="B958" s="47"/>
      <c r="C958" s="47"/>
      <c r="D958" s="47"/>
      <c r="E958" s="47"/>
      <c r="F958" s="47"/>
      <c r="G958" s="47"/>
    </row>
    <row r="965" spans="1:9" ht="21" x14ac:dyDescent="0.35">
      <c r="A965" s="88" t="s">
        <v>20</v>
      </c>
      <c r="B965" s="89"/>
      <c r="C965" s="89"/>
      <c r="D965" s="89"/>
      <c r="E965" s="89"/>
      <c r="F965" s="89"/>
      <c r="G965" s="90"/>
      <c r="H965" s="56"/>
      <c r="I965" s="56"/>
    </row>
    <row r="968" spans="1:9" ht="17.25" x14ac:dyDescent="0.3">
      <c r="A968" s="51" t="s">
        <v>173</v>
      </c>
      <c r="B968" s="51"/>
      <c r="C968" s="51"/>
      <c r="D968" s="51"/>
      <c r="E968" s="51"/>
      <c r="F968" s="51"/>
      <c r="G968" s="51"/>
      <c r="H968" s="51"/>
      <c r="I968" s="51"/>
    </row>
    <row r="969" spans="1:9" ht="17.25" x14ac:dyDescent="0.3">
      <c r="A969" s="51"/>
      <c r="B969" s="51"/>
      <c r="C969" s="51"/>
      <c r="D969" s="51"/>
      <c r="E969" s="51"/>
      <c r="F969" s="51"/>
      <c r="G969" s="51"/>
      <c r="H969" s="51"/>
      <c r="I969" s="51"/>
    </row>
    <row r="970" spans="1:9" ht="17.25" x14ac:dyDescent="0.3">
      <c r="A970" s="51" t="s">
        <v>174</v>
      </c>
      <c r="B970" s="51"/>
      <c r="C970" s="51"/>
      <c r="D970" s="51"/>
      <c r="E970" s="51"/>
      <c r="F970" s="51"/>
      <c r="G970" s="51"/>
      <c r="H970" s="51"/>
      <c r="I970" s="51"/>
    </row>
    <row r="971" spans="1:9" ht="17.25" x14ac:dyDescent="0.3">
      <c r="A971" s="51"/>
      <c r="B971" s="51"/>
      <c r="C971" s="51"/>
      <c r="D971" s="51"/>
      <c r="E971" s="51"/>
      <c r="F971" s="51"/>
      <c r="G971" s="51"/>
      <c r="H971" s="51"/>
      <c r="I971" s="51"/>
    </row>
    <row r="972" spans="1:9" ht="17.25" x14ac:dyDescent="0.3">
      <c r="A972" s="51"/>
      <c r="B972" s="51"/>
      <c r="C972" s="51"/>
      <c r="D972" s="51"/>
      <c r="E972" s="51"/>
      <c r="F972" s="51"/>
      <c r="G972" s="51"/>
      <c r="H972" s="51"/>
      <c r="I972" s="51"/>
    </row>
    <row r="973" spans="1:9" ht="17.25" x14ac:dyDescent="0.3">
      <c r="A973" s="51" t="s">
        <v>175</v>
      </c>
      <c r="B973" s="51"/>
      <c r="C973" s="51"/>
      <c r="D973" s="51"/>
      <c r="E973" s="51"/>
      <c r="F973" s="51"/>
      <c r="G973" s="51"/>
      <c r="H973" s="51"/>
      <c r="I973" s="51"/>
    </row>
    <row r="974" spans="1:9" ht="17.25" x14ac:dyDescent="0.3">
      <c r="A974" s="51"/>
      <c r="B974" s="51"/>
      <c r="C974" s="51"/>
      <c r="D974" s="51"/>
      <c r="E974" s="51"/>
      <c r="F974" s="51"/>
      <c r="G974" s="51"/>
      <c r="H974" s="51"/>
      <c r="I974" s="51"/>
    </row>
    <row r="975" spans="1:9" ht="17.25" x14ac:dyDescent="0.3">
      <c r="A975" s="51" t="s">
        <v>40</v>
      </c>
      <c r="B975" s="51"/>
      <c r="C975" s="51"/>
      <c r="D975" s="51"/>
      <c r="E975" s="51"/>
      <c r="F975" s="51"/>
      <c r="G975" s="51"/>
      <c r="H975" s="51"/>
      <c r="I975" s="51"/>
    </row>
    <row r="976" spans="1:9" ht="17.25" x14ac:dyDescent="0.3">
      <c r="A976" s="51"/>
      <c r="B976" s="51"/>
      <c r="C976" s="51"/>
      <c r="D976" s="51"/>
      <c r="E976" s="51"/>
      <c r="F976" s="51"/>
      <c r="G976" s="51"/>
      <c r="H976" s="51"/>
      <c r="I976" s="51"/>
    </row>
    <row r="977" spans="1:9" ht="33" customHeight="1" x14ac:dyDescent="0.3">
      <c r="A977" s="91" t="s">
        <v>176</v>
      </c>
      <c r="B977" s="91"/>
      <c r="C977" s="91"/>
      <c r="D977" s="91"/>
      <c r="E977" s="91"/>
      <c r="F977" s="91"/>
      <c r="G977" s="91"/>
      <c r="H977" s="55"/>
      <c r="I977" s="55"/>
    </row>
    <row r="978" spans="1:9" ht="17.25" x14ac:dyDescent="0.3">
      <c r="A978" s="51"/>
      <c r="B978" s="51"/>
      <c r="C978" s="51"/>
      <c r="D978" s="51"/>
      <c r="E978" s="51"/>
      <c r="F978" s="51"/>
      <c r="G978" s="51"/>
      <c r="H978" s="51"/>
      <c r="I978" s="51"/>
    </row>
    <row r="979" spans="1:9" ht="33" customHeight="1" x14ac:dyDescent="0.3">
      <c r="A979" s="91" t="s">
        <v>177</v>
      </c>
      <c r="B979" s="91"/>
      <c r="C979" s="91"/>
      <c r="D979" s="91"/>
      <c r="E979" s="91"/>
      <c r="F979" s="91"/>
      <c r="G979" s="91"/>
      <c r="H979" s="55"/>
      <c r="I979" s="55"/>
    </row>
    <row r="980" spans="1:9" ht="17.25" x14ac:dyDescent="0.3">
      <c r="A980" s="51"/>
      <c r="B980" s="51"/>
      <c r="C980" s="51"/>
      <c r="D980" s="51"/>
      <c r="E980" s="51"/>
      <c r="F980" s="51"/>
      <c r="G980" s="51"/>
      <c r="H980" s="51"/>
      <c r="I980" s="51"/>
    </row>
    <row r="981" spans="1:9" ht="33" customHeight="1" x14ac:dyDescent="0.3">
      <c r="A981" s="91" t="s">
        <v>178</v>
      </c>
      <c r="B981" s="91"/>
      <c r="C981" s="91"/>
      <c r="D981" s="91"/>
      <c r="E981" s="91"/>
      <c r="F981" s="91"/>
      <c r="G981" s="91"/>
      <c r="H981" s="55"/>
      <c r="I981" s="55"/>
    </row>
    <row r="983" spans="1:9" ht="18.75" x14ac:dyDescent="0.3">
      <c r="A983" s="1" t="s">
        <v>179</v>
      </c>
      <c r="B983" s="2"/>
      <c r="C983" s="2"/>
      <c r="D983" s="2"/>
      <c r="E983" s="2"/>
      <c r="F983" s="2"/>
      <c r="G983" s="53"/>
    </row>
    <row r="984" spans="1:9" ht="15.75" x14ac:dyDescent="0.25">
      <c r="A984" s="3" t="s">
        <v>1</v>
      </c>
      <c r="B984" s="3" t="s">
        <v>2</v>
      </c>
      <c r="C984" s="4" t="s">
        <v>3</v>
      </c>
      <c r="D984" s="4"/>
      <c r="E984" s="4"/>
      <c r="F984" s="4"/>
      <c r="G984" s="62" t="s">
        <v>30</v>
      </c>
    </row>
    <row r="985" spans="1:9" ht="15.75" x14ac:dyDescent="0.25">
      <c r="A985" s="5">
        <v>45306</v>
      </c>
      <c r="B985" s="6" t="s">
        <v>4</v>
      </c>
      <c r="C985" s="7" t="s">
        <v>5</v>
      </c>
      <c r="D985" s="7"/>
      <c r="E985" s="7"/>
      <c r="F985" s="7"/>
      <c r="G985" s="52">
        <v>1172.99</v>
      </c>
    </row>
    <row r="986" spans="1:9" ht="15.75" x14ac:dyDescent="0.25">
      <c r="A986" s="5">
        <v>45301</v>
      </c>
      <c r="B986" s="6" t="s">
        <v>4</v>
      </c>
      <c r="C986" s="7" t="s">
        <v>6</v>
      </c>
      <c r="D986" s="7"/>
      <c r="E986" s="7"/>
      <c r="F986" s="7"/>
      <c r="G986" s="52">
        <v>4200</v>
      </c>
    </row>
    <row r="987" spans="1:9" ht="15.75" x14ac:dyDescent="0.25">
      <c r="A987" s="5">
        <v>45306</v>
      </c>
      <c r="B987" s="6" t="s">
        <v>4</v>
      </c>
      <c r="C987" s="7" t="s">
        <v>61</v>
      </c>
      <c r="D987" s="7"/>
      <c r="E987" s="7"/>
      <c r="F987" s="7"/>
      <c r="G987" s="52">
        <v>1089.71</v>
      </c>
    </row>
    <row r="988" spans="1:9" ht="15.75" x14ac:dyDescent="0.25">
      <c r="A988" s="5">
        <v>45306</v>
      </c>
      <c r="B988" s="6" t="s">
        <v>4</v>
      </c>
      <c r="C988" s="7" t="s">
        <v>8</v>
      </c>
      <c r="D988" s="7"/>
      <c r="E988" s="7"/>
      <c r="F988" s="7"/>
      <c r="G988" s="52">
        <v>118.51000000000022</v>
      </c>
    </row>
    <row r="989" spans="1:9" ht="15.75" x14ac:dyDescent="0.25">
      <c r="A989" s="8">
        <v>45308</v>
      </c>
      <c r="B989" s="6" t="s">
        <v>4</v>
      </c>
      <c r="C989" s="7" t="s">
        <v>9</v>
      </c>
      <c r="D989" s="7"/>
      <c r="E989" s="7"/>
      <c r="F989" s="7"/>
      <c r="G989" s="52">
        <v>323.68</v>
      </c>
    </row>
    <row r="990" spans="1:9" ht="15.75" x14ac:dyDescent="0.25">
      <c r="A990" s="8">
        <v>45310</v>
      </c>
      <c r="B990" s="54" t="s">
        <v>4</v>
      </c>
      <c r="C990" s="7" t="s">
        <v>47</v>
      </c>
      <c r="D990" s="7"/>
      <c r="E990" s="7"/>
      <c r="F990" s="7"/>
      <c r="G990" s="52">
        <v>198.12</v>
      </c>
    </row>
    <row r="991" spans="1:9" ht="15.75" x14ac:dyDescent="0.25">
      <c r="A991" s="8">
        <v>45286</v>
      </c>
      <c r="B991" s="64" t="s">
        <v>4</v>
      </c>
      <c r="C991" s="32" t="s">
        <v>181</v>
      </c>
      <c r="D991" s="7"/>
      <c r="E991" s="7"/>
      <c r="F991" s="7"/>
      <c r="G991" s="52">
        <v>189.13</v>
      </c>
    </row>
    <row r="992" spans="1:9" ht="15.75" x14ac:dyDescent="0.25">
      <c r="A992" s="8">
        <v>45320</v>
      </c>
      <c r="B992" s="64" t="s">
        <v>4</v>
      </c>
      <c r="C992" s="32" t="s">
        <v>14</v>
      </c>
      <c r="D992" s="7"/>
      <c r="E992" s="7"/>
      <c r="F992" s="7"/>
      <c r="G992" s="52">
        <v>130</v>
      </c>
    </row>
    <row r="993" spans="1:7" ht="15.75" x14ac:dyDescent="0.25">
      <c r="A993" s="5">
        <v>45293</v>
      </c>
      <c r="B993" s="6" t="s">
        <v>4</v>
      </c>
      <c r="C993" s="7" t="s">
        <v>15</v>
      </c>
      <c r="D993" s="7"/>
      <c r="E993" s="7"/>
      <c r="F993" s="7"/>
      <c r="G993" s="52">
        <v>60</v>
      </c>
    </row>
    <row r="994" spans="1:7" ht="21" x14ac:dyDescent="0.35">
      <c r="A994" s="9" t="s">
        <v>16</v>
      </c>
      <c r="B994" s="10"/>
      <c r="C994" s="11"/>
      <c r="D994" s="11"/>
      <c r="E994" s="11"/>
      <c r="F994" s="11"/>
      <c r="G994" s="12">
        <f>SUM(G985:G993)</f>
        <v>7482.14</v>
      </c>
    </row>
    <row r="995" spans="1:7" ht="21" x14ac:dyDescent="0.35">
      <c r="A995" s="13" t="s">
        <v>17</v>
      </c>
      <c r="B995" s="11"/>
      <c r="C995" s="11"/>
      <c r="D995" s="11"/>
      <c r="E995" s="11"/>
      <c r="F995" s="11"/>
      <c r="G995" s="14">
        <f>ROUND(G994/14,2)</f>
        <v>534.44000000000005</v>
      </c>
    </row>
    <row r="996" spans="1:7" ht="21" x14ac:dyDescent="0.35">
      <c r="A996" s="13" t="s">
        <v>74</v>
      </c>
      <c r="B996" s="11"/>
      <c r="C996" s="11"/>
      <c r="D996" s="11"/>
      <c r="E996" s="11"/>
      <c r="F996" s="11"/>
      <c r="G996" s="14">
        <f>ROUND(G995/13,2)</f>
        <v>41.11</v>
      </c>
    </row>
    <row r="997" spans="1:7" ht="21" x14ac:dyDescent="0.35">
      <c r="A997" s="13" t="s">
        <v>19</v>
      </c>
      <c r="B997" s="11"/>
      <c r="C997" s="11"/>
      <c r="D997" s="11"/>
      <c r="E997" s="11"/>
      <c r="F997" s="11"/>
      <c r="G997" s="12">
        <f>G995+G996</f>
        <v>575.55000000000007</v>
      </c>
    </row>
    <row r="1007" spans="1:7" ht="21" x14ac:dyDescent="0.35">
      <c r="A1007" s="88" t="s">
        <v>20</v>
      </c>
      <c r="B1007" s="89"/>
      <c r="C1007" s="89"/>
      <c r="D1007" s="89"/>
      <c r="E1007" s="89"/>
      <c r="F1007" s="89"/>
      <c r="G1007" s="90"/>
    </row>
    <row r="1010" spans="1:7" ht="18.75" x14ac:dyDescent="0.25">
      <c r="A1010" s="19" t="s">
        <v>180</v>
      </c>
      <c r="B1010" s="15"/>
      <c r="C1010" s="15"/>
      <c r="D1010" s="15"/>
      <c r="E1010" s="15"/>
      <c r="F1010" s="15"/>
      <c r="G1010" s="16"/>
    </row>
    <row r="1011" spans="1:7" ht="15.75" x14ac:dyDescent="0.25">
      <c r="A1011" s="17"/>
      <c r="B1011" s="18"/>
      <c r="C1011" s="18"/>
      <c r="D1011" s="18"/>
      <c r="E1011" s="18"/>
      <c r="F1011" s="18"/>
      <c r="G1011" s="18"/>
    </row>
    <row r="1012" spans="1:7" ht="15.75" x14ac:dyDescent="0.25">
      <c r="A1012" s="17"/>
      <c r="B1012" s="18"/>
      <c r="C1012" s="18"/>
      <c r="D1012" s="18"/>
      <c r="E1012" s="18"/>
      <c r="F1012" s="18"/>
      <c r="G1012" s="18"/>
    </row>
    <row r="1013" spans="1:7" ht="15.75" x14ac:dyDescent="0.25">
      <c r="A1013" s="20" t="s">
        <v>22</v>
      </c>
      <c r="B1013" s="21" t="s">
        <v>23</v>
      </c>
      <c r="C1013" s="22"/>
      <c r="D1013" s="21" t="s">
        <v>24</v>
      </c>
      <c r="E1013" s="22"/>
      <c r="F1013" s="59" t="s">
        <v>25</v>
      </c>
      <c r="G1013" s="60" t="s">
        <v>26</v>
      </c>
    </row>
    <row r="1014" spans="1:7" ht="15.75" x14ac:dyDescent="0.25">
      <c r="A1014" s="23" t="s">
        <v>27</v>
      </c>
      <c r="B1014" s="24" t="s">
        <v>28</v>
      </c>
      <c r="C1014" s="24" t="s">
        <v>29</v>
      </c>
      <c r="D1014" s="24" t="s">
        <v>28</v>
      </c>
      <c r="E1014" s="24" t="s">
        <v>30</v>
      </c>
      <c r="F1014" s="58" t="s">
        <v>31</v>
      </c>
      <c r="G1014" s="61" t="s">
        <v>31</v>
      </c>
    </row>
    <row r="1015" spans="1:7" ht="15.75" x14ac:dyDescent="0.25">
      <c r="A1015" s="25" t="s">
        <v>32</v>
      </c>
      <c r="B1015" s="26">
        <v>6.5130000000000052</v>
      </c>
      <c r="C1015" s="27">
        <v>118.51000000000022</v>
      </c>
      <c r="D1015" s="28">
        <v>0</v>
      </c>
      <c r="E1015" s="27">
        <v>0</v>
      </c>
      <c r="F1015" s="29">
        <v>0</v>
      </c>
      <c r="G1015" s="27">
        <v>0</v>
      </c>
    </row>
    <row r="1016" spans="1:7" ht="15.75" x14ac:dyDescent="0.25">
      <c r="A1016" s="30">
        <v>201</v>
      </c>
      <c r="B1016" s="26">
        <v>18.693000000000001</v>
      </c>
      <c r="C1016" s="27">
        <v>195.89</v>
      </c>
      <c r="D1016" s="31">
        <v>0.42499999999999999</v>
      </c>
      <c r="E1016" s="27">
        <v>13.54</v>
      </c>
      <c r="F1016" s="27">
        <v>575.55000000000007</v>
      </c>
      <c r="G1016" s="27">
        <v>785</v>
      </c>
    </row>
    <row r="1017" spans="1:7" ht="15.75" x14ac:dyDescent="0.25">
      <c r="A1017" s="30">
        <v>202</v>
      </c>
      <c r="B1017" s="26">
        <v>49.055999999999997</v>
      </c>
      <c r="C1017" s="27">
        <v>389.91</v>
      </c>
      <c r="D1017" s="28">
        <v>5.1449999999999996</v>
      </c>
      <c r="E1017" s="27">
        <v>163.87</v>
      </c>
      <c r="F1017" s="27">
        <v>575.55000000000007</v>
      </c>
      <c r="G1017" s="27">
        <v>1130</v>
      </c>
    </row>
    <row r="1018" spans="1:7" ht="15.75" x14ac:dyDescent="0.25">
      <c r="A1018" s="30">
        <v>301</v>
      </c>
      <c r="B1018" s="26">
        <v>21.489000000000001</v>
      </c>
      <c r="C1018" s="27">
        <v>213.76</v>
      </c>
      <c r="D1018" s="28">
        <v>3.6259999999999999</v>
      </c>
      <c r="E1018" s="27">
        <v>115.49</v>
      </c>
      <c r="F1018" s="27">
        <v>575.55000000000007</v>
      </c>
      <c r="G1018" s="27">
        <v>905</v>
      </c>
    </row>
    <row r="1019" spans="1:7" ht="15.75" x14ac:dyDescent="0.25">
      <c r="A1019" s="30">
        <v>302</v>
      </c>
      <c r="B1019" s="26">
        <v>14.773999999999999</v>
      </c>
      <c r="C1019" s="27">
        <v>170.85</v>
      </c>
      <c r="D1019" s="28">
        <v>1.6659999999999999</v>
      </c>
      <c r="E1019" s="27">
        <v>53.06</v>
      </c>
      <c r="F1019" s="27">
        <v>575.55000000000007</v>
      </c>
      <c r="G1019" s="27">
        <v>800</v>
      </c>
    </row>
    <row r="1020" spans="1:7" ht="15.75" x14ac:dyDescent="0.25">
      <c r="A1020" s="30">
        <v>401</v>
      </c>
      <c r="B1020" s="26">
        <v>17.588999999999999</v>
      </c>
      <c r="C1020" s="27">
        <v>188.84</v>
      </c>
      <c r="D1020" s="28">
        <v>1.8109999999999999</v>
      </c>
      <c r="E1020" s="27">
        <v>57.68</v>
      </c>
      <c r="F1020" s="27">
        <v>575.55000000000007</v>
      </c>
      <c r="G1020" s="27">
        <v>823</v>
      </c>
    </row>
    <row r="1021" spans="1:7" ht="15.75" x14ac:dyDescent="0.25">
      <c r="A1021" s="30">
        <v>402</v>
      </c>
      <c r="B1021" s="26">
        <v>22.295999999999999</v>
      </c>
      <c r="C1021" s="27">
        <v>218.92</v>
      </c>
      <c r="D1021" s="28">
        <v>4.1100000000000003</v>
      </c>
      <c r="E1021" s="27">
        <v>130.9</v>
      </c>
      <c r="F1021" s="27">
        <v>575.55000000000007</v>
      </c>
      <c r="G1021" s="27">
        <v>926</v>
      </c>
    </row>
    <row r="1022" spans="1:7" ht="15.75" x14ac:dyDescent="0.25">
      <c r="A1022" s="30">
        <v>501</v>
      </c>
      <c r="B1022" s="26">
        <v>11.147</v>
      </c>
      <c r="C1022" s="27">
        <v>147.66999999999999</v>
      </c>
      <c r="D1022" s="28">
        <v>0.89200000000000002</v>
      </c>
      <c r="E1022" s="27">
        <v>28.41</v>
      </c>
      <c r="F1022" s="27">
        <v>575.55000000000007</v>
      </c>
      <c r="G1022" s="27">
        <v>752</v>
      </c>
    </row>
    <row r="1023" spans="1:7" ht="15.75" x14ac:dyDescent="0.25">
      <c r="A1023" s="30">
        <v>502</v>
      </c>
      <c r="B1023" s="26">
        <v>13.135999999999999</v>
      </c>
      <c r="C1023" s="27">
        <v>160.38</v>
      </c>
      <c r="D1023" s="28">
        <v>1.5840000000000001</v>
      </c>
      <c r="E1023" s="27">
        <v>50.45</v>
      </c>
      <c r="F1023" s="27">
        <v>575.55000000000007</v>
      </c>
      <c r="G1023" s="27">
        <v>787</v>
      </c>
    </row>
    <row r="1024" spans="1:7" ht="15.75" x14ac:dyDescent="0.25">
      <c r="A1024" s="30">
        <v>601</v>
      </c>
      <c r="B1024" s="26">
        <v>15.686</v>
      </c>
      <c r="C1024" s="27">
        <v>176.68</v>
      </c>
      <c r="D1024" s="28">
        <v>8.3000000000000004E-2</v>
      </c>
      <c r="E1024" s="27">
        <v>2.64</v>
      </c>
      <c r="F1024" s="27">
        <v>575.55000000000007</v>
      </c>
      <c r="G1024" s="27">
        <v>755</v>
      </c>
    </row>
    <row r="1025" spans="1:7" ht="15.75" x14ac:dyDescent="0.25">
      <c r="A1025" s="30">
        <v>602</v>
      </c>
      <c r="B1025" s="26">
        <v>15.856999999999999</v>
      </c>
      <c r="C1025" s="27">
        <v>177.77</v>
      </c>
      <c r="D1025" s="28">
        <v>2.1989999999999998</v>
      </c>
      <c r="E1025" s="27">
        <v>70.040000000000006</v>
      </c>
      <c r="F1025" s="27">
        <v>575.55000000000007</v>
      </c>
      <c r="G1025" s="27">
        <v>824</v>
      </c>
    </row>
    <row r="1026" spans="1:7" ht="15.75" x14ac:dyDescent="0.25">
      <c r="A1026" s="30">
        <v>701</v>
      </c>
      <c r="B1026" s="26">
        <v>11.167999999999999</v>
      </c>
      <c r="C1026" s="27">
        <v>147.81</v>
      </c>
      <c r="D1026" s="28">
        <v>0.627</v>
      </c>
      <c r="E1026" s="27">
        <v>19.97</v>
      </c>
      <c r="F1026" s="27">
        <v>575.55000000000007</v>
      </c>
      <c r="G1026" s="27">
        <v>744</v>
      </c>
    </row>
    <row r="1027" spans="1:7" ht="15.75" x14ac:dyDescent="0.25">
      <c r="A1027" s="30">
        <v>702</v>
      </c>
      <c r="B1027" s="26">
        <v>2.899</v>
      </c>
      <c r="C1027" s="27">
        <v>94.97</v>
      </c>
      <c r="D1027" s="28">
        <v>0.82699999999999996</v>
      </c>
      <c r="E1027" s="27">
        <v>26.34</v>
      </c>
      <c r="F1027" s="27">
        <v>575.55000000000007</v>
      </c>
      <c r="G1027" s="27">
        <v>697</v>
      </c>
    </row>
    <row r="1028" spans="1:7" ht="15.75" x14ac:dyDescent="0.25">
      <c r="A1028" s="30">
        <v>801</v>
      </c>
      <c r="B1028" s="26">
        <v>3.8239999999999998</v>
      </c>
      <c r="C1028" s="27">
        <v>100.88</v>
      </c>
      <c r="D1028" s="28">
        <v>0</v>
      </c>
      <c r="E1028" s="27">
        <v>0</v>
      </c>
      <c r="F1028" s="27">
        <v>575.55000000000007</v>
      </c>
      <c r="G1028" s="27">
        <v>677</v>
      </c>
    </row>
    <row r="1029" spans="1:7" ht="15.75" x14ac:dyDescent="0.25">
      <c r="A1029" s="30">
        <v>802</v>
      </c>
      <c r="B1029" s="26">
        <v>18.873000000000001</v>
      </c>
      <c r="C1029" s="27">
        <v>197.04</v>
      </c>
      <c r="D1029" s="28">
        <v>2.4910000000000001</v>
      </c>
      <c r="E1029" s="27">
        <v>79.34</v>
      </c>
      <c r="F1029" s="63">
        <v>575.55000000000007</v>
      </c>
      <c r="G1029" s="63">
        <v>852</v>
      </c>
    </row>
    <row r="1031" spans="1:7" x14ac:dyDescent="0.25">
      <c r="A1031" s="32"/>
      <c r="B1031" s="7"/>
      <c r="C1031" s="7"/>
      <c r="D1031" s="7"/>
      <c r="E1031" s="7"/>
      <c r="F1031" s="7"/>
      <c r="G1031" s="33"/>
    </row>
    <row r="1032" spans="1:7" x14ac:dyDescent="0.25">
      <c r="A1032" s="32"/>
      <c r="B1032" s="7"/>
      <c r="C1032" s="7"/>
      <c r="D1032" s="7"/>
      <c r="E1032" s="7"/>
      <c r="F1032" s="7"/>
      <c r="G1032" s="33"/>
    </row>
    <row r="1033" spans="1:7" x14ac:dyDescent="0.25">
      <c r="A1033" s="32"/>
      <c r="B1033" s="7"/>
      <c r="C1033" s="7"/>
      <c r="D1033" s="7"/>
      <c r="E1033" s="7"/>
      <c r="F1033" s="7"/>
      <c r="G1033" s="33"/>
    </row>
    <row r="1035" spans="1:7" ht="15.75" x14ac:dyDescent="0.25">
      <c r="A1035" s="34" t="s">
        <v>182</v>
      </c>
      <c r="B1035" s="35"/>
      <c r="C1035" s="35"/>
      <c r="D1035" s="35"/>
      <c r="E1035" s="35"/>
      <c r="F1035" s="36"/>
      <c r="G1035" s="57">
        <v>65606.92</v>
      </c>
    </row>
    <row r="1036" spans="1:7" ht="15.75" x14ac:dyDescent="0.25">
      <c r="A1036" s="37" t="s">
        <v>183</v>
      </c>
      <c r="B1036" s="38"/>
      <c r="C1036" s="38"/>
      <c r="D1036" s="38"/>
      <c r="E1036" s="38"/>
      <c r="F1036" s="39"/>
      <c r="G1036" s="57">
        <v>4200</v>
      </c>
    </row>
    <row r="1037" spans="1:7" ht="15.75" x14ac:dyDescent="0.25">
      <c r="A1037" s="34" t="s">
        <v>184</v>
      </c>
      <c r="B1037" s="35"/>
      <c r="C1037" s="35"/>
      <c r="D1037" s="35"/>
      <c r="E1037" s="35"/>
      <c r="F1037" s="36"/>
      <c r="G1037" s="57">
        <f>G1035+G1036</f>
        <v>69806.92</v>
      </c>
    </row>
    <row r="1038" spans="1:7" ht="18.75" x14ac:dyDescent="0.3">
      <c r="A1038" s="40"/>
      <c r="B1038" s="40"/>
      <c r="C1038" s="40"/>
      <c r="D1038" s="40"/>
      <c r="E1038" s="40"/>
      <c r="F1038" s="40"/>
      <c r="G1038" s="40"/>
    </row>
    <row r="1039" spans="1:7" ht="31.5" customHeight="1" x14ac:dyDescent="0.25">
      <c r="A1039" s="85" t="s">
        <v>54</v>
      </c>
      <c r="B1039" s="86"/>
      <c r="C1039" s="86"/>
      <c r="D1039" s="86"/>
      <c r="E1039" s="86"/>
      <c r="F1039" s="86"/>
      <c r="G1039" s="87"/>
    </row>
    <row r="1040" spans="1:7" ht="15.75" x14ac:dyDescent="0.25">
      <c r="A1040" s="41" t="s">
        <v>36</v>
      </c>
      <c r="B1040" s="42"/>
      <c r="C1040" s="42"/>
      <c r="D1040" s="42"/>
      <c r="E1040" s="42"/>
      <c r="F1040" s="42"/>
      <c r="G1040" s="43"/>
    </row>
    <row r="1041" spans="1:9" ht="15.75" x14ac:dyDescent="0.25">
      <c r="A1041" s="44" t="s">
        <v>37</v>
      </c>
      <c r="B1041" s="45"/>
      <c r="C1041" s="45"/>
      <c r="D1041" s="45"/>
      <c r="E1041" s="45"/>
      <c r="F1041" s="45"/>
      <c r="G1041" s="46"/>
    </row>
    <row r="1042" spans="1:9" ht="15.75" x14ac:dyDescent="0.25">
      <c r="A1042" s="47"/>
      <c r="B1042" s="47"/>
      <c r="C1042" s="47"/>
      <c r="D1042" s="47"/>
      <c r="E1042" s="47"/>
      <c r="F1042" s="47"/>
      <c r="G1042" s="47"/>
    </row>
    <row r="1043" spans="1:9" ht="15.75" x14ac:dyDescent="0.25">
      <c r="A1043" s="48" t="s">
        <v>50</v>
      </c>
      <c r="B1043" s="49"/>
      <c r="C1043" s="49"/>
      <c r="D1043" s="49"/>
      <c r="E1043" s="49"/>
      <c r="F1043" s="49"/>
      <c r="G1043" s="50"/>
    </row>
    <row r="1044" spans="1:9" ht="15.75" x14ac:dyDescent="0.25">
      <c r="A1044" s="47"/>
      <c r="B1044" s="47"/>
      <c r="C1044" s="47"/>
      <c r="D1044" s="47"/>
      <c r="E1044" s="47"/>
      <c r="F1044" s="47"/>
      <c r="G1044" s="47"/>
    </row>
    <row r="1045" spans="1:9" ht="15.75" x14ac:dyDescent="0.25">
      <c r="A1045" s="47"/>
      <c r="B1045" s="47"/>
      <c r="C1045" s="47"/>
      <c r="D1045" s="47"/>
      <c r="E1045" s="47"/>
      <c r="F1045" s="47"/>
      <c r="G1045" s="47"/>
    </row>
    <row r="1046" spans="1:9" ht="15.75" x14ac:dyDescent="0.25">
      <c r="A1046" s="47"/>
      <c r="B1046" s="47"/>
      <c r="C1046" s="47"/>
      <c r="D1046" s="47"/>
      <c r="E1046" s="47"/>
      <c r="F1046" s="47"/>
      <c r="G1046" s="47"/>
    </row>
    <row r="1053" spans="1:9" ht="21" x14ac:dyDescent="0.35">
      <c r="A1053" s="88" t="s">
        <v>20</v>
      </c>
      <c r="B1053" s="89"/>
      <c r="C1053" s="89"/>
      <c r="D1053" s="89"/>
      <c r="E1053" s="89"/>
      <c r="F1053" s="89"/>
      <c r="G1053" s="90"/>
      <c r="H1053" s="56"/>
      <c r="I1053" s="56"/>
    </row>
    <row r="1056" spans="1:9" ht="17.25" x14ac:dyDescent="0.3">
      <c r="A1056" s="51" t="s">
        <v>185</v>
      </c>
      <c r="B1056" s="51"/>
      <c r="C1056" s="51"/>
      <c r="D1056" s="51"/>
      <c r="E1056" s="51"/>
      <c r="F1056" s="51"/>
      <c r="G1056" s="51"/>
      <c r="H1056" s="51"/>
      <c r="I1056" s="51"/>
    </row>
    <row r="1057" spans="1:9" ht="17.25" x14ac:dyDescent="0.3">
      <c r="A1057" s="51"/>
      <c r="B1057" s="51"/>
      <c r="C1057" s="51"/>
      <c r="D1057" s="51"/>
      <c r="E1057" s="51"/>
      <c r="F1057" s="51"/>
      <c r="G1057" s="51"/>
      <c r="H1057" s="51"/>
      <c r="I1057" s="51"/>
    </row>
    <row r="1058" spans="1:9" ht="17.25" x14ac:dyDescent="0.3">
      <c r="A1058" s="51" t="s">
        <v>186</v>
      </c>
      <c r="B1058" s="51"/>
      <c r="C1058" s="51"/>
      <c r="D1058" s="51"/>
      <c r="E1058" s="51"/>
      <c r="F1058" s="51"/>
      <c r="G1058" s="51"/>
      <c r="H1058" s="51"/>
      <c r="I1058" s="51"/>
    </row>
    <row r="1059" spans="1:9" ht="17.25" x14ac:dyDescent="0.3">
      <c r="A1059" s="51"/>
      <c r="B1059" s="51"/>
      <c r="C1059" s="51"/>
      <c r="D1059" s="51"/>
      <c r="E1059" s="51"/>
      <c r="F1059" s="51"/>
      <c r="G1059" s="51"/>
      <c r="H1059" s="51"/>
      <c r="I1059" s="51"/>
    </row>
    <row r="1060" spans="1:9" ht="17.25" x14ac:dyDescent="0.3">
      <c r="A1060" s="51"/>
      <c r="B1060" s="51"/>
      <c r="C1060" s="51"/>
      <c r="D1060" s="51"/>
      <c r="E1060" s="51"/>
      <c r="F1060" s="51"/>
      <c r="G1060" s="51"/>
      <c r="H1060" s="51"/>
      <c r="I1060" s="51"/>
    </row>
    <row r="1061" spans="1:9" ht="17.25" x14ac:dyDescent="0.3">
      <c r="A1061" s="51" t="s">
        <v>187</v>
      </c>
      <c r="B1061" s="51"/>
      <c r="C1061" s="51"/>
      <c r="D1061" s="51"/>
      <c r="E1061" s="51"/>
      <c r="F1061" s="51"/>
      <c r="G1061" s="51"/>
      <c r="H1061" s="51"/>
      <c r="I1061" s="51"/>
    </row>
    <row r="1062" spans="1:9" ht="17.25" x14ac:dyDescent="0.3">
      <c r="A1062" s="51"/>
      <c r="B1062" s="51"/>
      <c r="C1062" s="51"/>
      <c r="D1062" s="51"/>
      <c r="E1062" s="51"/>
      <c r="F1062" s="51"/>
      <c r="G1062" s="51"/>
      <c r="H1062" s="51"/>
      <c r="I1062" s="51"/>
    </row>
    <row r="1063" spans="1:9" ht="17.25" x14ac:dyDescent="0.3">
      <c r="A1063" s="51" t="s">
        <v>40</v>
      </c>
      <c r="B1063" s="51"/>
      <c r="C1063" s="51"/>
      <c r="D1063" s="51"/>
      <c r="E1063" s="51"/>
      <c r="F1063" s="51"/>
      <c r="G1063" s="51"/>
      <c r="H1063" s="51"/>
      <c r="I1063" s="51"/>
    </row>
    <row r="1064" spans="1:9" ht="17.25" x14ac:dyDescent="0.3">
      <c r="A1064" s="51"/>
      <c r="B1064" s="51"/>
      <c r="C1064" s="51"/>
      <c r="D1064" s="51"/>
      <c r="E1064" s="51"/>
      <c r="F1064" s="51"/>
      <c r="G1064" s="51"/>
      <c r="H1064" s="51"/>
      <c r="I1064" s="51"/>
    </row>
    <row r="1065" spans="1:9" ht="33" customHeight="1" x14ac:dyDescent="0.3">
      <c r="A1065" s="91" t="s">
        <v>188</v>
      </c>
      <c r="B1065" s="91"/>
      <c r="C1065" s="91"/>
      <c r="D1065" s="91"/>
      <c r="E1065" s="91"/>
      <c r="F1065" s="91"/>
      <c r="G1065" s="91"/>
      <c r="H1065" s="55"/>
      <c r="I1065" s="55"/>
    </row>
    <row r="1066" spans="1:9" ht="17.25" x14ac:dyDescent="0.3">
      <c r="A1066" s="51"/>
      <c r="B1066" s="51"/>
      <c r="C1066" s="51"/>
      <c r="D1066" s="51"/>
      <c r="E1066" s="51"/>
      <c r="F1066" s="51"/>
      <c r="G1066" s="51"/>
      <c r="H1066" s="51"/>
      <c r="I1066" s="51"/>
    </row>
    <row r="1067" spans="1:9" ht="33" customHeight="1" x14ac:dyDescent="0.3">
      <c r="A1067" s="91" t="s">
        <v>189</v>
      </c>
      <c r="B1067" s="91"/>
      <c r="C1067" s="91"/>
      <c r="D1067" s="91"/>
      <c r="E1067" s="91"/>
      <c r="F1067" s="91"/>
      <c r="G1067" s="91"/>
      <c r="H1067" s="55"/>
      <c r="I1067" s="55"/>
    </row>
    <row r="1068" spans="1:9" ht="17.25" x14ac:dyDescent="0.3">
      <c r="A1068" s="51"/>
      <c r="B1068" s="51"/>
      <c r="C1068" s="51"/>
      <c r="D1068" s="51"/>
      <c r="E1068" s="51"/>
      <c r="F1068" s="51"/>
      <c r="G1068" s="51"/>
      <c r="H1068" s="51"/>
      <c r="I1068" s="51"/>
    </row>
    <row r="1069" spans="1:9" ht="33" customHeight="1" x14ac:dyDescent="0.3">
      <c r="A1069" s="91" t="s">
        <v>190</v>
      </c>
      <c r="B1069" s="91"/>
      <c r="C1069" s="91"/>
      <c r="D1069" s="91"/>
      <c r="E1069" s="91"/>
      <c r="F1069" s="91"/>
      <c r="G1069" s="91"/>
      <c r="H1069" s="55"/>
      <c r="I1069" s="55"/>
    </row>
    <row r="1071" spans="1:9" ht="18.75" x14ac:dyDescent="0.3">
      <c r="A1071" s="1" t="s">
        <v>191</v>
      </c>
      <c r="B1071" s="2"/>
      <c r="C1071" s="2"/>
      <c r="D1071" s="2"/>
      <c r="E1071" s="2"/>
      <c r="F1071" s="2"/>
      <c r="G1071" s="53"/>
    </row>
    <row r="1072" spans="1:9" ht="15.75" x14ac:dyDescent="0.25">
      <c r="A1072" s="3" t="s">
        <v>1</v>
      </c>
      <c r="B1072" s="3" t="s">
        <v>2</v>
      </c>
      <c r="C1072" s="4" t="s">
        <v>3</v>
      </c>
      <c r="D1072" s="4"/>
      <c r="E1072" s="4"/>
      <c r="F1072" s="4"/>
      <c r="G1072" s="62" t="s">
        <v>30</v>
      </c>
    </row>
    <row r="1073" spans="1:7" ht="15.75" x14ac:dyDescent="0.25">
      <c r="A1073" s="5">
        <v>45334</v>
      </c>
      <c r="B1073" s="6" t="s">
        <v>4</v>
      </c>
      <c r="C1073" s="7" t="s">
        <v>5</v>
      </c>
      <c r="D1073" s="7"/>
      <c r="E1073" s="7"/>
      <c r="F1073" s="7"/>
      <c r="G1073" s="52">
        <v>1255.08</v>
      </c>
    </row>
    <row r="1074" spans="1:7" ht="15.75" x14ac:dyDescent="0.25">
      <c r="A1074" s="5">
        <v>45337</v>
      </c>
      <c r="B1074" s="6" t="s">
        <v>4</v>
      </c>
      <c r="C1074" s="7" t="s">
        <v>61</v>
      </c>
      <c r="D1074" s="7"/>
      <c r="E1074" s="7"/>
      <c r="F1074" s="7"/>
      <c r="G1074" s="52">
        <v>1089.71</v>
      </c>
    </row>
    <row r="1075" spans="1:7" ht="15.75" x14ac:dyDescent="0.25">
      <c r="A1075" s="5">
        <v>45337</v>
      </c>
      <c r="B1075" s="6" t="s">
        <v>4</v>
      </c>
      <c r="C1075" s="7" t="s">
        <v>8</v>
      </c>
      <c r="D1075" s="7"/>
      <c r="E1075" s="7"/>
      <c r="F1075" s="7"/>
      <c r="G1075" s="52">
        <v>408.09999999999945</v>
      </c>
    </row>
    <row r="1076" spans="1:7" ht="15.75" x14ac:dyDescent="0.25">
      <c r="A1076" s="5">
        <v>45341</v>
      </c>
      <c r="B1076" s="6" t="s">
        <v>4</v>
      </c>
      <c r="C1076" s="7" t="s">
        <v>9</v>
      </c>
      <c r="D1076" s="7"/>
      <c r="E1076" s="7"/>
      <c r="F1076" s="7"/>
      <c r="G1076" s="52">
        <v>323.68</v>
      </c>
    </row>
    <row r="1077" spans="1:7" ht="15.75" x14ac:dyDescent="0.25">
      <c r="A1077" s="5">
        <v>45342</v>
      </c>
      <c r="B1077" s="6" t="s">
        <v>4</v>
      </c>
      <c r="C1077" s="7" t="s">
        <v>47</v>
      </c>
      <c r="D1077" s="7"/>
      <c r="E1077" s="7"/>
      <c r="F1077" s="7"/>
      <c r="G1077" s="52">
        <v>208.27</v>
      </c>
    </row>
    <row r="1078" spans="1:7" ht="15.75" x14ac:dyDescent="0.25">
      <c r="A1078" s="5">
        <v>45300</v>
      </c>
      <c r="B1078" s="6" t="s">
        <v>4</v>
      </c>
      <c r="C1078" s="7" t="s">
        <v>193</v>
      </c>
      <c r="D1078" s="7"/>
      <c r="E1078" s="7"/>
      <c r="F1078" s="7"/>
      <c r="G1078" s="52">
        <v>39.799999999999997</v>
      </c>
    </row>
    <row r="1079" spans="1:7" ht="15.75" x14ac:dyDescent="0.25">
      <c r="A1079" s="8">
        <v>45309</v>
      </c>
      <c r="B1079" s="6" t="s">
        <v>4</v>
      </c>
      <c r="C1079" s="66" t="s">
        <v>194</v>
      </c>
      <c r="D1079" s="7"/>
      <c r="E1079" s="7"/>
      <c r="F1079" s="7"/>
      <c r="G1079" s="52">
        <v>21</v>
      </c>
    </row>
    <row r="1080" spans="1:7" ht="15.75" x14ac:dyDescent="0.25">
      <c r="A1080" s="8">
        <v>45334</v>
      </c>
      <c r="B1080" s="54" t="s">
        <v>4</v>
      </c>
      <c r="C1080" s="7" t="s">
        <v>195</v>
      </c>
      <c r="D1080" s="7"/>
      <c r="E1080" s="7"/>
      <c r="F1080" s="7"/>
      <c r="G1080" s="52">
        <v>350</v>
      </c>
    </row>
    <row r="1081" spans="1:7" ht="15.75" x14ac:dyDescent="0.25">
      <c r="A1081" s="8">
        <v>45348</v>
      </c>
      <c r="B1081" s="64" t="s">
        <v>4</v>
      </c>
      <c r="C1081" s="32" t="s">
        <v>12</v>
      </c>
      <c r="D1081" s="7"/>
      <c r="E1081" s="7"/>
      <c r="F1081" s="7"/>
      <c r="G1081" s="52">
        <v>189.12</v>
      </c>
    </row>
    <row r="1082" spans="1:7" ht="15.75" x14ac:dyDescent="0.25">
      <c r="A1082" s="8">
        <v>45350</v>
      </c>
      <c r="B1082" s="64" t="s">
        <v>4</v>
      </c>
      <c r="C1082" s="32" t="s">
        <v>14</v>
      </c>
      <c r="D1082" s="7"/>
      <c r="E1082" s="7"/>
      <c r="F1082" s="7"/>
      <c r="G1082" s="52">
        <v>130</v>
      </c>
    </row>
    <row r="1083" spans="1:7" ht="15.75" x14ac:dyDescent="0.25">
      <c r="A1083" s="5">
        <v>45323</v>
      </c>
      <c r="B1083" s="6" t="s">
        <v>4</v>
      </c>
      <c r="C1083" s="7" t="s">
        <v>15</v>
      </c>
      <c r="D1083" s="7"/>
      <c r="E1083" s="7"/>
      <c r="F1083" s="7"/>
      <c r="G1083" s="52">
        <v>60</v>
      </c>
    </row>
    <row r="1084" spans="1:7" ht="21" x14ac:dyDescent="0.35">
      <c r="A1084" s="9" t="s">
        <v>16</v>
      </c>
      <c r="B1084" s="10"/>
      <c r="C1084" s="11"/>
      <c r="D1084" s="11"/>
      <c r="E1084" s="11"/>
      <c r="F1084" s="11"/>
      <c r="G1084" s="12">
        <f>SUM(G1073:G1083)</f>
        <v>4074.7599999999993</v>
      </c>
    </row>
    <row r="1085" spans="1:7" ht="21" x14ac:dyDescent="0.35">
      <c r="A1085" s="13" t="s">
        <v>17</v>
      </c>
      <c r="B1085" s="11"/>
      <c r="C1085" s="11"/>
      <c r="D1085" s="11"/>
      <c r="E1085" s="11"/>
      <c r="F1085" s="11"/>
      <c r="G1085" s="14">
        <f>ROUND(G1084/14,2)</f>
        <v>291.05</v>
      </c>
    </row>
    <row r="1086" spans="1:7" ht="21" x14ac:dyDescent="0.35">
      <c r="A1086" s="13" t="s">
        <v>74</v>
      </c>
      <c r="B1086" s="11"/>
      <c r="C1086" s="11"/>
      <c r="D1086" s="11"/>
      <c r="E1086" s="11"/>
      <c r="F1086" s="11"/>
      <c r="G1086" s="14">
        <f>ROUND(G1085/13,2)</f>
        <v>22.39</v>
      </c>
    </row>
    <row r="1087" spans="1:7" ht="21" x14ac:dyDescent="0.35">
      <c r="A1087" s="13" t="s">
        <v>196</v>
      </c>
      <c r="B1087" s="11"/>
      <c r="C1087" s="11"/>
      <c r="D1087" s="11"/>
      <c r="E1087" s="11"/>
      <c r="F1087" s="11"/>
      <c r="G1087" s="14">
        <v>300</v>
      </c>
    </row>
    <row r="1088" spans="1:7" ht="21" x14ac:dyDescent="0.35">
      <c r="A1088" s="13" t="s">
        <v>19</v>
      </c>
      <c r="B1088" s="11"/>
      <c r="C1088" s="11"/>
      <c r="D1088" s="11"/>
      <c r="E1088" s="11"/>
      <c r="F1088" s="11"/>
      <c r="G1088" s="12">
        <f>G1085+G1086+G1087</f>
        <v>613.44000000000005</v>
      </c>
    </row>
    <row r="1094" spans="1:7" ht="21" x14ac:dyDescent="0.35">
      <c r="A1094" s="88" t="s">
        <v>20</v>
      </c>
      <c r="B1094" s="89"/>
      <c r="C1094" s="89"/>
      <c r="D1094" s="89"/>
      <c r="E1094" s="89"/>
      <c r="F1094" s="89"/>
      <c r="G1094" s="90"/>
    </row>
    <row r="1097" spans="1:7" ht="18.75" x14ac:dyDescent="0.25">
      <c r="A1097" s="19" t="s">
        <v>192</v>
      </c>
      <c r="B1097" s="15"/>
      <c r="C1097" s="15"/>
      <c r="D1097" s="15"/>
      <c r="E1097" s="15"/>
      <c r="F1097" s="15"/>
      <c r="G1097" s="16"/>
    </row>
    <row r="1098" spans="1:7" ht="15.75" x14ac:dyDescent="0.25">
      <c r="A1098" s="17"/>
      <c r="B1098" s="18"/>
      <c r="C1098" s="18"/>
      <c r="D1098" s="18"/>
      <c r="E1098" s="18"/>
      <c r="F1098" s="18"/>
      <c r="G1098" s="18"/>
    </row>
    <row r="1099" spans="1:7" ht="15.75" x14ac:dyDescent="0.25">
      <c r="A1099" s="17"/>
      <c r="B1099" s="18"/>
      <c r="C1099" s="18"/>
      <c r="D1099" s="18"/>
      <c r="E1099" s="18"/>
      <c r="F1099" s="18"/>
      <c r="G1099" s="18"/>
    </row>
    <row r="1100" spans="1:7" ht="15.75" x14ac:dyDescent="0.25">
      <c r="A1100" s="20" t="s">
        <v>22</v>
      </c>
      <c r="B1100" s="21" t="s">
        <v>23</v>
      </c>
      <c r="C1100" s="22"/>
      <c r="D1100" s="21" t="s">
        <v>24</v>
      </c>
      <c r="E1100" s="22"/>
      <c r="F1100" s="59" t="s">
        <v>25</v>
      </c>
      <c r="G1100" s="60" t="s">
        <v>26</v>
      </c>
    </row>
    <row r="1101" spans="1:7" ht="15.75" x14ac:dyDescent="0.25">
      <c r="A1101" s="23" t="s">
        <v>27</v>
      </c>
      <c r="B1101" s="24" t="s">
        <v>28</v>
      </c>
      <c r="C1101" s="24" t="s">
        <v>29</v>
      </c>
      <c r="D1101" s="24" t="s">
        <v>28</v>
      </c>
      <c r="E1101" s="24" t="s">
        <v>30</v>
      </c>
      <c r="F1101" s="58" t="s">
        <v>31</v>
      </c>
      <c r="G1101" s="61" t="s">
        <v>31</v>
      </c>
    </row>
    <row r="1102" spans="1:7" ht="15.75" x14ac:dyDescent="0.25">
      <c r="A1102" s="25" t="s">
        <v>32</v>
      </c>
      <c r="B1102" s="26">
        <v>41.803000000000054</v>
      </c>
      <c r="C1102" s="27">
        <v>408.09999999999945</v>
      </c>
      <c r="D1102" s="28">
        <v>0</v>
      </c>
      <c r="E1102" s="27">
        <v>0</v>
      </c>
      <c r="F1102" s="29">
        <v>0</v>
      </c>
      <c r="G1102" s="27">
        <v>0</v>
      </c>
    </row>
    <row r="1103" spans="1:7" ht="15.75" x14ac:dyDescent="0.25">
      <c r="A1103" s="30">
        <v>201</v>
      </c>
      <c r="B1103" s="26">
        <v>17.401</v>
      </c>
      <c r="C1103" s="27">
        <v>230.49</v>
      </c>
      <c r="D1103" s="31">
        <v>0.03</v>
      </c>
      <c r="E1103" s="27">
        <v>0.96</v>
      </c>
      <c r="F1103" s="27">
        <v>613.44000000000005</v>
      </c>
      <c r="G1103" s="27">
        <v>845</v>
      </c>
    </row>
    <row r="1104" spans="1:7" ht="15.75" x14ac:dyDescent="0.25">
      <c r="A1104" s="30">
        <v>202</v>
      </c>
      <c r="B1104" s="26">
        <v>48.944000000000003</v>
      </c>
      <c r="C1104" s="27">
        <v>458.86</v>
      </c>
      <c r="D1104" s="28">
        <v>5.0590000000000002</v>
      </c>
      <c r="E1104" s="27">
        <v>162.01</v>
      </c>
      <c r="F1104" s="27">
        <v>613.44000000000005</v>
      </c>
      <c r="G1104" s="27">
        <v>1235</v>
      </c>
    </row>
    <row r="1105" spans="1:7" ht="15.75" x14ac:dyDescent="0.25">
      <c r="A1105" s="30">
        <v>301</v>
      </c>
      <c r="B1105" s="26">
        <v>22.042999999999999</v>
      </c>
      <c r="C1105" s="27">
        <v>264.10000000000002</v>
      </c>
      <c r="D1105" s="28">
        <v>3.3359999999999999</v>
      </c>
      <c r="E1105" s="27">
        <v>106.84</v>
      </c>
      <c r="F1105" s="27">
        <v>613.44000000000005</v>
      </c>
      <c r="G1105" s="27">
        <v>985</v>
      </c>
    </row>
    <row r="1106" spans="1:7" ht="15.75" x14ac:dyDescent="0.25">
      <c r="A1106" s="30">
        <v>302</v>
      </c>
      <c r="B1106" s="26">
        <v>16.434000000000001</v>
      </c>
      <c r="C1106" s="27">
        <v>223.49</v>
      </c>
      <c r="D1106" s="28">
        <v>3.6579999999999999</v>
      </c>
      <c r="E1106" s="27">
        <v>117.15</v>
      </c>
      <c r="F1106" s="27">
        <v>613.44000000000005</v>
      </c>
      <c r="G1106" s="27">
        <v>955</v>
      </c>
    </row>
    <row r="1107" spans="1:7" ht="15.75" x14ac:dyDescent="0.25">
      <c r="A1107" s="30">
        <v>401</v>
      </c>
      <c r="B1107" s="26">
        <v>13.927</v>
      </c>
      <c r="C1107" s="27">
        <v>205.34</v>
      </c>
      <c r="D1107" s="28">
        <v>2.0019999999999998</v>
      </c>
      <c r="E1107" s="27">
        <v>64.11</v>
      </c>
      <c r="F1107" s="27">
        <v>613.44000000000005</v>
      </c>
      <c r="G1107" s="27">
        <v>883</v>
      </c>
    </row>
    <row r="1108" spans="1:7" ht="15.75" x14ac:dyDescent="0.25">
      <c r="A1108" s="30">
        <v>402</v>
      </c>
      <c r="B1108" s="26">
        <v>25.506</v>
      </c>
      <c r="C1108" s="27">
        <v>289.17</v>
      </c>
      <c r="D1108" s="28">
        <v>4.8490000000000002</v>
      </c>
      <c r="E1108" s="27">
        <v>155.29</v>
      </c>
      <c r="F1108" s="27">
        <v>613.44000000000005</v>
      </c>
      <c r="G1108" s="27">
        <v>1058</v>
      </c>
    </row>
    <row r="1109" spans="1:7" ht="15.75" x14ac:dyDescent="0.25">
      <c r="A1109" s="30">
        <v>501</v>
      </c>
      <c r="B1109" s="26">
        <v>11.808</v>
      </c>
      <c r="C1109" s="27">
        <v>189.99</v>
      </c>
      <c r="D1109" s="28">
        <v>0.95</v>
      </c>
      <c r="E1109" s="27">
        <v>30.42</v>
      </c>
      <c r="F1109" s="27">
        <v>613.44000000000005</v>
      </c>
      <c r="G1109" s="27">
        <v>834</v>
      </c>
    </row>
    <row r="1110" spans="1:7" ht="15.75" x14ac:dyDescent="0.25">
      <c r="A1110" s="30">
        <v>502</v>
      </c>
      <c r="B1110" s="26">
        <v>15.07</v>
      </c>
      <c r="C1110" s="27">
        <v>213.61</v>
      </c>
      <c r="D1110" s="28">
        <v>1.6759999999999999</v>
      </c>
      <c r="E1110" s="27">
        <v>53.67</v>
      </c>
      <c r="F1110" s="27">
        <v>613.44000000000005</v>
      </c>
      <c r="G1110" s="27">
        <v>881</v>
      </c>
    </row>
    <row r="1111" spans="1:7" ht="15.75" x14ac:dyDescent="0.25">
      <c r="A1111" s="30">
        <v>601</v>
      </c>
      <c r="B1111" s="26">
        <v>16.023</v>
      </c>
      <c r="C1111" s="27">
        <v>220.51</v>
      </c>
      <c r="D1111" s="28">
        <v>0.13900000000000001</v>
      </c>
      <c r="E1111" s="27">
        <v>4.45</v>
      </c>
      <c r="F1111" s="27">
        <v>613.44000000000005</v>
      </c>
      <c r="G1111" s="27">
        <v>839</v>
      </c>
    </row>
    <row r="1112" spans="1:7" ht="15.75" x14ac:dyDescent="0.25">
      <c r="A1112" s="30">
        <v>602</v>
      </c>
      <c r="B1112" s="26">
        <v>26.259</v>
      </c>
      <c r="C1112" s="27">
        <v>294.62</v>
      </c>
      <c r="D1112" s="28">
        <v>1.9970000000000001</v>
      </c>
      <c r="E1112" s="27">
        <v>63.95</v>
      </c>
      <c r="F1112" s="27">
        <v>613.44000000000005</v>
      </c>
      <c r="G1112" s="27">
        <v>973</v>
      </c>
    </row>
    <row r="1113" spans="1:7" ht="15.75" x14ac:dyDescent="0.25">
      <c r="A1113" s="30">
        <v>701</v>
      </c>
      <c r="B1113" s="26">
        <v>13.656000000000001</v>
      </c>
      <c r="C1113" s="27">
        <v>203.37</v>
      </c>
      <c r="D1113" s="28">
        <v>1.1180000000000001</v>
      </c>
      <c r="E1113" s="27">
        <v>35.799999999999997</v>
      </c>
      <c r="F1113" s="27">
        <v>613.44000000000005</v>
      </c>
      <c r="G1113" s="27">
        <v>853</v>
      </c>
    </row>
    <row r="1114" spans="1:7" ht="15.75" x14ac:dyDescent="0.25">
      <c r="A1114" s="30">
        <v>702</v>
      </c>
      <c r="B1114" s="26">
        <v>2.94</v>
      </c>
      <c r="C1114" s="27">
        <v>125.79</v>
      </c>
      <c r="D1114" s="28">
        <v>1.004</v>
      </c>
      <c r="E1114" s="27">
        <v>32.15</v>
      </c>
      <c r="F1114" s="27">
        <v>613.44000000000005</v>
      </c>
      <c r="G1114" s="27">
        <v>772</v>
      </c>
    </row>
    <row r="1115" spans="1:7" ht="15.75" x14ac:dyDescent="0.25">
      <c r="A1115" s="30">
        <v>801</v>
      </c>
      <c r="B1115" s="26">
        <v>2.141</v>
      </c>
      <c r="C1115" s="27">
        <v>120.01</v>
      </c>
      <c r="D1115" s="28">
        <v>0</v>
      </c>
      <c r="E1115" s="27">
        <v>0</v>
      </c>
      <c r="F1115" s="27">
        <v>613.44000000000005</v>
      </c>
      <c r="G1115" s="27">
        <v>734</v>
      </c>
    </row>
    <row r="1116" spans="1:7" ht="15.75" x14ac:dyDescent="0.25">
      <c r="A1116" s="30">
        <v>802</v>
      </c>
      <c r="B1116" s="26">
        <v>19.045000000000002</v>
      </c>
      <c r="C1116" s="27">
        <v>242.39</v>
      </c>
      <c r="D1116" s="28">
        <v>2.2010000000000001</v>
      </c>
      <c r="E1116" s="27">
        <v>70.489999999999995</v>
      </c>
      <c r="F1116" s="63">
        <v>613.44000000000005</v>
      </c>
      <c r="G1116" s="63">
        <v>927</v>
      </c>
    </row>
    <row r="1118" spans="1:7" x14ac:dyDescent="0.25">
      <c r="A1118" s="32"/>
      <c r="B1118" s="7"/>
      <c r="C1118" s="7"/>
      <c r="D1118" s="7"/>
      <c r="E1118" s="7"/>
      <c r="F1118" s="7"/>
      <c r="G1118" s="33"/>
    </row>
    <row r="1119" spans="1:7" x14ac:dyDescent="0.25">
      <c r="A1119" s="32"/>
      <c r="B1119" s="7"/>
      <c r="C1119" s="7"/>
      <c r="D1119" s="7"/>
      <c r="E1119" s="7"/>
      <c r="F1119" s="7"/>
      <c r="G1119" s="33"/>
    </row>
    <row r="1120" spans="1:7" x14ac:dyDescent="0.25">
      <c r="A1120" s="32"/>
      <c r="B1120" s="7"/>
      <c r="C1120" s="7"/>
      <c r="D1120" s="7"/>
      <c r="E1120" s="7"/>
      <c r="F1120" s="7"/>
      <c r="G1120" s="33"/>
    </row>
    <row r="1122" spans="1:7" ht="15.75" x14ac:dyDescent="0.25">
      <c r="A1122" s="34" t="s">
        <v>197</v>
      </c>
      <c r="B1122" s="35"/>
      <c r="C1122" s="35"/>
      <c r="D1122" s="35"/>
      <c r="E1122" s="35"/>
      <c r="F1122" s="36"/>
      <c r="G1122" s="57">
        <v>69806.92</v>
      </c>
    </row>
    <row r="1123" spans="1:7" ht="15.75" x14ac:dyDescent="0.25">
      <c r="A1123" s="37" t="s">
        <v>198</v>
      </c>
      <c r="B1123" s="38"/>
      <c r="C1123" s="38"/>
      <c r="D1123" s="38"/>
      <c r="E1123" s="38"/>
      <c r="F1123" s="39"/>
      <c r="G1123" s="57">
        <v>4200</v>
      </c>
    </row>
    <row r="1124" spans="1:7" ht="15.75" x14ac:dyDescent="0.25">
      <c r="A1124" s="34" t="s">
        <v>199</v>
      </c>
      <c r="B1124" s="35"/>
      <c r="C1124" s="35"/>
      <c r="D1124" s="35"/>
      <c r="E1124" s="35"/>
      <c r="F1124" s="36"/>
      <c r="G1124" s="57">
        <f>G1122+G1123</f>
        <v>74006.92</v>
      </c>
    </row>
    <row r="1125" spans="1:7" ht="18.75" x14ac:dyDescent="0.3">
      <c r="A1125" s="40"/>
      <c r="B1125" s="40"/>
      <c r="C1125" s="40"/>
      <c r="D1125" s="40"/>
      <c r="E1125" s="40"/>
      <c r="F1125" s="40"/>
      <c r="G1125" s="40"/>
    </row>
    <row r="1126" spans="1:7" ht="31.5" customHeight="1" x14ac:dyDescent="0.25">
      <c r="A1126" s="85" t="s">
        <v>54</v>
      </c>
      <c r="B1126" s="86"/>
      <c r="C1126" s="86"/>
      <c r="D1126" s="86"/>
      <c r="E1126" s="86"/>
      <c r="F1126" s="86"/>
      <c r="G1126" s="87"/>
    </row>
    <row r="1127" spans="1:7" ht="15.75" x14ac:dyDescent="0.25">
      <c r="A1127" s="41" t="s">
        <v>36</v>
      </c>
      <c r="B1127" s="42"/>
      <c r="C1127" s="42"/>
      <c r="D1127" s="42"/>
      <c r="E1127" s="42"/>
      <c r="F1127" s="42"/>
      <c r="G1127" s="43"/>
    </row>
    <row r="1128" spans="1:7" ht="15.75" x14ac:dyDescent="0.25">
      <c r="A1128" s="44" t="s">
        <v>37</v>
      </c>
      <c r="B1128" s="45"/>
      <c r="C1128" s="45"/>
      <c r="D1128" s="45"/>
      <c r="E1128" s="45"/>
      <c r="F1128" s="45"/>
      <c r="G1128" s="46"/>
    </row>
    <row r="1129" spans="1:7" ht="15.75" x14ac:dyDescent="0.25">
      <c r="A1129" s="47"/>
      <c r="B1129" s="47"/>
      <c r="C1129" s="47"/>
      <c r="D1129" s="47"/>
      <c r="E1129" s="47"/>
      <c r="F1129" s="47"/>
      <c r="G1129" s="47"/>
    </row>
    <row r="1130" spans="1:7" ht="15.75" x14ac:dyDescent="0.25">
      <c r="A1130" s="48" t="s">
        <v>50</v>
      </c>
      <c r="B1130" s="49"/>
      <c r="C1130" s="49"/>
      <c r="D1130" s="49"/>
      <c r="E1130" s="49"/>
      <c r="F1130" s="49"/>
      <c r="G1130" s="50"/>
    </row>
    <row r="1131" spans="1:7" ht="15.75" x14ac:dyDescent="0.25">
      <c r="A1131" s="47"/>
      <c r="B1131" s="47"/>
      <c r="C1131" s="47"/>
      <c r="D1131" s="47"/>
      <c r="E1131" s="47"/>
      <c r="F1131" s="47"/>
      <c r="G1131" s="47"/>
    </row>
    <row r="1132" spans="1:7" ht="15.75" x14ac:dyDescent="0.25">
      <c r="A1132" s="47"/>
      <c r="B1132" s="47"/>
      <c r="C1132" s="47"/>
      <c r="D1132" s="47"/>
      <c r="E1132" s="47"/>
      <c r="F1132" s="47"/>
      <c r="G1132" s="47"/>
    </row>
    <row r="1133" spans="1:7" ht="15.75" x14ac:dyDescent="0.25">
      <c r="A1133" s="47"/>
      <c r="B1133" s="47"/>
      <c r="C1133" s="47"/>
      <c r="D1133" s="47"/>
      <c r="E1133" s="47"/>
      <c r="F1133" s="47"/>
      <c r="G1133" s="47"/>
    </row>
    <row r="1140" spans="1:9" ht="21" x14ac:dyDescent="0.35">
      <c r="A1140" s="88" t="s">
        <v>20</v>
      </c>
      <c r="B1140" s="89"/>
      <c r="C1140" s="89"/>
      <c r="D1140" s="89"/>
      <c r="E1140" s="89"/>
      <c r="F1140" s="89"/>
      <c r="G1140" s="90"/>
      <c r="H1140" s="56"/>
      <c r="I1140" s="56"/>
    </row>
    <row r="1142" spans="1:9" ht="17.25" x14ac:dyDescent="0.3">
      <c r="A1142" s="51" t="s">
        <v>200</v>
      </c>
      <c r="B1142" s="51"/>
      <c r="C1142" s="51"/>
      <c r="D1142" s="51"/>
      <c r="E1142" s="51"/>
      <c r="F1142" s="51"/>
      <c r="G1142" s="51"/>
      <c r="H1142" s="51"/>
      <c r="I1142" s="51"/>
    </row>
    <row r="1143" spans="1:9" ht="17.25" x14ac:dyDescent="0.3">
      <c r="A1143" s="51"/>
      <c r="B1143" s="51"/>
      <c r="C1143" s="51"/>
      <c r="D1143" s="51"/>
      <c r="E1143" s="51"/>
      <c r="F1143" s="51"/>
      <c r="G1143" s="51"/>
      <c r="H1143" s="51"/>
      <c r="I1143" s="51"/>
    </row>
    <row r="1144" spans="1:9" ht="17.25" x14ac:dyDescent="0.3">
      <c r="A1144" s="51" t="s">
        <v>201</v>
      </c>
      <c r="B1144" s="51"/>
      <c r="C1144" s="51"/>
      <c r="D1144" s="51"/>
      <c r="E1144" s="51"/>
      <c r="F1144" s="51"/>
      <c r="G1144" s="51"/>
      <c r="H1144" s="51"/>
      <c r="I1144" s="51"/>
    </row>
    <row r="1145" spans="1:9" ht="17.25" x14ac:dyDescent="0.3">
      <c r="A1145" s="51"/>
      <c r="B1145" s="51"/>
      <c r="C1145" s="51"/>
      <c r="D1145" s="51"/>
      <c r="E1145" s="51"/>
      <c r="F1145" s="51"/>
      <c r="G1145" s="51"/>
      <c r="H1145" s="51"/>
      <c r="I1145" s="51"/>
    </row>
    <row r="1146" spans="1:9" ht="17.25" x14ac:dyDescent="0.3">
      <c r="A1146" s="51" t="s">
        <v>202</v>
      </c>
      <c r="B1146" s="51"/>
      <c r="C1146" s="51"/>
      <c r="D1146" s="51"/>
      <c r="E1146" s="51"/>
      <c r="F1146" s="51"/>
      <c r="G1146" s="51"/>
      <c r="H1146" s="51"/>
      <c r="I1146" s="51"/>
    </row>
    <row r="1147" spans="1:9" ht="17.25" x14ac:dyDescent="0.3">
      <c r="A1147" s="51"/>
      <c r="B1147" s="51"/>
      <c r="C1147" s="51"/>
      <c r="D1147" s="51"/>
      <c r="E1147" s="51"/>
      <c r="F1147" s="51"/>
      <c r="G1147" s="51"/>
      <c r="H1147" s="51"/>
      <c r="I1147" s="51"/>
    </row>
    <row r="1148" spans="1:9" ht="17.25" x14ac:dyDescent="0.3">
      <c r="A1148" s="51" t="s">
        <v>40</v>
      </c>
      <c r="B1148" s="51"/>
      <c r="C1148" s="51"/>
      <c r="D1148" s="51"/>
      <c r="E1148" s="51"/>
      <c r="F1148" s="51"/>
      <c r="G1148" s="51"/>
      <c r="H1148" s="51"/>
      <c r="I1148" s="51"/>
    </row>
    <row r="1149" spans="1:9" ht="17.25" x14ac:dyDescent="0.3">
      <c r="A1149" s="51"/>
      <c r="B1149" s="51"/>
      <c r="C1149" s="51"/>
      <c r="D1149" s="51"/>
      <c r="E1149" s="51"/>
      <c r="F1149" s="51"/>
      <c r="G1149" s="51"/>
      <c r="H1149" s="51"/>
      <c r="I1149" s="51"/>
    </row>
    <row r="1150" spans="1:9" ht="33" customHeight="1" x14ac:dyDescent="0.3">
      <c r="A1150" s="91" t="s">
        <v>203</v>
      </c>
      <c r="B1150" s="91"/>
      <c r="C1150" s="91"/>
      <c r="D1150" s="91"/>
      <c r="E1150" s="91"/>
      <c r="F1150" s="91"/>
      <c r="G1150" s="91"/>
      <c r="H1150" s="55"/>
      <c r="I1150" s="55"/>
    </row>
    <row r="1151" spans="1:9" ht="17.25" x14ac:dyDescent="0.3">
      <c r="A1151" s="51"/>
      <c r="B1151" s="51"/>
      <c r="C1151" s="51"/>
      <c r="D1151" s="51"/>
      <c r="E1151" s="51"/>
      <c r="F1151" s="51"/>
      <c r="G1151" s="51"/>
      <c r="H1151" s="51"/>
      <c r="I1151" s="51"/>
    </row>
    <row r="1152" spans="1:9" ht="33" customHeight="1" x14ac:dyDescent="0.3">
      <c r="A1152" s="91" t="s">
        <v>204</v>
      </c>
      <c r="B1152" s="91"/>
      <c r="C1152" s="91"/>
      <c r="D1152" s="91"/>
      <c r="E1152" s="91"/>
      <c r="F1152" s="91"/>
      <c r="G1152" s="91"/>
      <c r="H1152" s="55"/>
      <c r="I1152" s="55"/>
    </row>
    <row r="1153" spans="1:9" ht="17.25" x14ac:dyDescent="0.3">
      <c r="A1153" s="51"/>
      <c r="B1153" s="51"/>
      <c r="C1153" s="51"/>
      <c r="D1153" s="51"/>
      <c r="E1153" s="51"/>
      <c r="F1153" s="51"/>
      <c r="G1153" s="51"/>
      <c r="H1153" s="51"/>
      <c r="I1153" s="51"/>
    </row>
    <row r="1154" spans="1:9" ht="33" customHeight="1" x14ac:dyDescent="0.3">
      <c r="A1154" s="91" t="s">
        <v>205</v>
      </c>
      <c r="B1154" s="91"/>
      <c r="C1154" s="91"/>
      <c r="D1154" s="91"/>
      <c r="E1154" s="91"/>
      <c r="F1154" s="91"/>
      <c r="G1154" s="91"/>
      <c r="H1154" s="55"/>
      <c r="I1154" s="55"/>
    </row>
    <row r="1156" spans="1:9" ht="18.75" x14ac:dyDescent="0.3">
      <c r="A1156" s="1" t="s">
        <v>206</v>
      </c>
      <c r="B1156" s="2"/>
      <c r="C1156" s="2"/>
      <c r="D1156" s="2"/>
      <c r="E1156" s="2"/>
      <c r="F1156" s="2"/>
      <c r="G1156" s="53"/>
    </row>
    <row r="1157" spans="1:9" ht="15.75" x14ac:dyDescent="0.25">
      <c r="A1157" s="3" t="s">
        <v>1</v>
      </c>
      <c r="B1157" s="3" t="s">
        <v>2</v>
      </c>
      <c r="C1157" s="4" t="s">
        <v>3</v>
      </c>
      <c r="D1157" s="4"/>
      <c r="E1157" s="4"/>
      <c r="F1157" s="4"/>
      <c r="G1157" s="62" t="s">
        <v>30</v>
      </c>
    </row>
    <row r="1158" spans="1:9" ht="15.75" x14ac:dyDescent="0.25">
      <c r="A1158" s="5">
        <v>45362</v>
      </c>
      <c r="B1158" s="6" t="s">
        <v>4</v>
      </c>
      <c r="C1158" s="7" t="s">
        <v>5</v>
      </c>
      <c r="D1158" s="7"/>
      <c r="E1158" s="7"/>
      <c r="F1158" s="7"/>
      <c r="G1158" s="52">
        <v>1255.08</v>
      </c>
    </row>
    <row r="1159" spans="1:9" ht="15.75" x14ac:dyDescent="0.25">
      <c r="A1159" s="5">
        <v>45366</v>
      </c>
      <c r="B1159" s="6" t="s">
        <v>4</v>
      </c>
      <c r="C1159" s="7" t="s">
        <v>61</v>
      </c>
      <c r="D1159" s="7"/>
      <c r="E1159" s="7"/>
      <c r="F1159" s="7"/>
      <c r="G1159" s="52">
        <v>1089.71</v>
      </c>
    </row>
    <row r="1160" spans="1:9" ht="15.75" x14ac:dyDescent="0.25">
      <c r="A1160" s="5">
        <v>45366</v>
      </c>
      <c r="B1160" s="6" t="s">
        <v>4</v>
      </c>
      <c r="C1160" s="7" t="s">
        <v>8</v>
      </c>
      <c r="D1160" s="7"/>
      <c r="E1160" s="7"/>
      <c r="F1160" s="7"/>
      <c r="G1160" s="52">
        <v>263.14999999999964</v>
      </c>
    </row>
    <row r="1161" spans="1:9" ht="15.75" x14ac:dyDescent="0.25">
      <c r="A1161" s="5">
        <v>45368</v>
      </c>
      <c r="B1161" s="6" t="s">
        <v>4</v>
      </c>
      <c r="C1161" s="7" t="s">
        <v>9</v>
      </c>
      <c r="D1161" s="7"/>
      <c r="E1161" s="7"/>
      <c r="F1161" s="7"/>
      <c r="G1161" s="52">
        <v>383.21</v>
      </c>
    </row>
    <row r="1162" spans="1:9" ht="15.75" x14ac:dyDescent="0.25">
      <c r="A1162" s="5">
        <v>45371</v>
      </c>
      <c r="B1162" s="6" t="s">
        <v>4</v>
      </c>
      <c r="C1162" s="7" t="s">
        <v>47</v>
      </c>
      <c r="D1162" s="7"/>
      <c r="E1162" s="7"/>
      <c r="F1162" s="7"/>
      <c r="G1162" s="52">
        <v>246.77</v>
      </c>
    </row>
    <row r="1163" spans="1:9" ht="15.75" x14ac:dyDescent="0.25">
      <c r="A1163" s="5">
        <v>45327</v>
      </c>
      <c r="B1163" s="6" t="s">
        <v>4</v>
      </c>
      <c r="C1163" s="7" t="s">
        <v>208</v>
      </c>
      <c r="D1163" s="7"/>
      <c r="E1163" s="7"/>
      <c r="F1163" s="7"/>
      <c r="G1163" s="52">
        <v>400</v>
      </c>
    </row>
    <row r="1164" spans="1:9" ht="15.75" x14ac:dyDescent="0.25">
      <c r="A1164" s="8">
        <v>45348</v>
      </c>
      <c r="B1164" s="6" t="s">
        <v>4</v>
      </c>
      <c r="C1164" s="7" t="s">
        <v>209</v>
      </c>
      <c r="D1164" s="7"/>
      <c r="E1164" s="7"/>
      <c r="F1164" s="7"/>
      <c r="G1164" s="52">
        <v>39.799999999999997</v>
      </c>
    </row>
    <row r="1165" spans="1:9" ht="15.75" customHeight="1" x14ac:dyDescent="0.25">
      <c r="A1165" s="8">
        <v>45348</v>
      </c>
      <c r="B1165" s="54" t="s">
        <v>4</v>
      </c>
      <c r="C1165" s="32" t="s">
        <v>210</v>
      </c>
      <c r="D1165" s="67"/>
      <c r="E1165" s="67"/>
      <c r="F1165" s="68"/>
      <c r="G1165" s="52">
        <v>157.88999999999999</v>
      </c>
    </row>
    <row r="1166" spans="1:9" s="71" customFormat="1" ht="32.25" customHeight="1" x14ac:dyDescent="0.25">
      <c r="A1166" s="8">
        <v>45353</v>
      </c>
      <c r="B1166" s="69" t="s">
        <v>4</v>
      </c>
      <c r="C1166" s="93" t="s">
        <v>211</v>
      </c>
      <c r="D1166" s="94"/>
      <c r="E1166" s="94"/>
      <c r="F1166" s="95"/>
      <c r="G1166" s="70">
        <v>27</v>
      </c>
    </row>
    <row r="1167" spans="1:9" ht="15.75" x14ac:dyDescent="0.25">
      <c r="A1167" s="8">
        <v>45376</v>
      </c>
      <c r="B1167" s="64" t="s">
        <v>4</v>
      </c>
      <c r="C1167" s="32" t="s">
        <v>13</v>
      </c>
      <c r="D1167" s="7"/>
      <c r="E1167" s="7"/>
      <c r="F1167" s="7"/>
      <c r="G1167" s="52">
        <v>189.12</v>
      </c>
    </row>
    <row r="1168" spans="1:9" ht="15.75" x14ac:dyDescent="0.25">
      <c r="A1168" s="8">
        <v>45379</v>
      </c>
      <c r="B1168" s="64" t="s">
        <v>4</v>
      </c>
      <c r="C1168" s="32" t="s">
        <v>14</v>
      </c>
      <c r="D1168" s="7"/>
      <c r="E1168" s="7"/>
      <c r="F1168" s="7"/>
      <c r="G1168" s="52">
        <v>141</v>
      </c>
    </row>
    <row r="1169" spans="1:7" ht="15.75" x14ac:dyDescent="0.25">
      <c r="A1169" s="5">
        <v>45352</v>
      </c>
      <c r="B1169" s="6" t="s">
        <v>4</v>
      </c>
      <c r="C1169" s="7" t="s">
        <v>15</v>
      </c>
      <c r="D1169" s="7"/>
      <c r="E1169" s="7"/>
      <c r="F1169" s="7"/>
      <c r="G1169" s="52">
        <v>60</v>
      </c>
    </row>
    <row r="1170" spans="1:7" ht="21" x14ac:dyDescent="0.35">
      <c r="A1170" s="9" t="s">
        <v>16</v>
      </c>
      <c r="B1170" s="10"/>
      <c r="C1170" s="11"/>
      <c r="D1170" s="11"/>
      <c r="E1170" s="11"/>
      <c r="F1170" s="11"/>
      <c r="G1170" s="12">
        <f>SUM(G1158:G1169)</f>
        <v>4252.7299999999996</v>
      </c>
    </row>
    <row r="1171" spans="1:7" ht="21" x14ac:dyDescent="0.35">
      <c r="A1171" s="13" t="s">
        <v>17</v>
      </c>
      <c r="B1171" s="11"/>
      <c r="C1171" s="11"/>
      <c r="D1171" s="11"/>
      <c r="E1171" s="11"/>
      <c r="F1171" s="11"/>
      <c r="G1171" s="14">
        <f>ROUND(G1170/14,2)</f>
        <v>303.77</v>
      </c>
    </row>
    <row r="1172" spans="1:7" ht="21" x14ac:dyDescent="0.35">
      <c r="A1172" s="13" t="s">
        <v>74</v>
      </c>
      <c r="B1172" s="11"/>
      <c r="C1172" s="11"/>
      <c r="D1172" s="11"/>
      <c r="E1172" s="11"/>
      <c r="F1172" s="11"/>
      <c r="G1172" s="14">
        <f>ROUND(G1171/13,2)</f>
        <v>23.37</v>
      </c>
    </row>
    <row r="1173" spans="1:7" ht="21" x14ac:dyDescent="0.35">
      <c r="A1173" s="13" t="s">
        <v>196</v>
      </c>
      <c r="B1173" s="11"/>
      <c r="C1173" s="11"/>
      <c r="D1173" s="11"/>
      <c r="E1173" s="11"/>
      <c r="F1173" s="11"/>
      <c r="G1173" s="14">
        <v>300</v>
      </c>
    </row>
    <row r="1174" spans="1:7" ht="21" x14ac:dyDescent="0.35">
      <c r="A1174" s="13" t="s">
        <v>19</v>
      </c>
      <c r="B1174" s="11"/>
      <c r="C1174" s="11"/>
      <c r="D1174" s="11"/>
      <c r="E1174" s="11"/>
      <c r="F1174" s="11"/>
      <c r="G1174" s="12">
        <f>G1171+G1172+G1173</f>
        <v>627.14</v>
      </c>
    </row>
    <row r="1180" spans="1:7" ht="21" x14ac:dyDescent="0.35">
      <c r="A1180" s="88" t="s">
        <v>20</v>
      </c>
      <c r="B1180" s="89"/>
      <c r="C1180" s="89"/>
      <c r="D1180" s="89"/>
      <c r="E1180" s="89"/>
      <c r="F1180" s="89"/>
      <c r="G1180" s="90"/>
    </row>
    <row r="1181" spans="1:7" ht="18.75" x14ac:dyDescent="0.25">
      <c r="A1181" s="19" t="s">
        <v>207</v>
      </c>
      <c r="B1181" s="15"/>
      <c r="C1181" s="15"/>
      <c r="D1181" s="15"/>
      <c r="E1181" s="15"/>
      <c r="F1181" s="15"/>
      <c r="G1181" s="16"/>
    </row>
    <row r="1182" spans="1:7" ht="15.75" x14ac:dyDescent="0.25">
      <c r="A1182" s="17"/>
      <c r="B1182" s="18"/>
      <c r="C1182" s="18"/>
      <c r="D1182" s="18"/>
      <c r="E1182" s="18"/>
      <c r="F1182" s="18"/>
      <c r="G1182" s="18"/>
    </row>
    <row r="1183" spans="1:7" ht="15.75" x14ac:dyDescent="0.25">
      <c r="A1183" s="17"/>
      <c r="B1183" s="18"/>
      <c r="C1183" s="18"/>
      <c r="D1183" s="18"/>
      <c r="E1183" s="18"/>
      <c r="F1183" s="18"/>
      <c r="G1183" s="18"/>
    </row>
    <row r="1184" spans="1:7" ht="15.75" x14ac:dyDescent="0.25">
      <c r="A1184" s="20" t="s">
        <v>22</v>
      </c>
      <c r="B1184" s="21" t="s">
        <v>23</v>
      </c>
      <c r="C1184" s="22"/>
      <c r="D1184" s="21" t="s">
        <v>24</v>
      </c>
      <c r="E1184" s="22"/>
      <c r="F1184" s="59" t="s">
        <v>25</v>
      </c>
      <c r="G1184" s="60" t="s">
        <v>26</v>
      </c>
    </row>
    <row r="1185" spans="1:7" ht="15.75" x14ac:dyDescent="0.25">
      <c r="A1185" s="23" t="s">
        <v>27</v>
      </c>
      <c r="B1185" s="24" t="s">
        <v>28</v>
      </c>
      <c r="C1185" s="24" t="s">
        <v>29</v>
      </c>
      <c r="D1185" s="24" t="s">
        <v>28</v>
      </c>
      <c r="E1185" s="24" t="s">
        <v>30</v>
      </c>
      <c r="F1185" s="58" t="s">
        <v>31</v>
      </c>
      <c r="G1185" s="61" t="s">
        <v>31</v>
      </c>
    </row>
    <row r="1186" spans="1:7" ht="15.75" x14ac:dyDescent="0.25">
      <c r="A1186" s="25" t="s">
        <v>32</v>
      </c>
      <c r="B1186" s="26">
        <v>26.700999999999993</v>
      </c>
      <c r="C1186" s="27">
        <v>263.14999999999964</v>
      </c>
      <c r="D1186" s="28">
        <v>0</v>
      </c>
      <c r="E1186" s="27">
        <v>0</v>
      </c>
      <c r="F1186" s="29">
        <v>0</v>
      </c>
      <c r="G1186" s="27">
        <v>0</v>
      </c>
    </row>
    <row r="1187" spans="1:7" ht="15.75" x14ac:dyDescent="0.25">
      <c r="A1187" s="30">
        <v>201</v>
      </c>
      <c r="B1187" s="26">
        <v>13.988</v>
      </c>
      <c r="C1187" s="27">
        <v>178.28</v>
      </c>
      <c r="D1187" s="31">
        <v>5.6000000000000001E-2</v>
      </c>
      <c r="E1187" s="27">
        <v>1.79</v>
      </c>
      <c r="F1187" s="27">
        <v>627.14</v>
      </c>
      <c r="G1187" s="27">
        <v>808</v>
      </c>
    </row>
    <row r="1188" spans="1:7" ht="15.75" x14ac:dyDescent="0.25">
      <c r="A1188" s="30">
        <v>202</v>
      </c>
      <c r="B1188" s="26">
        <v>48.881999999999998</v>
      </c>
      <c r="C1188" s="27">
        <v>414.52</v>
      </c>
      <c r="D1188" s="28">
        <v>4.6239999999999997</v>
      </c>
      <c r="E1188" s="27">
        <v>148.08000000000001</v>
      </c>
      <c r="F1188" s="27">
        <v>627.14</v>
      </c>
      <c r="G1188" s="27">
        <v>1190</v>
      </c>
    </row>
    <row r="1189" spans="1:7" ht="15.75" x14ac:dyDescent="0.25">
      <c r="A1189" s="30">
        <v>301</v>
      </c>
      <c r="B1189" s="26">
        <v>18.824000000000002</v>
      </c>
      <c r="C1189" s="27">
        <v>211.02</v>
      </c>
      <c r="D1189" s="28">
        <v>2.806</v>
      </c>
      <c r="E1189" s="27">
        <v>89.86</v>
      </c>
      <c r="F1189" s="27">
        <v>627.14</v>
      </c>
      <c r="G1189" s="27">
        <v>929</v>
      </c>
    </row>
    <row r="1190" spans="1:7" ht="15.75" x14ac:dyDescent="0.25">
      <c r="A1190" s="30">
        <v>302</v>
      </c>
      <c r="B1190" s="26">
        <v>14.846</v>
      </c>
      <c r="C1190" s="27">
        <v>184.09</v>
      </c>
      <c r="D1190" s="28">
        <v>2.6349999999999998</v>
      </c>
      <c r="E1190" s="27">
        <v>84.39</v>
      </c>
      <c r="F1190" s="27">
        <v>627.14</v>
      </c>
      <c r="G1190" s="27">
        <v>896</v>
      </c>
    </row>
    <row r="1191" spans="1:7" ht="15.75" x14ac:dyDescent="0.25">
      <c r="A1191" s="30">
        <v>401</v>
      </c>
      <c r="B1191" s="26">
        <v>20.064</v>
      </c>
      <c r="C1191" s="27">
        <v>219.42</v>
      </c>
      <c r="D1191" s="28">
        <v>2.597</v>
      </c>
      <c r="E1191" s="27">
        <v>83.17</v>
      </c>
      <c r="F1191" s="27">
        <v>627.14</v>
      </c>
      <c r="G1191" s="27">
        <v>930</v>
      </c>
    </row>
    <row r="1192" spans="1:7" ht="15.75" x14ac:dyDescent="0.25">
      <c r="A1192" s="30">
        <v>402</v>
      </c>
      <c r="B1192" s="26">
        <v>26.466000000000001</v>
      </c>
      <c r="C1192" s="27">
        <v>262.76</v>
      </c>
      <c r="D1192" s="28">
        <v>4.3390000000000004</v>
      </c>
      <c r="E1192" s="27">
        <v>138.96</v>
      </c>
      <c r="F1192" s="27">
        <v>627.14</v>
      </c>
      <c r="G1192" s="27">
        <v>1029</v>
      </c>
    </row>
    <row r="1193" spans="1:7" ht="15.75" x14ac:dyDescent="0.25">
      <c r="A1193" s="30">
        <v>501</v>
      </c>
      <c r="B1193" s="26">
        <v>10.789</v>
      </c>
      <c r="C1193" s="27">
        <v>156.63</v>
      </c>
      <c r="D1193" s="28">
        <v>0.78400000000000003</v>
      </c>
      <c r="E1193" s="27">
        <v>25.11</v>
      </c>
      <c r="F1193" s="27">
        <v>627.14</v>
      </c>
      <c r="G1193" s="27">
        <v>809</v>
      </c>
    </row>
    <row r="1194" spans="1:7" ht="15.75" x14ac:dyDescent="0.25">
      <c r="A1194" s="30">
        <v>502</v>
      </c>
      <c r="B1194" s="26">
        <v>15.552</v>
      </c>
      <c r="C1194" s="27">
        <v>188.87</v>
      </c>
      <c r="D1194" s="28">
        <v>1.7090000000000001</v>
      </c>
      <c r="E1194" s="27">
        <v>54.73</v>
      </c>
      <c r="F1194" s="27">
        <v>627.14</v>
      </c>
      <c r="G1194" s="27">
        <v>871</v>
      </c>
    </row>
    <row r="1195" spans="1:7" ht="15.75" x14ac:dyDescent="0.25">
      <c r="A1195" s="30">
        <v>601</v>
      </c>
      <c r="B1195" s="26">
        <v>14.96</v>
      </c>
      <c r="C1195" s="27">
        <v>184.86</v>
      </c>
      <c r="D1195" s="28">
        <v>0.21299999999999999</v>
      </c>
      <c r="E1195" s="27">
        <v>6.82</v>
      </c>
      <c r="F1195" s="27">
        <v>627.14</v>
      </c>
      <c r="G1195" s="27">
        <v>819</v>
      </c>
    </row>
    <row r="1196" spans="1:7" ht="15.75" x14ac:dyDescent="0.25">
      <c r="A1196" s="30">
        <v>602</v>
      </c>
      <c r="B1196" s="26">
        <v>7.0039999999999996</v>
      </c>
      <c r="C1196" s="27">
        <v>131</v>
      </c>
      <c r="D1196" s="28">
        <v>2.6179999999999999</v>
      </c>
      <c r="E1196" s="27">
        <v>83.84</v>
      </c>
      <c r="F1196" s="27">
        <v>627.14</v>
      </c>
      <c r="G1196" s="27">
        <v>842</v>
      </c>
    </row>
    <row r="1197" spans="1:7" ht="15.75" x14ac:dyDescent="0.25">
      <c r="A1197" s="30">
        <v>701</v>
      </c>
      <c r="B1197" s="26">
        <v>11.212999999999999</v>
      </c>
      <c r="C1197" s="27">
        <v>159.5</v>
      </c>
      <c r="D1197" s="28">
        <v>0.70099999999999996</v>
      </c>
      <c r="E1197" s="27">
        <v>22.45</v>
      </c>
      <c r="F1197" s="27">
        <v>627.14</v>
      </c>
      <c r="G1197" s="27">
        <v>810</v>
      </c>
    </row>
    <row r="1198" spans="1:7" ht="15.75" x14ac:dyDescent="0.25">
      <c r="A1198" s="30">
        <v>702</v>
      </c>
      <c r="B1198" s="26">
        <v>3.79</v>
      </c>
      <c r="C1198" s="27">
        <v>109.24</v>
      </c>
      <c r="D1198" s="28">
        <v>1.351</v>
      </c>
      <c r="E1198" s="27">
        <v>43.27</v>
      </c>
      <c r="F1198" s="27">
        <v>627.14</v>
      </c>
      <c r="G1198" s="27">
        <v>780</v>
      </c>
    </row>
    <row r="1199" spans="1:7" ht="15.75" x14ac:dyDescent="0.25">
      <c r="A1199" s="30">
        <v>801</v>
      </c>
      <c r="B1199" s="26">
        <v>0.246</v>
      </c>
      <c r="C1199" s="27">
        <v>85.25</v>
      </c>
      <c r="D1199" s="28">
        <v>0</v>
      </c>
      <c r="E1199" s="27">
        <v>0</v>
      </c>
      <c r="F1199" s="27">
        <v>627.14</v>
      </c>
      <c r="G1199" s="27">
        <v>713</v>
      </c>
    </row>
    <row r="1200" spans="1:7" ht="15.75" x14ac:dyDescent="0.25">
      <c r="A1200" s="30">
        <v>802</v>
      </c>
      <c r="B1200" s="26">
        <v>17.675000000000001</v>
      </c>
      <c r="C1200" s="27">
        <v>203.24</v>
      </c>
      <c r="D1200" s="28">
        <v>2.9729999999999999</v>
      </c>
      <c r="E1200" s="27">
        <v>95.21</v>
      </c>
      <c r="F1200" s="63">
        <v>627.14</v>
      </c>
      <c r="G1200" s="63">
        <v>926</v>
      </c>
    </row>
    <row r="1202" spans="1:7" x14ac:dyDescent="0.25">
      <c r="A1202" s="32"/>
      <c r="B1202" s="7"/>
      <c r="C1202" s="7"/>
      <c r="D1202" s="7"/>
      <c r="E1202" s="7"/>
      <c r="F1202" s="7"/>
      <c r="G1202" s="33"/>
    </row>
    <row r="1203" spans="1:7" x14ac:dyDescent="0.25">
      <c r="A1203" s="32"/>
      <c r="B1203" s="7"/>
      <c r="C1203" s="7"/>
      <c r="D1203" s="7"/>
      <c r="E1203" s="7"/>
      <c r="F1203" s="7"/>
      <c r="G1203" s="33"/>
    </row>
    <row r="1204" spans="1:7" x14ac:dyDescent="0.25">
      <c r="A1204" s="32"/>
      <c r="B1204" s="7"/>
      <c r="C1204" s="7"/>
      <c r="D1204" s="7"/>
      <c r="E1204" s="7"/>
      <c r="F1204" s="7"/>
      <c r="G1204" s="33"/>
    </row>
    <row r="1206" spans="1:7" ht="15.75" x14ac:dyDescent="0.25">
      <c r="A1206" s="34" t="s">
        <v>212</v>
      </c>
      <c r="B1206" s="35"/>
      <c r="C1206" s="35"/>
      <c r="D1206" s="35"/>
      <c r="E1206" s="35"/>
      <c r="F1206" s="36"/>
      <c r="G1206" s="57">
        <v>74006.92</v>
      </c>
    </row>
    <row r="1207" spans="1:7" ht="15.75" x14ac:dyDescent="0.25">
      <c r="A1207" s="37" t="s">
        <v>213</v>
      </c>
      <c r="B1207" s="38"/>
      <c r="C1207" s="38"/>
      <c r="D1207" s="38"/>
      <c r="E1207" s="38"/>
      <c r="F1207" s="39"/>
      <c r="G1207" s="57">
        <v>4200</v>
      </c>
    </row>
    <row r="1208" spans="1:7" ht="15.75" x14ac:dyDescent="0.25">
      <c r="A1208" s="34" t="s">
        <v>214</v>
      </c>
      <c r="B1208" s="35"/>
      <c r="C1208" s="35"/>
      <c r="D1208" s="35"/>
      <c r="E1208" s="35"/>
      <c r="F1208" s="36"/>
      <c r="G1208" s="57">
        <f>G1206+G1207</f>
        <v>78206.92</v>
      </c>
    </row>
    <row r="1209" spans="1:7" ht="18.75" x14ac:dyDescent="0.3">
      <c r="A1209" s="40"/>
      <c r="B1209" s="40"/>
      <c r="C1209" s="40"/>
      <c r="D1209" s="40"/>
      <c r="E1209" s="40"/>
      <c r="F1209" s="40"/>
      <c r="G1209" s="40"/>
    </row>
    <row r="1210" spans="1:7" ht="31.5" customHeight="1" x14ac:dyDescent="0.25">
      <c r="A1210" s="85" t="s">
        <v>54</v>
      </c>
      <c r="B1210" s="86"/>
      <c r="C1210" s="86"/>
      <c r="D1210" s="86"/>
      <c r="E1210" s="86"/>
      <c r="F1210" s="86"/>
      <c r="G1210" s="87"/>
    </row>
    <row r="1211" spans="1:7" ht="15.75" x14ac:dyDescent="0.25">
      <c r="A1211" s="41" t="s">
        <v>36</v>
      </c>
      <c r="B1211" s="42"/>
      <c r="C1211" s="42"/>
      <c r="D1211" s="42"/>
      <c r="E1211" s="42"/>
      <c r="F1211" s="42"/>
      <c r="G1211" s="43"/>
    </row>
    <row r="1212" spans="1:7" ht="15.75" x14ac:dyDescent="0.25">
      <c r="A1212" s="44" t="s">
        <v>37</v>
      </c>
      <c r="B1212" s="45"/>
      <c r="C1212" s="45"/>
      <c r="D1212" s="45"/>
      <c r="E1212" s="45"/>
      <c r="F1212" s="45"/>
      <c r="G1212" s="46"/>
    </row>
    <row r="1213" spans="1:7" ht="15.75" x14ac:dyDescent="0.25">
      <c r="A1213" s="47"/>
      <c r="B1213" s="47"/>
      <c r="C1213" s="47"/>
      <c r="D1213" s="47"/>
      <c r="E1213" s="47"/>
      <c r="F1213" s="47"/>
      <c r="G1213" s="47"/>
    </row>
    <row r="1214" spans="1:7" ht="15.75" x14ac:dyDescent="0.25">
      <c r="A1214" s="48" t="s">
        <v>50</v>
      </c>
      <c r="B1214" s="49"/>
      <c r="C1214" s="49"/>
      <c r="D1214" s="49"/>
      <c r="E1214" s="49"/>
      <c r="F1214" s="49"/>
      <c r="G1214" s="50"/>
    </row>
    <row r="1215" spans="1:7" ht="15.75" x14ac:dyDescent="0.25">
      <c r="A1215" s="47"/>
      <c r="B1215" s="47"/>
      <c r="C1215" s="47"/>
      <c r="D1215" s="47"/>
      <c r="E1215" s="47"/>
      <c r="F1215" s="47"/>
      <c r="G1215" s="47"/>
    </row>
    <row r="1216" spans="1:7" ht="15.75" x14ac:dyDescent="0.25">
      <c r="A1216" s="47"/>
      <c r="B1216" s="47"/>
      <c r="C1216" s="47"/>
      <c r="D1216" s="47"/>
      <c r="E1216" s="47"/>
      <c r="F1216" s="47"/>
      <c r="G1216" s="47"/>
    </row>
    <row r="1217" spans="1:9" ht="15.75" x14ac:dyDescent="0.25">
      <c r="A1217" s="47"/>
      <c r="B1217" s="47"/>
      <c r="C1217" s="47"/>
      <c r="D1217" s="47"/>
      <c r="E1217" s="47"/>
      <c r="F1217" s="47"/>
      <c r="G1217" s="47"/>
    </row>
    <row r="1226" spans="1:9" ht="21" x14ac:dyDescent="0.35">
      <c r="A1226" s="88" t="s">
        <v>20</v>
      </c>
      <c r="B1226" s="89"/>
      <c r="C1226" s="89"/>
      <c r="D1226" s="89"/>
      <c r="E1226" s="89"/>
      <c r="F1226" s="89"/>
      <c r="G1226" s="90"/>
      <c r="H1226" s="56"/>
      <c r="I1226" s="56"/>
    </row>
    <row r="1228" spans="1:9" ht="17.25" x14ac:dyDescent="0.3">
      <c r="A1228" s="51" t="s">
        <v>215</v>
      </c>
      <c r="B1228" s="51"/>
      <c r="C1228" s="51"/>
      <c r="D1228" s="51"/>
      <c r="E1228" s="51"/>
      <c r="F1228" s="51"/>
      <c r="G1228" s="51"/>
      <c r="H1228" s="51"/>
      <c r="I1228" s="51"/>
    </row>
    <row r="1229" spans="1:9" ht="17.25" x14ac:dyDescent="0.3">
      <c r="A1229" s="51"/>
      <c r="B1229" s="51"/>
      <c r="C1229" s="51"/>
      <c r="D1229" s="51"/>
      <c r="E1229" s="51"/>
      <c r="F1229" s="51"/>
      <c r="G1229" s="51"/>
      <c r="H1229" s="51"/>
      <c r="I1229" s="51"/>
    </row>
    <row r="1230" spans="1:9" ht="17.25" x14ac:dyDescent="0.3">
      <c r="A1230" s="51" t="s">
        <v>216</v>
      </c>
      <c r="B1230" s="51"/>
      <c r="C1230" s="51"/>
      <c r="D1230" s="51"/>
      <c r="E1230" s="51"/>
      <c r="F1230" s="51"/>
      <c r="G1230" s="51"/>
      <c r="H1230" s="51"/>
      <c r="I1230" s="51"/>
    </row>
    <row r="1231" spans="1:9" ht="17.25" x14ac:dyDescent="0.3">
      <c r="A1231" s="51"/>
      <c r="B1231" s="51"/>
      <c r="C1231" s="51"/>
      <c r="D1231" s="51"/>
      <c r="E1231" s="51"/>
      <c r="F1231" s="51"/>
      <c r="G1231" s="51"/>
      <c r="H1231" s="51"/>
      <c r="I1231" s="51"/>
    </row>
    <row r="1232" spans="1:9" ht="17.25" x14ac:dyDescent="0.3">
      <c r="A1232" s="51" t="s">
        <v>217</v>
      </c>
      <c r="B1232" s="51"/>
      <c r="C1232" s="51"/>
      <c r="D1232" s="51"/>
      <c r="E1232" s="51"/>
      <c r="F1232" s="51"/>
      <c r="G1232" s="51"/>
      <c r="H1232" s="51"/>
      <c r="I1232" s="51"/>
    </row>
    <row r="1233" spans="1:9" ht="17.25" x14ac:dyDescent="0.3">
      <c r="A1233" s="51"/>
      <c r="B1233" s="51"/>
      <c r="C1233" s="51"/>
      <c r="D1233" s="51"/>
      <c r="E1233" s="51"/>
      <c r="F1233" s="51"/>
      <c r="G1233" s="51"/>
      <c r="H1233" s="51"/>
      <c r="I1233" s="51"/>
    </row>
    <row r="1234" spans="1:9" ht="17.25" x14ac:dyDescent="0.3">
      <c r="A1234" s="51" t="s">
        <v>40</v>
      </c>
      <c r="B1234" s="51"/>
      <c r="C1234" s="51"/>
      <c r="D1234" s="51"/>
      <c r="E1234" s="51"/>
      <c r="F1234" s="51"/>
      <c r="G1234" s="51"/>
      <c r="H1234" s="51"/>
      <c r="I1234" s="51"/>
    </row>
    <row r="1235" spans="1:9" ht="17.25" x14ac:dyDescent="0.3">
      <c r="A1235" s="51"/>
      <c r="B1235" s="51"/>
      <c r="C1235" s="51"/>
      <c r="D1235" s="51"/>
      <c r="E1235" s="51"/>
      <c r="F1235" s="51"/>
      <c r="G1235" s="51"/>
      <c r="H1235" s="51"/>
      <c r="I1235" s="51"/>
    </row>
    <row r="1236" spans="1:9" ht="33" customHeight="1" x14ac:dyDescent="0.3">
      <c r="A1236" s="91" t="s">
        <v>218</v>
      </c>
      <c r="B1236" s="91"/>
      <c r="C1236" s="91"/>
      <c r="D1236" s="91"/>
      <c r="E1236" s="91"/>
      <c r="F1236" s="91"/>
      <c r="G1236" s="91"/>
      <c r="H1236" s="55"/>
      <c r="I1236" s="55"/>
    </row>
    <row r="1237" spans="1:9" ht="17.25" x14ac:dyDescent="0.3">
      <c r="A1237" s="51"/>
      <c r="B1237" s="51"/>
      <c r="C1237" s="51"/>
      <c r="D1237" s="51"/>
      <c r="E1237" s="51"/>
      <c r="F1237" s="51"/>
      <c r="G1237" s="51"/>
      <c r="H1237" s="51"/>
      <c r="I1237" s="51"/>
    </row>
    <row r="1238" spans="1:9" ht="33" customHeight="1" x14ac:dyDescent="0.3">
      <c r="A1238" s="91" t="s">
        <v>219</v>
      </c>
      <c r="B1238" s="91"/>
      <c r="C1238" s="91"/>
      <c r="D1238" s="91"/>
      <c r="E1238" s="91"/>
      <c r="F1238" s="91"/>
      <c r="G1238" s="91"/>
      <c r="H1238" s="55"/>
      <c r="I1238" s="55"/>
    </row>
    <row r="1239" spans="1:9" ht="17.25" x14ac:dyDescent="0.3">
      <c r="A1239" s="51"/>
      <c r="B1239" s="51"/>
      <c r="C1239" s="51"/>
      <c r="D1239" s="51"/>
      <c r="E1239" s="51"/>
      <c r="F1239" s="51"/>
      <c r="G1239" s="51"/>
      <c r="H1239" s="51"/>
      <c r="I1239" s="51"/>
    </row>
    <row r="1240" spans="1:9" ht="33" customHeight="1" x14ac:dyDescent="0.3">
      <c r="A1240" s="91" t="s">
        <v>220</v>
      </c>
      <c r="B1240" s="91"/>
      <c r="C1240" s="91"/>
      <c r="D1240" s="91"/>
      <c r="E1240" s="91"/>
      <c r="F1240" s="91"/>
      <c r="G1240" s="91"/>
      <c r="H1240" s="55"/>
      <c r="I1240" s="55"/>
    </row>
    <row r="1242" spans="1:9" ht="18.75" x14ac:dyDescent="0.3">
      <c r="A1242" s="1" t="s">
        <v>221</v>
      </c>
      <c r="B1242" s="2"/>
      <c r="C1242" s="2"/>
      <c r="D1242" s="2"/>
      <c r="E1242" s="2"/>
      <c r="F1242" s="2"/>
      <c r="G1242" s="53"/>
    </row>
    <row r="1243" spans="1:9" ht="15.75" x14ac:dyDescent="0.25">
      <c r="A1243" s="3" t="s">
        <v>1</v>
      </c>
      <c r="B1243" s="3" t="s">
        <v>2</v>
      </c>
      <c r="C1243" s="4" t="s">
        <v>3</v>
      </c>
      <c r="D1243" s="4"/>
      <c r="E1243" s="4"/>
      <c r="F1243" s="4"/>
      <c r="G1243" s="62" t="s">
        <v>30</v>
      </c>
    </row>
    <row r="1244" spans="1:9" ht="15.75" x14ac:dyDescent="0.25">
      <c r="A1244" s="5">
        <v>45392</v>
      </c>
      <c r="B1244" s="6" t="s">
        <v>4</v>
      </c>
      <c r="C1244" s="7" t="s">
        <v>5</v>
      </c>
      <c r="D1244" s="7"/>
      <c r="E1244" s="7"/>
      <c r="F1244" s="7"/>
      <c r="G1244" s="52">
        <v>1255.0899999999999</v>
      </c>
    </row>
    <row r="1245" spans="1:9" ht="15.75" x14ac:dyDescent="0.25">
      <c r="A1245" s="5">
        <v>45397</v>
      </c>
      <c r="B1245" s="6" t="s">
        <v>4</v>
      </c>
      <c r="C1245" s="7" t="s">
        <v>61</v>
      </c>
      <c r="D1245" s="7"/>
      <c r="E1245" s="7"/>
      <c r="F1245" s="7"/>
      <c r="G1245" s="52">
        <v>1089.71</v>
      </c>
    </row>
    <row r="1246" spans="1:9" ht="15.75" x14ac:dyDescent="0.25">
      <c r="A1246" s="5">
        <v>45397</v>
      </c>
      <c r="B1246" s="6" t="s">
        <v>4</v>
      </c>
      <c r="C1246" s="7" t="s">
        <v>8</v>
      </c>
      <c r="D1246" s="7"/>
      <c r="E1246" s="7"/>
      <c r="F1246" s="7"/>
      <c r="G1246" s="52">
        <v>306.44999999999936</v>
      </c>
    </row>
    <row r="1247" spans="1:9" ht="15.75" x14ac:dyDescent="0.25">
      <c r="A1247" s="5">
        <v>45399</v>
      </c>
      <c r="B1247" s="6" t="s">
        <v>4</v>
      </c>
      <c r="C1247" s="7" t="s">
        <v>9</v>
      </c>
      <c r="D1247" s="7"/>
      <c r="E1247" s="7"/>
      <c r="F1247" s="7"/>
      <c r="G1247" s="52">
        <v>331.42</v>
      </c>
    </row>
    <row r="1248" spans="1:9" ht="15.75" x14ac:dyDescent="0.25">
      <c r="A1248" s="5">
        <v>45401</v>
      </c>
      <c r="B1248" s="6" t="s">
        <v>4</v>
      </c>
      <c r="C1248" s="7" t="s">
        <v>47</v>
      </c>
      <c r="D1248" s="7"/>
      <c r="E1248" s="7"/>
      <c r="F1248" s="7"/>
      <c r="G1248" s="52">
        <v>208.27</v>
      </c>
    </row>
    <row r="1249" spans="1:7" ht="15.75" x14ac:dyDescent="0.25">
      <c r="A1249" s="5">
        <v>45407</v>
      </c>
      <c r="B1249" s="6" t="s">
        <v>4</v>
      </c>
      <c r="C1249" s="7" t="s">
        <v>48</v>
      </c>
      <c r="D1249" s="7"/>
      <c r="E1249" s="7"/>
      <c r="F1249" s="7"/>
      <c r="G1249" s="52">
        <v>189.12</v>
      </c>
    </row>
    <row r="1250" spans="1:7" ht="15.75" x14ac:dyDescent="0.25">
      <c r="A1250" s="8">
        <v>45411</v>
      </c>
      <c r="B1250" s="6" t="s">
        <v>4</v>
      </c>
      <c r="C1250" s="7" t="s">
        <v>14</v>
      </c>
      <c r="D1250" s="7"/>
      <c r="E1250" s="7"/>
      <c r="F1250" s="7"/>
      <c r="G1250" s="52">
        <v>141</v>
      </c>
    </row>
    <row r="1251" spans="1:7" ht="15.75" customHeight="1" x14ac:dyDescent="0.25">
      <c r="A1251" s="8">
        <v>45383</v>
      </c>
      <c r="B1251" s="54" t="s">
        <v>4</v>
      </c>
      <c r="C1251" s="32" t="s">
        <v>15</v>
      </c>
      <c r="D1251" s="67"/>
      <c r="E1251" s="67"/>
      <c r="F1251" s="68"/>
      <c r="G1251" s="52">
        <v>65</v>
      </c>
    </row>
    <row r="1252" spans="1:7" ht="21" x14ac:dyDescent="0.35">
      <c r="A1252" s="9" t="s">
        <v>16</v>
      </c>
      <c r="B1252" s="10"/>
      <c r="C1252" s="11"/>
      <c r="D1252" s="11"/>
      <c r="E1252" s="11"/>
      <c r="F1252" s="11"/>
      <c r="G1252" s="12">
        <f>SUM(G1244:G1251)</f>
        <v>3586.0599999999995</v>
      </c>
    </row>
    <row r="1253" spans="1:7" ht="21" x14ac:dyDescent="0.35">
      <c r="A1253" s="13" t="s">
        <v>17</v>
      </c>
      <c r="B1253" s="11"/>
      <c r="C1253" s="11"/>
      <c r="D1253" s="11"/>
      <c r="E1253" s="11"/>
      <c r="F1253" s="11"/>
      <c r="G1253" s="14">
        <f>ROUND(G1252/14,2)</f>
        <v>256.14999999999998</v>
      </c>
    </row>
    <row r="1254" spans="1:7" ht="21" x14ac:dyDescent="0.35">
      <c r="A1254" s="13" t="s">
        <v>74</v>
      </c>
      <c r="B1254" s="11"/>
      <c r="C1254" s="11"/>
      <c r="D1254" s="11"/>
      <c r="E1254" s="11"/>
      <c r="F1254" s="11"/>
      <c r="G1254" s="14">
        <f>ROUND(G1253/13,2)</f>
        <v>19.7</v>
      </c>
    </row>
    <row r="1255" spans="1:7" ht="21" x14ac:dyDescent="0.35">
      <c r="A1255" s="13" t="s">
        <v>196</v>
      </c>
      <c r="B1255" s="11"/>
      <c r="C1255" s="11"/>
      <c r="D1255" s="11"/>
      <c r="E1255" s="11"/>
      <c r="F1255" s="11"/>
      <c r="G1255" s="14">
        <v>300</v>
      </c>
    </row>
    <row r="1256" spans="1:7" ht="21" x14ac:dyDescent="0.35">
      <c r="A1256" s="13" t="s">
        <v>19</v>
      </c>
      <c r="B1256" s="11"/>
      <c r="C1256" s="11"/>
      <c r="D1256" s="11"/>
      <c r="E1256" s="11"/>
      <c r="F1256" s="11"/>
      <c r="G1256" s="12">
        <f>G1253+G1254+G1255</f>
        <v>575.84999999999991</v>
      </c>
    </row>
    <row r="1267" spans="1:7" ht="21" x14ac:dyDescent="0.35">
      <c r="A1267" s="88" t="s">
        <v>20</v>
      </c>
      <c r="B1267" s="89"/>
      <c r="C1267" s="89"/>
      <c r="D1267" s="89"/>
      <c r="E1267" s="89"/>
      <c r="F1267" s="89"/>
      <c r="G1267" s="90"/>
    </row>
    <row r="1268" spans="1:7" ht="18.75" x14ac:dyDescent="0.25">
      <c r="A1268" s="19" t="s">
        <v>222</v>
      </c>
      <c r="B1268" s="15"/>
      <c r="C1268" s="15"/>
      <c r="D1268" s="15"/>
      <c r="E1268" s="15"/>
      <c r="F1268" s="15"/>
      <c r="G1268" s="16"/>
    </row>
    <row r="1269" spans="1:7" ht="15.75" x14ac:dyDescent="0.25">
      <c r="A1269" s="17"/>
      <c r="B1269" s="18"/>
      <c r="C1269" s="18"/>
      <c r="D1269" s="18"/>
      <c r="E1269" s="18"/>
      <c r="F1269" s="18"/>
      <c r="G1269" s="18"/>
    </row>
    <row r="1270" spans="1:7" ht="15.75" x14ac:dyDescent="0.25">
      <c r="A1270" s="17"/>
      <c r="B1270" s="18"/>
      <c r="C1270" s="18"/>
      <c r="D1270" s="18"/>
      <c r="E1270" s="18"/>
      <c r="F1270" s="18"/>
      <c r="G1270" s="18"/>
    </row>
    <row r="1271" spans="1:7" ht="15.75" x14ac:dyDescent="0.25">
      <c r="A1271" s="20" t="s">
        <v>22</v>
      </c>
      <c r="B1271" s="21" t="s">
        <v>23</v>
      </c>
      <c r="C1271" s="22"/>
      <c r="D1271" s="21" t="s">
        <v>24</v>
      </c>
      <c r="E1271" s="22"/>
      <c r="F1271" s="59" t="s">
        <v>25</v>
      </c>
      <c r="G1271" s="60" t="s">
        <v>26</v>
      </c>
    </row>
    <row r="1272" spans="1:7" ht="15.75" x14ac:dyDescent="0.25">
      <c r="A1272" s="23" t="s">
        <v>27</v>
      </c>
      <c r="B1272" s="24" t="s">
        <v>28</v>
      </c>
      <c r="C1272" s="24" t="s">
        <v>29</v>
      </c>
      <c r="D1272" s="24" t="s">
        <v>28</v>
      </c>
      <c r="E1272" s="24" t="s">
        <v>30</v>
      </c>
      <c r="F1272" s="58" t="s">
        <v>31</v>
      </c>
      <c r="G1272" s="61" t="s">
        <v>31</v>
      </c>
    </row>
    <row r="1273" spans="1:7" ht="15.75" x14ac:dyDescent="0.25">
      <c r="A1273" s="25" t="s">
        <v>32</v>
      </c>
      <c r="B1273" s="26">
        <v>32.247000000000014</v>
      </c>
      <c r="C1273" s="27">
        <v>306.44999999999936</v>
      </c>
      <c r="D1273" s="28">
        <v>0</v>
      </c>
      <c r="E1273" s="27">
        <v>0</v>
      </c>
      <c r="F1273" s="29">
        <v>0</v>
      </c>
      <c r="G1273" s="27">
        <v>0</v>
      </c>
    </row>
    <row r="1274" spans="1:7" ht="15.75" x14ac:dyDescent="0.25">
      <c r="A1274" s="30">
        <v>201</v>
      </c>
      <c r="B1274" s="26">
        <v>18.099</v>
      </c>
      <c r="C1274" s="27">
        <v>209.65</v>
      </c>
      <c r="D1274" s="31">
        <v>9.5000000000000001E-2</v>
      </c>
      <c r="E1274" s="27">
        <v>3.04</v>
      </c>
      <c r="F1274" s="27">
        <v>575.84999999999991</v>
      </c>
      <c r="G1274" s="27">
        <v>789</v>
      </c>
    </row>
    <row r="1275" spans="1:7" ht="15.75" x14ac:dyDescent="0.25">
      <c r="A1275" s="30">
        <v>202</v>
      </c>
      <c r="B1275" s="26">
        <v>41.08</v>
      </c>
      <c r="C1275" s="27">
        <v>366.61</v>
      </c>
      <c r="D1275" s="28">
        <v>4.2489999999999997</v>
      </c>
      <c r="E1275" s="27">
        <v>136.07</v>
      </c>
      <c r="F1275" s="27">
        <v>575.84999999999991</v>
      </c>
      <c r="G1275" s="27">
        <v>1079</v>
      </c>
    </row>
    <row r="1276" spans="1:7" ht="15.75" x14ac:dyDescent="0.25">
      <c r="A1276" s="30">
        <v>301</v>
      </c>
      <c r="B1276" s="26">
        <v>19.975000000000001</v>
      </c>
      <c r="C1276" s="27">
        <v>222.46</v>
      </c>
      <c r="D1276" s="28">
        <v>2.4129999999999998</v>
      </c>
      <c r="E1276" s="27">
        <v>77.28</v>
      </c>
      <c r="F1276" s="27">
        <v>575.84999999999991</v>
      </c>
      <c r="G1276" s="27">
        <v>876</v>
      </c>
    </row>
    <row r="1277" spans="1:7" ht="15.75" x14ac:dyDescent="0.25">
      <c r="A1277" s="30">
        <v>302</v>
      </c>
      <c r="B1277" s="26">
        <v>15.302</v>
      </c>
      <c r="C1277" s="27">
        <v>190.55</v>
      </c>
      <c r="D1277" s="28">
        <v>2.8180000000000001</v>
      </c>
      <c r="E1277" s="27">
        <v>90.25</v>
      </c>
      <c r="F1277" s="27">
        <v>575.84999999999991</v>
      </c>
      <c r="G1277" s="27">
        <v>857</v>
      </c>
    </row>
    <row r="1278" spans="1:7" ht="15.75" x14ac:dyDescent="0.25">
      <c r="A1278" s="30">
        <v>401</v>
      </c>
      <c r="B1278" s="26">
        <v>12.597</v>
      </c>
      <c r="C1278" s="27">
        <v>172.07</v>
      </c>
      <c r="D1278" s="28">
        <v>1.788</v>
      </c>
      <c r="E1278" s="27">
        <v>57.26</v>
      </c>
      <c r="F1278" s="27">
        <v>575.84999999999991</v>
      </c>
      <c r="G1278" s="27">
        <v>806</v>
      </c>
    </row>
    <row r="1279" spans="1:7" ht="15.75" x14ac:dyDescent="0.25">
      <c r="A1279" s="30">
        <v>402</v>
      </c>
      <c r="B1279" s="26">
        <v>17.347999999999999</v>
      </c>
      <c r="C1279" s="27">
        <v>204.52</v>
      </c>
      <c r="D1279" s="28">
        <v>2.7370000000000001</v>
      </c>
      <c r="E1279" s="27">
        <v>87.65</v>
      </c>
      <c r="F1279" s="27">
        <v>575.84999999999991</v>
      </c>
      <c r="G1279" s="27">
        <v>869</v>
      </c>
    </row>
    <row r="1280" spans="1:7" ht="15.75" x14ac:dyDescent="0.25">
      <c r="A1280" s="30">
        <v>501</v>
      </c>
      <c r="B1280" s="26">
        <v>11.103</v>
      </c>
      <c r="C1280" s="27">
        <v>161.87</v>
      </c>
      <c r="D1280" s="28">
        <v>0.63200000000000001</v>
      </c>
      <c r="E1280" s="27">
        <v>20.239999999999998</v>
      </c>
      <c r="F1280" s="27">
        <v>575.84999999999991</v>
      </c>
      <c r="G1280" s="27">
        <v>758</v>
      </c>
    </row>
    <row r="1281" spans="1:7" ht="15.75" x14ac:dyDescent="0.25">
      <c r="A1281" s="30">
        <v>502</v>
      </c>
      <c r="B1281" s="26">
        <v>15.795</v>
      </c>
      <c r="C1281" s="27">
        <v>193.91</v>
      </c>
      <c r="D1281" s="28">
        <v>1.3120000000000001</v>
      </c>
      <c r="E1281" s="27">
        <v>42.02</v>
      </c>
      <c r="F1281" s="27">
        <v>575.84999999999991</v>
      </c>
      <c r="G1281" s="27">
        <v>812</v>
      </c>
    </row>
    <row r="1282" spans="1:7" ht="15.75" x14ac:dyDescent="0.25">
      <c r="A1282" s="30">
        <v>601</v>
      </c>
      <c r="B1282" s="26">
        <v>10.965</v>
      </c>
      <c r="C1282" s="27">
        <v>160.93</v>
      </c>
      <c r="D1282" s="28">
        <v>0.50600000000000001</v>
      </c>
      <c r="E1282" s="27">
        <v>16.2</v>
      </c>
      <c r="F1282" s="27">
        <v>575.84999999999991</v>
      </c>
      <c r="G1282" s="27">
        <v>753</v>
      </c>
    </row>
    <row r="1283" spans="1:7" ht="15.75" x14ac:dyDescent="0.25">
      <c r="A1283" s="30">
        <v>602</v>
      </c>
      <c r="B1283" s="26">
        <v>22.366</v>
      </c>
      <c r="C1283" s="27">
        <v>238.79</v>
      </c>
      <c r="D1283" s="28">
        <v>2.012</v>
      </c>
      <c r="E1283" s="27">
        <v>64.430000000000007</v>
      </c>
      <c r="F1283" s="27">
        <v>575.84999999999991</v>
      </c>
      <c r="G1283" s="27">
        <v>880</v>
      </c>
    </row>
    <row r="1284" spans="1:7" ht="15.75" x14ac:dyDescent="0.25">
      <c r="A1284" s="30">
        <v>701</v>
      </c>
      <c r="B1284" s="26">
        <v>13.492000000000001</v>
      </c>
      <c r="C1284" s="27">
        <v>178.19</v>
      </c>
      <c r="D1284" s="28">
        <v>0.747</v>
      </c>
      <c r="E1284" s="27">
        <v>23.92</v>
      </c>
      <c r="F1284" s="27">
        <v>575.84999999999991</v>
      </c>
      <c r="G1284" s="27">
        <v>778</v>
      </c>
    </row>
    <row r="1285" spans="1:7" ht="15.75" x14ac:dyDescent="0.25">
      <c r="A1285" s="30">
        <v>702</v>
      </c>
      <c r="B1285" s="26">
        <v>5.0170000000000003</v>
      </c>
      <c r="C1285" s="27">
        <v>120.3</v>
      </c>
      <c r="D1285" s="28">
        <v>2.31</v>
      </c>
      <c r="E1285" s="27">
        <v>73.98</v>
      </c>
      <c r="F1285" s="27">
        <v>575.84999999999991</v>
      </c>
      <c r="G1285" s="27">
        <v>771</v>
      </c>
    </row>
    <row r="1286" spans="1:7" ht="15.75" x14ac:dyDescent="0.25">
      <c r="A1286" s="30">
        <v>801</v>
      </c>
      <c r="B1286" s="26">
        <v>1.514</v>
      </c>
      <c r="C1286" s="27">
        <v>96.38</v>
      </c>
      <c r="D1286" s="28">
        <v>0</v>
      </c>
      <c r="E1286" s="27">
        <v>0</v>
      </c>
      <c r="F1286" s="27">
        <v>575.84999999999991</v>
      </c>
      <c r="G1286" s="27">
        <v>673</v>
      </c>
    </row>
    <row r="1287" spans="1:7" ht="15.75" x14ac:dyDescent="0.25">
      <c r="A1287" s="30">
        <v>802</v>
      </c>
      <c r="B1287" s="26">
        <v>19.100000000000001</v>
      </c>
      <c r="C1287" s="27">
        <v>216.49</v>
      </c>
      <c r="D1287" s="28">
        <v>2.5739999999999998</v>
      </c>
      <c r="E1287" s="27">
        <v>82.43</v>
      </c>
      <c r="F1287" s="63">
        <v>575.84999999999991</v>
      </c>
      <c r="G1287" s="63">
        <v>875</v>
      </c>
    </row>
    <row r="1289" spans="1:7" x14ac:dyDescent="0.25">
      <c r="A1289" s="32"/>
      <c r="B1289" s="7"/>
      <c r="C1289" s="7"/>
      <c r="D1289" s="7"/>
      <c r="E1289" s="7"/>
      <c r="F1289" s="7"/>
      <c r="G1289" s="33"/>
    </row>
    <row r="1290" spans="1:7" x14ac:dyDescent="0.25">
      <c r="A1290" s="32"/>
      <c r="B1290" s="7"/>
      <c r="C1290" s="7"/>
      <c r="D1290" s="7"/>
      <c r="E1290" s="7"/>
      <c r="F1290" s="7"/>
      <c r="G1290" s="33"/>
    </row>
    <row r="1291" spans="1:7" x14ac:dyDescent="0.25">
      <c r="A1291" s="32"/>
      <c r="B1291" s="7"/>
      <c r="C1291" s="7"/>
      <c r="D1291" s="7"/>
      <c r="E1291" s="7"/>
      <c r="F1291" s="7"/>
      <c r="G1291" s="33"/>
    </row>
    <row r="1293" spans="1:7" ht="15.75" x14ac:dyDescent="0.25">
      <c r="A1293" s="34" t="s">
        <v>223</v>
      </c>
      <c r="B1293" s="35"/>
      <c r="C1293" s="35"/>
      <c r="D1293" s="35"/>
      <c r="E1293" s="35"/>
      <c r="F1293" s="36"/>
      <c r="G1293" s="57">
        <v>78206.92</v>
      </c>
    </row>
    <row r="1294" spans="1:7" ht="15.75" x14ac:dyDescent="0.25">
      <c r="A1294" s="37" t="s">
        <v>224</v>
      </c>
      <c r="B1294" s="38"/>
      <c r="C1294" s="38"/>
      <c r="D1294" s="38"/>
      <c r="E1294" s="38"/>
      <c r="F1294" s="39"/>
      <c r="G1294" s="57">
        <v>4200</v>
      </c>
    </row>
    <row r="1295" spans="1:7" ht="15.75" x14ac:dyDescent="0.25">
      <c r="A1295" s="34" t="s">
        <v>225</v>
      </c>
      <c r="B1295" s="35"/>
      <c r="C1295" s="35"/>
      <c r="D1295" s="35"/>
      <c r="E1295" s="35"/>
      <c r="F1295" s="36"/>
      <c r="G1295" s="57">
        <f>G1293+G1294</f>
        <v>82406.92</v>
      </c>
    </row>
    <row r="1296" spans="1:7" ht="18.75" x14ac:dyDescent="0.3">
      <c r="A1296" s="40"/>
      <c r="B1296" s="40"/>
      <c r="C1296" s="40"/>
      <c r="D1296" s="40"/>
      <c r="E1296" s="40"/>
      <c r="F1296" s="40"/>
      <c r="G1296" s="40"/>
    </row>
    <row r="1297" spans="1:7" ht="31.5" customHeight="1" x14ac:dyDescent="0.25">
      <c r="A1297" s="85" t="s">
        <v>54</v>
      </c>
      <c r="B1297" s="86"/>
      <c r="C1297" s="86"/>
      <c r="D1297" s="86"/>
      <c r="E1297" s="86"/>
      <c r="F1297" s="86"/>
      <c r="G1297" s="87"/>
    </row>
    <row r="1298" spans="1:7" ht="15.75" x14ac:dyDescent="0.25">
      <c r="A1298" s="41" t="s">
        <v>36</v>
      </c>
      <c r="B1298" s="42"/>
      <c r="C1298" s="42"/>
      <c r="D1298" s="42"/>
      <c r="E1298" s="42"/>
      <c r="F1298" s="42"/>
      <c r="G1298" s="43"/>
    </row>
    <row r="1299" spans="1:7" ht="15.75" x14ac:dyDescent="0.25">
      <c r="A1299" s="44" t="s">
        <v>37</v>
      </c>
      <c r="B1299" s="45"/>
      <c r="C1299" s="45"/>
      <c r="D1299" s="45"/>
      <c r="E1299" s="45"/>
      <c r="F1299" s="45"/>
      <c r="G1299" s="46"/>
    </row>
    <row r="1300" spans="1:7" ht="15.75" x14ac:dyDescent="0.25">
      <c r="A1300" s="47"/>
      <c r="B1300" s="47"/>
      <c r="C1300" s="47"/>
      <c r="D1300" s="47"/>
      <c r="E1300" s="47"/>
      <c r="F1300" s="47"/>
      <c r="G1300" s="47"/>
    </row>
    <row r="1301" spans="1:7" ht="15.75" x14ac:dyDescent="0.25">
      <c r="A1301" s="48" t="s">
        <v>50</v>
      </c>
      <c r="B1301" s="49"/>
      <c r="C1301" s="49"/>
      <c r="D1301" s="49"/>
      <c r="E1301" s="49"/>
      <c r="F1301" s="49"/>
      <c r="G1301" s="50"/>
    </row>
    <row r="1302" spans="1:7" ht="15.75" x14ac:dyDescent="0.25">
      <c r="A1302" s="47"/>
      <c r="B1302" s="47"/>
      <c r="C1302" s="47"/>
      <c r="D1302" s="47"/>
      <c r="E1302" s="47"/>
      <c r="F1302" s="47"/>
      <c r="G1302" s="47"/>
    </row>
    <row r="1303" spans="1:7" ht="15.75" x14ac:dyDescent="0.25">
      <c r="A1303" s="47"/>
      <c r="B1303" s="47"/>
      <c r="C1303" s="47"/>
      <c r="D1303" s="47"/>
      <c r="E1303" s="47"/>
      <c r="F1303" s="47"/>
      <c r="G1303" s="47"/>
    </row>
    <row r="1304" spans="1:7" ht="15.75" x14ac:dyDescent="0.25">
      <c r="A1304" s="47"/>
      <c r="B1304" s="47"/>
      <c r="C1304" s="47"/>
      <c r="D1304" s="47"/>
      <c r="E1304" s="47"/>
      <c r="F1304" s="47"/>
      <c r="G1304" s="47"/>
    </row>
    <row r="1313" spans="1:9" ht="21" x14ac:dyDescent="0.35">
      <c r="A1313" s="88" t="s">
        <v>20</v>
      </c>
      <c r="B1313" s="89"/>
      <c r="C1313" s="89"/>
      <c r="D1313" s="89"/>
      <c r="E1313" s="89"/>
      <c r="F1313" s="89"/>
      <c r="G1313" s="90"/>
      <c r="H1313" s="56"/>
      <c r="I1313" s="56"/>
    </row>
    <row r="1315" spans="1:9" ht="17.25" x14ac:dyDescent="0.3">
      <c r="A1315" s="51" t="s">
        <v>226</v>
      </c>
      <c r="B1315" s="51"/>
      <c r="C1315" s="51"/>
      <c r="D1315" s="51"/>
      <c r="E1315" s="51"/>
      <c r="F1315" s="51"/>
      <c r="G1315" s="51"/>
      <c r="H1315" s="51"/>
      <c r="I1315" s="51"/>
    </row>
    <row r="1316" spans="1:9" ht="17.25" x14ac:dyDescent="0.3">
      <c r="A1316" s="51"/>
      <c r="B1316" s="51"/>
      <c r="C1316" s="51"/>
      <c r="D1316" s="51"/>
      <c r="E1316" s="51"/>
      <c r="F1316" s="51"/>
      <c r="G1316" s="51"/>
      <c r="H1316" s="51"/>
      <c r="I1316" s="51"/>
    </row>
    <row r="1317" spans="1:9" ht="17.25" x14ac:dyDescent="0.3">
      <c r="A1317" s="51" t="s">
        <v>227</v>
      </c>
      <c r="B1317" s="51"/>
      <c r="C1317" s="51"/>
      <c r="D1317" s="51"/>
      <c r="E1317" s="51"/>
      <c r="F1317" s="51"/>
      <c r="G1317" s="51"/>
      <c r="H1317" s="51"/>
      <c r="I1317" s="51"/>
    </row>
    <row r="1318" spans="1:9" ht="17.25" x14ac:dyDescent="0.3">
      <c r="A1318" s="51"/>
      <c r="B1318" s="51"/>
      <c r="C1318" s="51"/>
      <c r="D1318" s="51"/>
      <c r="E1318" s="51"/>
      <c r="F1318" s="51"/>
      <c r="G1318" s="51"/>
      <c r="H1318" s="51"/>
      <c r="I1318" s="51"/>
    </row>
    <row r="1319" spans="1:9" ht="17.25" x14ac:dyDescent="0.3">
      <c r="A1319" s="51" t="s">
        <v>228</v>
      </c>
      <c r="B1319" s="51"/>
      <c r="C1319" s="51"/>
      <c r="D1319" s="51"/>
      <c r="E1319" s="51"/>
      <c r="F1319" s="51"/>
      <c r="G1319" s="51"/>
      <c r="H1319" s="51"/>
      <c r="I1319" s="51"/>
    </row>
    <row r="1320" spans="1:9" ht="17.25" x14ac:dyDescent="0.3">
      <c r="A1320" s="51"/>
      <c r="B1320" s="51"/>
      <c r="C1320" s="51"/>
      <c r="D1320" s="51"/>
      <c r="E1320" s="51"/>
      <c r="F1320" s="51"/>
      <c r="G1320" s="51"/>
      <c r="H1320" s="51"/>
      <c r="I1320" s="51"/>
    </row>
    <row r="1321" spans="1:9" ht="17.25" x14ac:dyDescent="0.3">
      <c r="A1321" s="51" t="s">
        <v>40</v>
      </c>
      <c r="B1321" s="51"/>
      <c r="C1321" s="51"/>
      <c r="D1321" s="51"/>
      <c r="E1321" s="51"/>
      <c r="F1321" s="51"/>
      <c r="G1321" s="51"/>
      <c r="H1321" s="51"/>
      <c r="I1321" s="51"/>
    </row>
    <row r="1322" spans="1:9" ht="17.25" x14ac:dyDescent="0.3">
      <c r="A1322" s="51"/>
      <c r="B1322" s="51"/>
      <c r="C1322" s="51"/>
      <c r="D1322" s="51"/>
      <c r="E1322" s="51"/>
      <c r="F1322" s="51"/>
      <c r="G1322" s="51"/>
      <c r="H1322" s="51"/>
      <c r="I1322" s="51"/>
    </row>
    <row r="1323" spans="1:9" ht="33" customHeight="1" x14ac:dyDescent="0.3">
      <c r="A1323" s="91" t="s">
        <v>229</v>
      </c>
      <c r="B1323" s="91"/>
      <c r="C1323" s="91"/>
      <c r="D1323" s="91"/>
      <c r="E1323" s="91"/>
      <c r="F1323" s="91"/>
      <c r="G1323" s="91"/>
      <c r="H1323" s="55"/>
      <c r="I1323" s="55"/>
    </row>
    <row r="1324" spans="1:9" ht="17.25" x14ac:dyDescent="0.3">
      <c r="A1324" s="51"/>
      <c r="B1324" s="51"/>
      <c r="C1324" s="51"/>
      <c r="D1324" s="51"/>
      <c r="E1324" s="51"/>
      <c r="F1324" s="51"/>
      <c r="G1324" s="51"/>
      <c r="H1324" s="51"/>
      <c r="I1324" s="51"/>
    </row>
    <row r="1325" spans="1:9" ht="33" customHeight="1" x14ac:dyDescent="0.3">
      <c r="A1325" s="91" t="s">
        <v>230</v>
      </c>
      <c r="B1325" s="91"/>
      <c r="C1325" s="91"/>
      <c r="D1325" s="91"/>
      <c r="E1325" s="91"/>
      <c r="F1325" s="91"/>
      <c r="G1325" s="91"/>
      <c r="H1325" s="55"/>
      <c r="I1325" s="55"/>
    </row>
    <row r="1326" spans="1:9" ht="17.25" x14ac:dyDescent="0.3">
      <c r="A1326" s="51"/>
      <c r="B1326" s="51"/>
      <c r="C1326" s="51"/>
      <c r="D1326" s="51"/>
      <c r="E1326" s="51"/>
      <c r="F1326" s="51"/>
      <c r="G1326" s="51"/>
      <c r="H1326" s="51"/>
      <c r="I1326" s="51"/>
    </row>
    <row r="1327" spans="1:9" ht="33" customHeight="1" x14ac:dyDescent="0.3">
      <c r="A1327" s="91" t="s">
        <v>231</v>
      </c>
      <c r="B1327" s="91"/>
      <c r="C1327" s="91"/>
      <c r="D1327" s="91"/>
      <c r="E1327" s="91"/>
      <c r="F1327" s="91"/>
      <c r="G1327" s="91"/>
      <c r="H1327" s="55"/>
      <c r="I1327" s="55"/>
    </row>
    <row r="1329" spans="1:7" ht="18.75" x14ac:dyDescent="0.3">
      <c r="A1329" s="1" t="s">
        <v>232</v>
      </c>
      <c r="B1329" s="2"/>
      <c r="C1329" s="2"/>
      <c r="D1329" s="2"/>
      <c r="E1329" s="2"/>
      <c r="F1329" s="2"/>
      <c r="G1329" s="53"/>
    </row>
    <row r="1330" spans="1:7" ht="15.75" x14ac:dyDescent="0.25">
      <c r="A1330" s="3" t="s">
        <v>1</v>
      </c>
      <c r="B1330" s="3" t="s">
        <v>2</v>
      </c>
      <c r="C1330" s="4" t="s">
        <v>3</v>
      </c>
      <c r="D1330" s="4"/>
      <c r="E1330" s="4"/>
      <c r="F1330" s="4"/>
      <c r="G1330" s="62" t="s">
        <v>30</v>
      </c>
    </row>
    <row r="1331" spans="1:7" ht="15.75" x14ac:dyDescent="0.25">
      <c r="A1331" s="5">
        <v>45422</v>
      </c>
      <c r="B1331" s="6" t="s">
        <v>4</v>
      </c>
      <c r="C1331" s="7" t="s">
        <v>5</v>
      </c>
      <c r="D1331" s="7"/>
      <c r="E1331" s="7"/>
      <c r="F1331" s="7"/>
      <c r="G1331" s="52">
        <v>1255.0899999999999</v>
      </c>
    </row>
    <row r="1332" spans="1:7" ht="15.75" x14ac:dyDescent="0.25">
      <c r="A1332" s="5">
        <v>45427</v>
      </c>
      <c r="B1332" s="6" t="s">
        <v>4</v>
      </c>
      <c r="C1332" s="7" t="s">
        <v>61</v>
      </c>
      <c r="D1332" s="7"/>
      <c r="E1332" s="7"/>
      <c r="F1332" s="7"/>
      <c r="G1332" s="52">
        <v>1089.71</v>
      </c>
    </row>
    <row r="1333" spans="1:7" ht="15.75" x14ac:dyDescent="0.25">
      <c r="A1333" s="5">
        <v>45427</v>
      </c>
      <c r="B1333" s="6" t="s">
        <v>4</v>
      </c>
      <c r="C1333" s="7" t="s">
        <v>8</v>
      </c>
      <c r="D1333" s="7"/>
      <c r="E1333" s="7"/>
      <c r="F1333" s="7"/>
      <c r="G1333" s="52">
        <v>276.17999999999984</v>
      </c>
    </row>
    <row r="1334" spans="1:7" ht="15.75" x14ac:dyDescent="0.25">
      <c r="A1334" s="5">
        <v>45429</v>
      </c>
      <c r="B1334" s="6" t="s">
        <v>4</v>
      </c>
      <c r="C1334" s="7" t="s">
        <v>9</v>
      </c>
      <c r="D1334" s="7"/>
      <c r="E1334" s="7"/>
      <c r="F1334" s="7"/>
      <c r="G1334" s="52">
        <v>328.53</v>
      </c>
    </row>
    <row r="1335" spans="1:7" ht="15.75" x14ac:dyDescent="0.25">
      <c r="A1335" s="5">
        <v>45432</v>
      </c>
      <c r="B1335" s="6" t="s">
        <v>4</v>
      </c>
      <c r="C1335" s="7" t="s">
        <v>47</v>
      </c>
      <c r="D1335" s="7"/>
      <c r="E1335" s="7"/>
      <c r="F1335" s="7"/>
      <c r="G1335" s="52">
        <v>208.27</v>
      </c>
    </row>
    <row r="1336" spans="1:7" ht="15.75" x14ac:dyDescent="0.25">
      <c r="A1336" s="5">
        <v>45393</v>
      </c>
      <c r="B1336" s="6" t="s">
        <v>4</v>
      </c>
      <c r="C1336" s="7" t="s">
        <v>234</v>
      </c>
      <c r="D1336" s="7"/>
      <c r="E1336" s="7"/>
      <c r="F1336" s="7"/>
      <c r="G1336" s="52">
        <v>30</v>
      </c>
    </row>
    <row r="1337" spans="1:7" ht="15.75" x14ac:dyDescent="0.25">
      <c r="A1337" s="5">
        <v>45439</v>
      </c>
      <c r="B1337" s="6" t="s">
        <v>4</v>
      </c>
      <c r="C1337" s="7" t="s">
        <v>77</v>
      </c>
      <c r="D1337" s="7"/>
      <c r="E1337" s="7"/>
      <c r="F1337" s="7"/>
      <c r="G1337" s="52">
        <v>189.12</v>
      </c>
    </row>
    <row r="1338" spans="1:7" ht="15.75" x14ac:dyDescent="0.25">
      <c r="A1338" s="5">
        <v>45432</v>
      </c>
      <c r="B1338" s="6" t="s">
        <v>4</v>
      </c>
      <c r="C1338" s="7" t="s">
        <v>78</v>
      </c>
      <c r="D1338" s="7"/>
      <c r="E1338" s="7"/>
      <c r="F1338" s="7"/>
      <c r="G1338" s="52">
        <v>682</v>
      </c>
    </row>
    <row r="1339" spans="1:7" ht="15.75" x14ac:dyDescent="0.25">
      <c r="A1339" s="8">
        <v>45440</v>
      </c>
      <c r="B1339" s="6" t="s">
        <v>4</v>
      </c>
      <c r="C1339" s="7" t="s">
        <v>14</v>
      </c>
      <c r="D1339" s="7"/>
      <c r="E1339" s="7"/>
      <c r="F1339" s="7"/>
      <c r="G1339" s="52">
        <v>141</v>
      </c>
    </row>
    <row r="1340" spans="1:7" ht="15.75" customHeight="1" x14ac:dyDescent="0.25">
      <c r="A1340" s="8">
        <v>45414</v>
      </c>
      <c r="B1340" s="54" t="s">
        <v>4</v>
      </c>
      <c r="C1340" s="32" t="s">
        <v>15</v>
      </c>
      <c r="D1340" s="67"/>
      <c r="E1340" s="67"/>
      <c r="F1340" s="68"/>
      <c r="G1340" s="52">
        <v>65</v>
      </c>
    </row>
    <row r="1341" spans="1:7" ht="21" x14ac:dyDescent="0.35">
      <c r="A1341" s="9" t="s">
        <v>16</v>
      </c>
      <c r="B1341" s="10"/>
      <c r="C1341" s="11"/>
      <c r="D1341" s="11"/>
      <c r="E1341" s="11"/>
      <c r="F1341" s="11"/>
      <c r="G1341" s="12">
        <f>SUM(G1331:G1340)</f>
        <v>4264.8999999999996</v>
      </c>
    </row>
    <row r="1342" spans="1:7" ht="21" x14ac:dyDescent="0.35">
      <c r="A1342" s="13" t="s">
        <v>17</v>
      </c>
      <c r="B1342" s="11"/>
      <c r="C1342" s="11"/>
      <c r="D1342" s="11"/>
      <c r="E1342" s="11"/>
      <c r="F1342" s="11"/>
      <c r="G1342" s="14">
        <f>ROUND(G1341/14,2)</f>
        <v>304.64</v>
      </c>
    </row>
    <row r="1343" spans="1:7" ht="21" x14ac:dyDescent="0.35">
      <c r="A1343" s="13" t="s">
        <v>74</v>
      </c>
      <c r="B1343" s="11"/>
      <c r="C1343" s="11"/>
      <c r="D1343" s="11"/>
      <c r="E1343" s="11"/>
      <c r="F1343" s="11"/>
      <c r="G1343" s="14">
        <f>ROUND(G1342/13,2)</f>
        <v>23.43</v>
      </c>
    </row>
    <row r="1344" spans="1:7" ht="21" x14ac:dyDescent="0.35">
      <c r="A1344" s="13" t="s">
        <v>196</v>
      </c>
      <c r="B1344" s="11"/>
      <c r="C1344" s="11"/>
      <c r="D1344" s="11"/>
      <c r="E1344" s="11"/>
      <c r="F1344" s="11"/>
      <c r="G1344" s="14">
        <v>300</v>
      </c>
    </row>
    <row r="1345" spans="1:7" ht="21" x14ac:dyDescent="0.35">
      <c r="A1345" s="13" t="s">
        <v>19</v>
      </c>
      <c r="B1345" s="11"/>
      <c r="C1345" s="11"/>
      <c r="D1345" s="11"/>
      <c r="E1345" s="11"/>
      <c r="F1345" s="11"/>
      <c r="G1345" s="12">
        <f>G1342+G1343+G1344</f>
        <v>628.06999999999994</v>
      </c>
    </row>
    <row r="1354" spans="1:7" ht="21" x14ac:dyDescent="0.35">
      <c r="A1354" s="88" t="s">
        <v>20</v>
      </c>
      <c r="B1354" s="89"/>
      <c r="C1354" s="89"/>
      <c r="D1354" s="89"/>
      <c r="E1354" s="89"/>
      <c r="F1354" s="89"/>
      <c r="G1354" s="90"/>
    </row>
    <row r="1355" spans="1:7" ht="18.75" x14ac:dyDescent="0.25">
      <c r="A1355" s="19" t="s">
        <v>233</v>
      </c>
      <c r="B1355" s="15"/>
      <c r="C1355" s="15"/>
      <c r="D1355" s="15"/>
      <c r="E1355" s="15"/>
      <c r="F1355" s="15"/>
      <c r="G1355" s="16"/>
    </row>
    <row r="1356" spans="1:7" ht="15.75" x14ac:dyDescent="0.25">
      <c r="A1356" s="17"/>
      <c r="B1356" s="18"/>
      <c r="C1356" s="18"/>
      <c r="D1356" s="18"/>
      <c r="E1356" s="18"/>
      <c r="F1356" s="18"/>
      <c r="G1356" s="18"/>
    </row>
    <row r="1357" spans="1:7" ht="15.75" x14ac:dyDescent="0.25">
      <c r="A1357" s="17"/>
      <c r="B1357" s="18"/>
      <c r="C1357" s="18"/>
      <c r="D1357" s="18"/>
      <c r="E1357" s="18"/>
      <c r="F1357" s="18"/>
      <c r="G1357" s="18"/>
    </row>
    <row r="1358" spans="1:7" ht="15.75" x14ac:dyDescent="0.25">
      <c r="A1358" s="20" t="s">
        <v>22</v>
      </c>
      <c r="B1358" s="21" t="s">
        <v>23</v>
      </c>
      <c r="C1358" s="22"/>
      <c r="D1358" s="21" t="s">
        <v>24</v>
      </c>
      <c r="E1358" s="22"/>
      <c r="F1358" s="59" t="s">
        <v>25</v>
      </c>
      <c r="G1358" s="60" t="s">
        <v>26</v>
      </c>
    </row>
    <row r="1359" spans="1:7" ht="15.75" x14ac:dyDescent="0.25">
      <c r="A1359" s="23" t="s">
        <v>27</v>
      </c>
      <c r="B1359" s="24" t="s">
        <v>28</v>
      </c>
      <c r="C1359" s="24" t="s">
        <v>29</v>
      </c>
      <c r="D1359" s="24" t="s">
        <v>28</v>
      </c>
      <c r="E1359" s="24" t="s">
        <v>30</v>
      </c>
      <c r="F1359" s="58" t="s">
        <v>31</v>
      </c>
      <c r="G1359" s="61" t="s">
        <v>31</v>
      </c>
    </row>
    <row r="1360" spans="1:7" ht="15.75" x14ac:dyDescent="0.25">
      <c r="A1360" s="25" t="s">
        <v>32</v>
      </c>
      <c r="B1360" s="26">
        <v>23.628000000000043</v>
      </c>
      <c r="C1360" s="27">
        <v>276.17999999999984</v>
      </c>
      <c r="D1360" s="28">
        <v>0</v>
      </c>
      <c r="E1360" s="27">
        <v>0</v>
      </c>
      <c r="F1360" s="29">
        <v>0</v>
      </c>
      <c r="G1360" s="27">
        <v>0</v>
      </c>
    </row>
    <row r="1361" spans="1:7" ht="15.75" x14ac:dyDescent="0.25">
      <c r="A1361" s="30">
        <v>201</v>
      </c>
      <c r="B1361" s="26">
        <v>23.068000000000001</v>
      </c>
      <c r="C1361" s="27">
        <v>270.83999999999997</v>
      </c>
      <c r="D1361" s="31">
        <v>5.1999999999999998E-2</v>
      </c>
      <c r="E1361" s="27">
        <v>1.67</v>
      </c>
      <c r="F1361" s="27">
        <v>628.06999999999994</v>
      </c>
      <c r="G1361" s="27">
        <v>901</v>
      </c>
    </row>
    <row r="1362" spans="1:7" ht="15.75" x14ac:dyDescent="0.25">
      <c r="A1362" s="30">
        <v>202</v>
      </c>
      <c r="B1362" s="26">
        <v>44.97</v>
      </c>
      <c r="C1362" s="27">
        <v>429.85</v>
      </c>
      <c r="D1362" s="28">
        <v>4.6219999999999999</v>
      </c>
      <c r="E1362" s="27">
        <v>148.02000000000001</v>
      </c>
      <c r="F1362" s="27">
        <v>628.06999999999994</v>
      </c>
      <c r="G1362" s="27">
        <v>1206</v>
      </c>
    </row>
    <row r="1363" spans="1:7" ht="15.75" x14ac:dyDescent="0.25">
      <c r="A1363" s="30">
        <v>301</v>
      </c>
      <c r="B1363" s="26">
        <v>26.809000000000001</v>
      </c>
      <c r="C1363" s="27">
        <v>298</v>
      </c>
      <c r="D1363" s="28">
        <v>3.2189999999999999</v>
      </c>
      <c r="E1363" s="27">
        <v>103.09</v>
      </c>
      <c r="F1363" s="27">
        <v>628.06999999999994</v>
      </c>
      <c r="G1363" s="27">
        <v>1030</v>
      </c>
    </row>
    <row r="1364" spans="1:7" ht="15.75" x14ac:dyDescent="0.25">
      <c r="A1364" s="30">
        <v>302</v>
      </c>
      <c r="B1364" s="26">
        <v>19.079000000000001</v>
      </c>
      <c r="C1364" s="27">
        <v>241.88</v>
      </c>
      <c r="D1364" s="28">
        <v>1.83</v>
      </c>
      <c r="E1364" s="27">
        <v>58.61</v>
      </c>
      <c r="F1364" s="27">
        <v>628.06999999999994</v>
      </c>
      <c r="G1364" s="27">
        <v>929</v>
      </c>
    </row>
    <row r="1365" spans="1:7" ht="15.75" x14ac:dyDescent="0.25">
      <c r="A1365" s="30">
        <v>401</v>
      </c>
      <c r="B1365" s="26">
        <v>10.218</v>
      </c>
      <c r="C1365" s="27">
        <v>177.55</v>
      </c>
      <c r="D1365" s="28">
        <v>2.0859999999999999</v>
      </c>
      <c r="E1365" s="27">
        <v>66.8</v>
      </c>
      <c r="F1365" s="27">
        <v>628.06999999999994</v>
      </c>
      <c r="G1365" s="27">
        <v>873</v>
      </c>
    </row>
    <row r="1366" spans="1:7" ht="15.75" x14ac:dyDescent="0.25">
      <c r="A1366" s="30">
        <v>402</v>
      </c>
      <c r="B1366" s="26">
        <v>15.273</v>
      </c>
      <c r="C1366" s="27">
        <v>214.25</v>
      </c>
      <c r="D1366" s="28">
        <v>3.1280000000000001</v>
      </c>
      <c r="E1366" s="27">
        <v>100.17</v>
      </c>
      <c r="F1366" s="27">
        <v>628.06999999999994</v>
      </c>
      <c r="G1366" s="27">
        <v>943</v>
      </c>
    </row>
    <row r="1367" spans="1:7" ht="15.75" x14ac:dyDescent="0.25">
      <c r="A1367" s="30">
        <v>501</v>
      </c>
      <c r="B1367" s="26">
        <v>10.074999999999999</v>
      </c>
      <c r="C1367" s="27">
        <v>176.51</v>
      </c>
      <c r="D1367" s="28">
        <v>0.70799999999999996</v>
      </c>
      <c r="E1367" s="27">
        <v>22.67</v>
      </c>
      <c r="F1367" s="27">
        <v>628.06999999999994</v>
      </c>
      <c r="G1367" s="27">
        <v>828</v>
      </c>
    </row>
    <row r="1368" spans="1:7" ht="15.75" x14ac:dyDescent="0.25">
      <c r="A1368" s="30">
        <v>502</v>
      </c>
      <c r="B1368" s="26">
        <v>22.832999999999998</v>
      </c>
      <c r="C1368" s="27">
        <v>269.13</v>
      </c>
      <c r="D1368" s="28">
        <v>1.7450000000000001</v>
      </c>
      <c r="E1368" s="27">
        <v>55.88</v>
      </c>
      <c r="F1368" s="27">
        <v>628.06999999999994</v>
      </c>
      <c r="G1368" s="27">
        <v>954</v>
      </c>
    </row>
    <row r="1369" spans="1:7" ht="15.75" x14ac:dyDescent="0.25">
      <c r="A1369" s="30">
        <v>601</v>
      </c>
      <c r="B1369" s="26">
        <v>22.751000000000001</v>
      </c>
      <c r="C1369" s="27">
        <v>268.54000000000002</v>
      </c>
      <c r="D1369" s="28">
        <v>0.48799999999999999</v>
      </c>
      <c r="E1369" s="27">
        <v>15.63</v>
      </c>
      <c r="F1369" s="27">
        <v>628.06999999999994</v>
      </c>
      <c r="G1369" s="27">
        <v>913</v>
      </c>
    </row>
    <row r="1370" spans="1:7" ht="15.75" x14ac:dyDescent="0.25">
      <c r="A1370" s="30">
        <v>602</v>
      </c>
      <c r="B1370" s="26">
        <v>28.812999999999999</v>
      </c>
      <c r="C1370" s="27">
        <v>312.55</v>
      </c>
      <c r="D1370" s="28">
        <v>2.347</v>
      </c>
      <c r="E1370" s="27">
        <v>75.16</v>
      </c>
      <c r="F1370" s="27">
        <v>628.06999999999994</v>
      </c>
      <c r="G1370" s="27">
        <v>1016</v>
      </c>
    </row>
    <row r="1371" spans="1:7" ht="15.75" x14ac:dyDescent="0.25">
      <c r="A1371" s="30">
        <v>701</v>
      </c>
      <c r="B1371" s="26">
        <v>18.292000000000002</v>
      </c>
      <c r="C1371" s="27">
        <v>236.16</v>
      </c>
      <c r="D1371" s="28">
        <v>0.70899999999999996</v>
      </c>
      <c r="E1371" s="27">
        <v>22.71</v>
      </c>
      <c r="F1371" s="27">
        <v>628.06999999999994</v>
      </c>
      <c r="G1371" s="27">
        <v>887</v>
      </c>
    </row>
    <row r="1372" spans="1:7" ht="15.75" x14ac:dyDescent="0.25">
      <c r="A1372" s="30">
        <v>702</v>
      </c>
      <c r="B1372" s="26">
        <v>5.9550000000000001</v>
      </c>
      <c r="C1372" s="27">
        <v>146.6</v>
      </c>
      <c r="D1372" s="28">
        <v>2.0329999999999999</v>
      </c>
      <c r="E1372" s="27">
        <v>65.11</v>
      </c>
      <c r="F1372" s="27">
        <v>628.06999999999994</v>
      </c>
      <c r="G1372" s="27">
        <v>840</v>
      </c>
    </row>
    <row r="1373" spans="1:7" ht="15.75" x14ac:dyDescent="0.25">
      <c r="A1373" s="30">
        <v>801</v>
      </c>
      <c r="B1373" s="26">
        <v>0.188</v>
      </c>
      <c r="C1373" s="27">
        <v>104.73</v>
      </c>
      <c r="D1373" s="28">
        <v>0</v>
      </c>
      <c r="E1373" s="27">
        <v>0</v>
      </c>
      <c r="F1373" s="27">
        <v>628.06999999999994</v>
      </c>
      <c r="G1373" s="27">
        <v>733</v>
      </c>
    </row>
    <row r="1374" spans="1:7" ht="15.75" x14ac:dyDescent="0.25">
      <c r="A1374" s="30">
        <v>802</v>
      </c>
      <c r="B1374" s="26">
        <v>17.047999999999998</v>
      </c>
      <c r="C1374" s="27">
        <v>227.13</v>
      </c>
      <c r="D1374" s="28">
        <v>2.4319999999999999</v>
      </c>
      <c r="E1374" s="27">
        <v>77.88</v>
      </c>
      <c r="F1374" s="63">
        <v>628.06999999999994</v>
      </c>
      <c r="G1374" s="63">
        <v>934</v>
      </c>
    </row>
    <row r="1376" spans="1:7" x14ac:dyDescent="0.25">
      <c r="A1376" s="32"/>
      <c r="B1376" s="7"/>
      <c r="C1376" s="7"/>
      <c r="D1376" s="7"/>
      <c r="E1376" s="7"/>
      <c r="F1376" s="7"/>
      <c r="G1376" s="33"/>
    </row>
    <row r="1377" spans="1:7" x14ac:dyDescent="0.25">
      <c r="A1377" s="32"/>
      <c r="B1377" s="7"/>
      <c r="C1377" s="7"/>
      <c r="D1377" s="7"/>
      <c r="E1377" s="7"/>
      <c r="F1377" s="7"/>
      <c r="G1377" s="33"/>
    </row>
    <row r="1378" spans="1:7" x14ac:dyDescent="0.25">
      <c r="A1378" s="32"/>
      <c r="B1378" s="7"/>
      <c r="C1378" s="7"/>
      <c r="D1378" s="7"/>
      <c r="E1378" s="7"/>
      <c r="F1378" s="7"/>
      <c r="G1378" s="33"/>
    </row>
    <row r="1380" spans="1:7" ht="15.75" x14ac:dyDescent="0.25">
      <c r="A1380" s="34" t="s">
        <v>235</v>
      </c>
      <c r="B1380" s="35"/>
      <c r="C1380" s="35"/>
      <c r="D1380" s="35"/>
      <c r="E1380" s="35"/>
      <c r="F1380" s="36"/>
      <c r="G1380" s="57">
        <v>82406.92</v>
      </c>
    </row>
    <row r="1381" spans="1:7" ht="15.75" x14ac:dyDescent="0.25">
      <c r="A1381" s="37" t="s">
        <v>236</v>
      </c>
      <c r="B1381" s="38"/>
      <c r="C1381" s="38"/>
      <c r="D1381" s="38"/>
      <c r="E1381" s="38"/>
      <c r="F1381" s="39"/>
      <c r="G1381" s="57">
        <v>4200</v>
      </c>
    </row>
    <row r="1382" spans="1:7" ht="15.75" x14ac:dyDescent="0.25">
      <c r="A1382" s="34" t="s">
        <v>237</v>
      </c>
      <c r="B1382" s="35"/>
      <c r="C1382" s="35"/>
      <c r="D1382" s="35"/>
      <c r="E1382" s="35"/>
      <c r="F1382" s="36"/>
      <c r="G1382" s="57">
        <f>G1380+G1381</f>
        <v>86606.92</v>
      </c>
    </row>
    <row r="1383" spans="1:7" ht="18.75" x14ac:dyDescent="0.3">
      <c r="A1383" s="40"/>
      <c r="B1383" s="40"/>
      <c r="C1383" s="40"/>
      <c r="D1383" s="40"/>
      <c r="E1383" s="40"/>
      <c r="F1383" s="40"/>
      <c r="G1383" s="40"/>
    </row>
    <row r="1384" spans="1:7" ht="31.5" customHeight="1" x14ac:dyDescent="0.25">
      <c r="A1384" s="85" t="s">
        <v>54</v>
      </c>
      <c r="B1384" s="86"/>
      <c r="C1384" s="86"/>
      <c r="D1384" s="86"/>
      <c r="E1384" s="86"/>
      <c r="F1384" s="86"/>
      <c r="G1384" s="87"/>
    </row>
    <row r="1385" spans="1:7" ht="15.75" x14ac:dyDescent="0.25">
      <c r="A1385" s="41" t="s">
        <v>36</v>
      </c>
      <c r="B1385" s="42"/>
      <c r="C1385" s="42"/>
      <c r="D1385" s="42"/>
      <c r="E1385" s="42"/>
      <c r="F1385" s="42"/>
      <c r="G1385" s="43"/>
    </row>
    <row r="1386" spans="1:7" ht="15.75" x14ac:dyDescent="0.25">
      <c r="A1386" s="44" t="s">
        <v>37</v>
      </c>
      <c r="B1386" s="45"/>
      <c r="C1386" s="45"/>
      <c r="D1386" s="45"/>
      <c r="E1386" s="45"/>
      <c r="F1386" s="45"/>
      <c r="G1386" s="46"/>
    </row>
    <row r="1387" spans="1:7" ht="15.75" x14ac:dyDescent="0.25">
      <c r="A1387" s="47"/>
      <c r="B1387" s="47"/>
      <c r="C1387" s="47"/>
      <c r="D1387" s="47"/>
      <c r="E1387" s="47"/>
      <c r="F1387" s="47"/>
      <c r="G1387" s="47"/>
    </row>
    <row r="1388" spans="1:7" ht="15.75" x14ac:dyDescent="0.25">
      <c r="A1388" s="48" t="s">
        <v>50</v>
      </c>
      <c r="B1388" s="49"/>
      <c r="C1388" s="49"/>
      <c r="D1388" s="49"/>
      <c r="E1388" s="49"/>
      <c r="F1388" s="49"/>
      <c r="G1388" s="50"/>
    </row>
    <row r="1389" spans="1:7" ht="15.75" x14ac:dyDescent="0.25">
      <c r="A1389" s="47"/>
      <c r="B1389" s="47"/>
      <c r="C1389" s="47"/>
      <c r="D1389" s="47"/>
      <c r="E1389" s="47"/>
      <c r="F1389" s="47"/>
      <c r="G1389" s="47"/>
    </row>
    <row r="1390" spans="1:7" ht="15.75" x14ac:dyDescent="0.25">
      <c r="A1390" s="47"/>
      <c r="B1390" s="47"/>
      <c r="C1390" s="47"/>
      <c r="D1390" s="47"/>
      <c r="E1390" s="47"/>
      <c r="F1390" s="47"/>
      <c r="G1390" s="47"/>
    </row>
    <row r="1391" spans="1:7" ht="15.75" x14ac:dyDescent="0.25">
      <c r="A1391" s="47"/>
      <c r="B1391" s="47"/>
      <c r="C1391" s="47"/>
      <c r="D1391" s="47"/>
      <c r="E1391" s="47"/>
      <c r="F1391" s="47"/>
      <c r="G1391" s="47"/>
    </row>
    <row r="1400" spans="1:9" ht="21" x14ac:dyDescent="0.35">
      <c r="A1400" s="88" t="s">
        <v>20</v>
      </c>
      <c r="B1400" s="89"/>
      <c r="C1400" s="89"/>
      <c r="D1400" s="89"/>
      <c r="E1400" s="89"/>
      <c r="F1400" s="89"/>
      <c r="G1400" s="90"/>
      <c r="H1400" s="56"/>
      <c r="I1400" s="56"/>
    </row>
    <row r="1402" spans="1:9" ht="17.25" x14ac:dyDescent="0.3">
      <c r="A1402" s="51" t="s">
        <v>238</v>
      </c>
      <c r="B1402" s="51"/>
      <c r="C1402" s="51"/>
      <c r="D1402" s="51"/>
      <c r="E1402" s="51"/>
      <c r="F1402" s="51"/>
      <c r="G1402" s="51"/>
      <c r="H1402" s="51"/>
      <c r="I1402" s="51"/>
    </row>
    <row r="1403" spans="1:9" ht="17.25" x14ac:dyDescent="0.3">
      <c r="A1403" s="51"/>
      <c r="B1403" s="51"/>
      <c r="C1403" s="51"/>
      <c r="D1403" s="51"/>
      <c r="E1403" s="51"/>
      <c r="F1403" s="51"/>
      <c r="G1403" s="51"/>
      <c r="H1403" s="51"/>
      <c r="I1403" s="51"/>
    </row>
    <row r="1404" spans="1:9" ht="17.25" x14ac:dyDescent="0.3">
      <c r="A1404" s="51" t="s">
        <v>239</v>
      </c>
      <c r="B1404" s="51"/>
      <c r="C1404" s="51"/>
      <c r="D1404" s="51"/>
      <c r="E1404" s="51"/>
      <c r="F1404" s="51"/>
      <c r="G1404" s="51"/>
      <c r="H1404" s="51"/>
      <c r="I1404" s="51"/>
    </row>
    <row r="1405" spans="1:9" ht="17.25" x14ac:dyDescent="0.3">
      <c r="A1405" s="51"/>
      <c r="B1405" s="51"/>
      <c r="C1405" s="51"/>
      <c r="D1405" s="51"/>
      <c r="E1405" s="51"/>
      <c r="F1405" s="51"/>
      <c r="G1405" s="51"/>
      <c r="H1405" s="51"/>
      <c r="I1405" s="51"/>
    </row>
    <row r="1406" spans="1:9" ht="17.25" x14ac:dyDescent="0.3">
      <c r="A1406" s="51" t="s">
        <v>240</v>
      </c>
      <c r="B1406" s="51"/>
      <c r="C1406" s="51"/>
      <c r="D1406" s="51"/>
      <c r="E1406" s="51"/>
      <c r="F1406" s="51"/>
      <c r="G1406" s="51"/>
      <c r="H1406" s="51"/>
      <c r="I1406" s="51"/>
    </row>
    <row r="1407" spans="1:9" ht="17.25" x14ac:dyDescent="0.3">
      <c r="A1407" s="51"/>
      <c r="B1407" s="51"/>
      <c r="C1407" s="51"/>
      <c r="D1407" s="51"/>
      <c r="E1407" s="51"/>
      <c r="F1407" s="51"/>
      <c r="G1407" s="51"/>
      <c r="H1407" s="51"/>
      <c r="I1407" s="51"/>
    </row>
    <row r="1408" spans="1:9" ht="17.25" x14ac:dyDescent="0.3">
      <c r="A1408" s="51" t="s">
        <v>40</v>
      </c>
      <c r="B1408" s="51"/>
      <c r="C1408" s="51"/>
      <c r="D1408" s="51"/>
      <c r="E1408" s="51"/>
      <c r="F1408" s="51"/>
      <c r="G1408" s="51"/>
      <c r="H1408" s="51"/>
      <c r="I1408" s="51"/>
    </row>
    <row r="1409" spans="1:9" ht="17.25" x14ac:dyDescent="0.3">
      <c r="A1409" s="51"/>
      <c r="B1409" s="51"/>
      <c r="C1409" s="51"/>
      <c r="D1409" s="51"/>
      <c r="E1409" s="51"/>
      <c r="F1409" s="51"/>
      <c r="G1409" s="51"/>
      <c r="H1409" s="51"/>
      <c r="I1409" s="51"/>
    </row>
    <row r="1410" spans="1:9" ht="33" customHeight="1" x14ac:dyDescent="0.3">
      <c r="A1410" s="91" t="s">
        <v>241</v>
      </c>
      <c r="B1410" s="91"/>
      <c r="C1410" s="91"/>
      <c r="D1410" s="91"/>
      <c r="E1410" s="91"/>
      <c r="F1410" s="91"/>
      <c r="G1410" s="91"/>
      <c r="H1410" s="55"/>
      <c r="I1410" s="55"/>
    </row>
    <row r="1411" spans="1:9" ht="17.25" x14ac:dyDescent="0.3">
      <c r="A1411" s="51"/>
      <c r="B1411" s="51"/>
      <c r="C1411" s="51"/>
      <c r="D1411" s="51"/>
      <c r="E1411" s="51"/>
      <c r="F1411" s="51"/>
      <c r="G1411" s="51"/>
      <c r="H1411" s="51"/>
      <c r="I1411" s="51"/>
    </row>
    <row r="1412" spans="1:9" ht="33" customHeight="1" x14ac:dyDescent="0.3">
      <c r="A1412" s="91" t="s">
        <v>242</v>
      </c>
      <c r="B1412" s="91"/>
      <c r="C1412" s="91"/>
      <c r="D1412" s="91"/>
      <c r="E1412" s="91"/>
      <c r="F1412" s="91"/>
      <c r="G1412" s="91"/>
      <c r="H1412" s="55"/>
      <c r="I1412" s="55"/>
    </row>
    <row r="1413" spans="1:9" ht="17.25" x14ac:dyDescent="0.3">
      <c r="A1413" s="51"/>
      <c r="B1413" s="51"/>
      <c r="C1413" s="51"/>
      <c r="D1413" s="51"/>
      <c r="E1413" s="51"/>
      <c r="F1413" s="51"/>
      <c r="G1413" s="51"/>
      <c r="H1413" s="51"/>
      <c r="I1413" s="51"/>
    </row>
    <row r="1414" spans="1:9" ht="33" customHeight="1" x14ac:dyDescent="0.3">
      <c r="A1414" s="91" t="s">
        <v>245</v>
      </c>
      <c r="B1414" s="91"/>
      <c r="C1414" s="91"/>
      <c r="D1414" s="91"/>
      <c r="E1414" s="91"/>
      <c r="F1414" s="91"/>
      <c r="G1414" s="91"/>
      <c r="H1414" s="55"/>
      <c r="I1414" s="55"/>
    </row>
    <row r="1416" spans="1:9" ht="18.75" x14ac:dyDescent="0.3">
      <c r="A1416" s="1" t="s">
        <v>243</v>
      </c>
      <c r="B1416" s="2"/>
      <c r="C1416" s="2"/>
      <c r="D1416" s="2"/>
      <c r="E1416" s="2"/>
      <c r="F1416" s="2"/>
      <c r="G1416" s="53"/>
    </row>
    <row r="1417" spans="1:9" ht="15.75" x14ac:dyDescent="0.25">
      <c r="A1417" s="3" t="s">
        <v>1</v>
      </c>
      <c r="B1417" s="3" t="s">
        <v>2</v>
      </c>
      <c r="C1417" s="4" t="s">
        <v>3</v>
      </c>
      <c r="D1417" s="4"/>
      <c r="E1417" s="4"/>
      <c r="F1417" s="4"/>
      <c r="G1417" s="62" t="s">
        <v>30</v>
      </c>
    </row>
    <row r="1418" spans="1:9" ht="15.75" x14ac:dyDescent="0.25">
      <c r="A1418" s="5">
        <v>45453</v>
      </c>
      <c r="B1418" s="6" t="s">
        <v>4</v>
      </c>
      <c r="C1418" s="7" t="s">
        <v>5</v>
      </c>
      <c r="D1418" s="7"/>
      <c r="E1418" s="7"/>
      <c r="F1418" s="7"/>
      <c r="G1418" s="52">
        <v>1255.0899999999999</v>
      </c>
    </row>
    <row r="1419" spans="1:9" ht="15.75" x14ac:dyDescent="0.25">
      <c r="A1419" s="5">
        <v>45460</v>
      </c>
      <c r="B1419" s="6" t="s">
        <v>4</v>
      </c>
      <c r="C1419" s="7" t="s">
        <v>61</v>
      </c>
      <c r="D1419" s="7"/>
      <c r="E1419" s="7"/>
      <c r="F1419" s="7"/>
      <c r="G1419" s="52">
        <v>1238.29</v>
      </c>
    </row>
    <row r="1420" spans="1:9" ht="15.75" x14ac:dyDescent="0.25">
      <c r="A1420" s="5">
        <v>45460</v>
      </c>
      <c r="B1420" s="6" t="s">
        <v>4</v>
      </c>
      <c r="C1420" s="7" t="s">
        <v>8</v>
      </c>
      <c r="D1420" s="7"/>
      <c r="E1420" s="7"/>
      <c r="F1420" s="7"/>
      <c r="G1420" s="52">
        <v>594.09999999999991</v>
      </c>
    </row>
    <row r="1421" spans="1:9" ht="15.75" x14ac:dyDescent="0.25">
      <c r="A1421" s="5">
        <v>45460</v>
      </c>
      <c r="B1421" s="6" t="s">
        <v>4</v>
      </c>
      <c r="C1421" s="7" t="s">
        <v>9</v>
      </c>
      <c r="D1421" s="7"/>
      <c r="E1421" s="7"/>
      <c r="F1421" s="7"/>
      <c r="G1421" s="52">
        <v>324.76</v>
      </c>
    </row>
    <row r="1422" spans="1:9" ht="15.75" x14ac:dyDescent="0.25">
      <c r="A1422" s="5">
        <v>45463</v>
      </c>
      <c r="B1422" s="6" t="s">
        <v>4</v>
      </c>
      <c r="C1422" s="7" t="s">
        <v>47</v>
      </c>
      <c r="D1422" s="7"/>
      <c r="E1422" s="7"/>
      <c r="F1422" s="7"/>
      <c r="G1422" s="52">
        <v>210.64000000000001</v>
      </c>
    </row>
    <row r="1423" spans="1:9" ht="15.75" x14ac:dyDescent="0.25">
      <c r="A1423" s="8">
        <v>45471</v>
      </c>
      <c r="B1423" s="6" t="s">
        <v>4</v>
      </c>
      <c r="C1423" s="7" t="s">
        <v>14</v>
      </c>
      <c r="D1423" s="7"/>
      <c r="E1423" s="7"/>
      <c r="F1423" s="7"/>
      <c r="G1423" s="52">
        <v>141</v>
      </c>
    </row>
    <row r="1424" spans="1:9" ht="15.75" customHeight="1" x14ac:dyDescent="0.25">
      <c r="A1424" s="8">
        <v>45446</v>
      </c>
      <c r="B1424" s="54" t="s">
        <v>4</v>
      </c>
      <c r="C1424" s="32" t="s">
        <v>15</v>
      </c>
      <c r="D1424" s="67"/>
      <c r="E1424" s="67"/>
      <c r="F1424" s="68"/>
      <c r="G1424" s="52">
        <v>65</v>
      </c>
    </row>
    <row r="1425" spans="1:7" ht="21" x14ac:dyDescent="0.35">
      <c r="A1425" s="9" t="s">
        <v>16</v>
      </c>
      <c r="B1425" s="10"/>
      <c r="C1425" s="11"/>
      <c r="D1425" s="11"/>
      <c r="E1425" s="11"/>
      <c r="F1425" s="11"/>
      <c r="G1425" s="12">
        <f>SUM(G1418:G1424)</f>
        <v>3828.8799999999997</v>
      </c>
    </row>
    <row r="1426" spans="1:7" ht="21" x14ac:dyDescent="0.35">
      <c r="A1426" s="13" t="s">
        <v>17</v>
      </c>
      <c r="B1426" s="11"/>
      <c r="C1426" s="11"/>
      <c r="D1426" s="11"/>
      <c r="E1426" s="11"/>
      <c r="F1426" s="11"/>
      <c r="G1426" s="14">
        <f>ROUND(G1425/14,2)</f>
        <v>273.49</v>
      </c>
    </row>
    <row r="1427" spans="1:7" ht="21" x14ac:dyDescent="0.35">
      <c r="A1427" s="13" t="s">
        <v>74</v>
      </c>
      <c r="B1427" s="11"/>
      <c r="C1427" s="11"/>
      <c r="D1427" s="11"/>
      <c r="E1427" s="11"/>
      <c r="F1427" s="11"/>
      <c r="G1427" s="14">
        <f>ROUND(G1426/13,2)</f>
        <v>21.04</v>
      </c>
    </row>
    <row r="1428" spans="1:7" ht="21" x14ac:dyDescent="0.35">
      <c r="A1428" s="13" t="s">
        <v>196</v>
      </c>
      <c r="B1428" s="11"/>
      <c r="C1428" s="11"/>
      <c r="D1428" s="11"/>
      <c r="E1428" s="11"/>
      <c r="F1428" s="11"/>
      <c r="G1428" s="14">
        <v>300</v>
      </c>
    </row>
    <row r="1429" spans="1:7" ht="21" x14ac:dyDescent="0.35">
      <c r="A1429" s="13" t="s">
        <v>19</v>
      </c>
      <c r="B1429" s="11"/>
      <c r="C1429" s="11"/>
      <c r="D1429" s="11"/>
      <c r="E1429" s="11"/>
      <c r="F1429" s="11"/>
      <c r="G1429" s="12">
        <f>G1426+G1427+G1428</f>
        <v>594.53</v>
      </c>
    </row>
    <row r="1441" spans="1:7" ht="21" x14ac:dyDescent="0.35">
      <c r="A1441" s="88" t="s">
        <v>20</v>
      </c>
      <c r="B1441" s="89"/>
      <c r="C1441" s="89"/>
      <c r="D1441" s="89"/>
      <c r="E1441" s="89"/>
      <c r="F1441" s="89"/>
      <c r="G1441" s="90"/>
    </row>
    <row r="1442" spans="1:7" ht="18.75" x14ac:dyDescent="0.25">
      <c r="A1442" s="19" t="s">
        <v>244</v>
      </c>
      <c r="B1442" s="15"/>
      <c r="C1442" s="15"/>
      <c r="D1442" s="15"/>
      <c r="E1442" s="15"/>
      <c r="F1442" s="15"/>
      <c r="G1442" s="16"/>
    </row>
    <row r="1443" spans="1:7" ht="15.75" x14ac:dyDescent="0.25">
      <c r="A1443" s="17"/>
      <c r="B1443" s="18"/>
      <c r="C1443" s="18"/>
      <c r="D1443" s="18"/>
      <c r="E1443" s="18"/>
      <c r="F1443" s="18"/>
      <c r="G1443" s="18"/>
    </row>
    <row r="1444" spans="1:7" ht="15.75" x14ac:dyDescent="0.25">
      <c r="A1444" s="17"/>
      <c r="B1444" s="18"/>
      <c r="C1444" s="18"/>
      <c r="D1444" s="18"/>
      <c r="E1444" s="18"/>
      <c r="F1444" s="18"/>
      <c r="G1444" s="18"/>
    </row>
    <row r="1445" spans="1:7" ht="15.75" x14ac:dyDescent="0.25">
      <c r="A1445" s="20" t="s">
        <v>22</v>
      </c>
      <c r="B1445" s="21" t="s">
        <v>23</v>
      </c>
      <c r="C1445" s="22"/>
      <c r="D1445" s="21" t="s">
        <v>24</v>
      </c>
      <c r="E1445" s="22"/>
      <c r="F1445" s="59" t="s">
        <v>25</v>
      </c>
      <c r="G1445" s="60" t="s">
        <v>26</v>
      </c>
    </row>
    <row r="1446" spans="1:7" ht="15.75" x14ac:dyDescent="0.25">
      <c r="A1446" s="23" t="s">
        <v>27</v>
      </c>
      <c r="B1446" s="24" t="s">
        <v>28</v>
      </c>
      <c r="C1446" s="24" t="s">
        <v>29</v>
      </c>
      <c r="D1446" s="24" t="s">
        <v>28</v>
      </c>
      <c r="E1446" s="24" t="s">
        <v>30</v>
      </c>
      <c r="F1446" s="58" t="s">
        <v>31</v>
      </c>
      <c r="G1446" s="61" t="s">
        <v>31</v>
      </c>
    </row>
    <row r="1447" spans="1:7" ht="15.75" x14ac:dyDescent="0.25">
      <c r="A1447" s="25" t="s">
        <v>32</v>
      </c>
      <c r="B1447" s="26">
        <v>64.23599999999999</v>
      </c>
      <c r="C1447" s="27">
        <v>594.09999999999991</v>
      </c>
      <c r="D1447" s="28">
        <v>0</v>
      </c>
      <c r="E1447" s="27">
        <v>0</v>
      </c>
      <c r="F1447" s="29">
        <v>0</v>
      </c>
      <c r="G1447" s="27">
        <v>0</v>
      </c>
    </row>
    <row r="1448" spans="1:7" ht="15.75" x14ac:dyDescent="0.25">
      <c r="A1448" s="30">
        <v>201</v>
      </c>
      <c r="B1448" s="26">
        <v>20.95</v>
      </c>
      <c r="C1448" s="27">
        <v>268.36</v>
      </c>
      <c r="D1448" s="31">
        <v>9.1999999999999998E-2</v>
      </c>
      <c r="E1448" s="27">
        <v>2.95</v>
      </c>
      <c r="F1448" s="27">
        <v>594.53</v>
      </c>
      <c r="G1448" s="27">
        <v>866</v>
      </c>
    </row>
    <row r="1449" spans="1:7" ht="15.75" x14ac:dyDescent="0.25">
      <c r="A1449" s="30">
        <v>202</v>
      </c>
      <c r="B1449" s="26">
        <v>43.061999999999998</v>
      </c>
      <c r="C1449" s="27">
        <v>433.98</v>
      </c>
      <c r="D1449" s="28">
        <v>4.1710000000000003</v>
      </c>
      <c r="E1449" s="27">
        <v>133.58000000000001</v>
      </c>
      <c r="F1449" s="27">
        <v>594.53</v>
      </c>
      <c r="G1449" s="27">
        <v>1163</v>
      </c>
    </row>
    <row r="1450" spans="1:7" ht="15.75" x14ac:dyDescent="0.25">
      <c r="A1450" s="30">
        <v>301</v>
      </c>
      <c r="B1450" s="26">
        <v>26.422999999999998</v>
      </c>
      <c r="C1450" s="27">
        <v>309.35000000000002</v>
      </c>
      <c r="D1450" s="28">
        <v>2.548</v>
      </c>
      <c r="E1450" s="27">
        <v>81.599999999999994</v>
      </c>
      <c r="F1450" s="27">
        <v>594.53</v>
      </c>
      <c r="G1450" s="27">
        <v>986</v>
      </c>
    </row>
    <row r="1451" spans="1:7" ht="15.75" x14ac:dyDescent="0.25">
      <c r="A1451" s="30">
        <v>302</v>
      </c>
      <c r="B1451" s="26">
        <v>21.914000000000001</v>
      </c>
      <c r="C1451" s="27">
        <v>275.58</v>
      </c>
      <c r="D1451" s="28">
        <v>2.0070000000000001</v>
      </c>
      <c r="E1451" s="27">
        <v>64.27</v>
      </c>
      <c r="F1451" s="27">
        <v>594.53</v>
      </c>
      <c r="G1451" s="27">
        <v>935</v>
      </c>
    </row>
    <row r="1452" spans="1:7" ht="15.75" x14ac:dyDescent="0.25">
      <c r="A1452" s="30">
        <v>401</v>
      </c>
      <c r="B1452" s="26">
        <v>14.622</v>
      </c>
      <c r="C1452" s="27">
        <v>220.96</v>
      </c>
      <c r="D1452" s="28">
        <v>1.339</v>
      </c>
      <c r="E1452" s="27">
        <v>42.88</v>
      </c>
      <c r="F1452" s="27">
        <v>594.53</v>
      </c>
      <c r="G1452" s="27">
        <v>859</v>
      </c>
    </row>
    <row r="1453" spans="1:7" ht="15.75" x14ac:dyDescent="0.25">
      <c r="A1453" s="30">
        <v>402</v>
      </c>
      <c r="B1453" s="26">
        <v>21.219000000000001</v>
      </c>
      <c r="C1453" s="27">
        <v>270.38</v>
      </c>
      <c r="D1453" s="28">
        <v>4.2050000000000001</v>
      </c>
      <c r="E1453" s="27">
        <v>134.66999999999999</v>
      </c>
      <c r="F1453" s="27">
        <v>594.53</v>
      </c>
      <c r="G1453" s="27">
        <v>1000</v>
      </c>
    </row>
    <row r="1454" spans="1:7" ht="15.75" x14ac:dyDescent="0.25">
      <c r="A1454" s="30">
        <v>501</v>
      </c>
      <c r="B1454" s="26">
        <v>6.5650000000000004</v>
      </c>
      <c r="C1454" s="27">
        <v>160.62</v>
      </c>
      <c r="D1454" s="28">
        <v>0.188</v>
      </c>
      <c r="E1454" s="27">
        <v>6.02</v>
      </c>
      <c r="F1454" s="27">
        <v>594.53</v>
      </c>
      <c r="G1454" s="27">
        <v>762</v>
      </c>
    </row>
    <row r="1455" spans="1:7" ht="15.75" x14ac:dyDescent="0.25">
      <c r="A1455" s="30">
        <v>502</v>
      </c>
      <c r="B1455" s="26">
        <v>9.6080000000000005</v>
      </c>
      <c r="C1455" s="27">
        <v>183.41</v>
      </c>
      <c r="D1455" s="28">
        <v>0.81299999999999994</v>
      </c>
      <c r="E1455" s="27">
        <v>26.04</v>
      </c>
      <c r="F1455" s="27">
        <v>594.53</v>
      </c>
      <c r="G1455" s="27">
        <v>804</v>
      </c>
    </row>
    <row r="1456" spans="1:7" ht="15.75" x14ac:dyDescent="0.25">
      <c r="A1456" s="30">
        <v>601</v>
      </c>
      <c r="B1456" s="26">
        <v>15.83</v>
      </c>
      <c r="C1456" s="27">
        <v>230.01</v>
      </c>
      <c r="D1456" s="28">
        <v>0.373</v>
      </c>
      <c r="E1456" s="27">
        <v>11.95</v>
      </c>
      <c r="F1456" s="27">
        <v>594.53</v>
      </c>
      <c r="G1456" s="27">
        <v>837</v>
      </c>
    </row>
    <row r="1457" spans="1:7" ht="15.75" x14ac:dyDescent="0.25">
      <c r="A1457" s="30">
        <v>602</v>
      </c>
      <c r="B1457" s="26">
        <v>9.0760000000000005</v>
      </c>
      <c r="C1457" s="27">
        <v>179.42</v>
      </c>
      <c r="D1457" s="28">
        <v>1.952</v>
      </c>
      <c r="E1457" s="27">
        <v>62.51</v>
      </c>
      <c r="F1457" s="27">
        <v>594.53</v>
      </c>
      <c r="G1457" s="27">
        <v>837</v>
      </c>
    </row>
    <row r="1458" spans="1:7" ht="15.75" x14ac:dyDescent="0.25">
      <c r="A1458" s="30">
        <v>701</v>
      </c>
      <c r="B1458" s="26">
        <v>23.913</v>
      </c>
      <c r="C1458" s="27">
        <v>290.55</v>
      </c>
      <c r="D1458" s="28">
        <v>0.56999999999999995</v>
      </c>
      <c r="E1458" s="27">
        <v>18.25</v>
      </c>
      <c r="F1458" s="27">
        <v>594.53</v>
      </c>
      <c r="G1458" s="27">
        <v>904</v>
      </c>
    </row>
    <row r="1459" spans="1:7" ht="15.75" x14ac:dyDescent="0.25">
      <c r="A1459" s="30">
        <v>702</v>
      </c>
      <c r="B1459" s="26">
        <v>5.1639999999999997</v>
      </c>
      <c r="C1459" s="27">
        <v>150.12</v>
      </c>
      <c r="D1459" s="28">
        <v>2.226</v>
      </c>
      <c r="E1459" s="27">
        <v>71.290000000000006</v>
      </c>
      <c r="F1459" s="27">
        <v>594.53</v>
      </c>
      <c r="G1459" s="27">
        <v>816</v>
      </c>
    </row>
    <row r="1460" spans="1:7" ht="15.75" x14ac:dyDescent="0.25">
      <c r="A1460" s="30">
        <v>801</v>
      </c>
      <c r="B1460" s="26">
        <v>4.6500000000000004</v>
      </c>
      <c r="C1460" s="27">
        <v>146.27000000000001</v>
      </c>
      <c r="D1460" s="28">
        <v>0</v>
      </c>
      <c r="E1460" s="27">
        <v>0</v>
      </c>
      <c r="F1460" s="27">
        <v>594.53</v>
      </c>
      <c r="G1460" s="27">
        <v>741</v>
      </c>
    </row>
    <row r="1461" spans="1:7" ht="15.75" x14ac:dyDescent="0.25">
      <c r="A1461" s="30">
        <v>802</v>
      </c>
      <c r="B1461" s="26">
        <v>14.768000000000001</v>
      </c>
      <c r="C1461" s="27">
        <v>222.06</v>
      </c>
      <c r="D1461" s="28">
        <v>1.7649999999999999</v>
      </c>
      <c r="E1461" s="27">
        <v>56.52</v>
      </c>
      <c r="F1461" s="63">
        <v>594.53</v>
      </c>
      <c r="G1461" s="63">
        <v>874</v>
      </c>
    </row>
    <row r="1463" spans="1:7" x14ac:dyDescent="0.25">
      <c r="A1463" s="32"/>
      <c r="B1463" s="7"/>
      <c r="C1463" s="7"/>
      <c r="D1463" s="7"/>
      <c r="E1463" s="7"/>
      <c r="F1463" s="7"/>
      <c r="G1463" s="33"/>
    </row>
    <row r="1464" spans="1:7" x14ac:dyDescent="0.25">
      <c r="A1464" s="32"/>
      <c r="B1464" s="7"/>
      <c r="C1464" s="7"/>
      <c r="D1464" s="7"/>
      <c r="E1464" s="7"/>
      <c r="F1464" s="7"/>
      <c r="G1464" s="33"/>
    </row>
    <row r="1465" spans="1:7" x14ac:dyDescent="0.25">
      <c r="A1465" s="32"/>
      <c r="B1465" s="7"/>
      <c r="C1465" s="7"/>
      <c r="D1465" s="7"/>
      <c r="E1465" s="7"/>
      <c r="F1465" s="7"/>
      <c r="G1465" s="33"/>
    </row>
    <row r="1467" spans="1:7" ht="15.75" x14ac:dyDescent="0.25">
      <c r="A1467" s="34" t="s">
        <v>246</v>
      </c>
      <c r="B1467" s="35"/>
      <c r="C1467" s="35"/>
      <c r="D1467" s="35"/>
      <c r="E1467" s="35"/>
      <c r="F1467" s="36"/>
      <c r="G1467" s="72">
        <v>86606.92</v>
      </c>
    </row>
    <row r="1468" spans="1:7" ht="15.75" x14ac:dyDescent="0.25">
      <c r="A1468" s="37" t="s">
        <v>247</v>
      </c>
      <c r="B1468" s="38"/>
      <c r="C1468" s="38"/>
      <c r="D1468" s="38"/>
      <c r="E1468" s="38"/>
      <c r="F1468" s="39"/>
      <c r="G1468" s="72">
        <v>4200</v>
      </c>
    </row>
    <row r="1469" spans="1:7" ht="15.75" x14ac:dyDescent="0.25">
      <c r="A1469" s="37" t="s">
        <v>248</v>
      </c>
      <c r="B1469" s="38"/>
      <c r="C1469" s="38"/>
      <c r="D1469" s="38"/>
      <c r="E1469" s="38"/>
      <c r="F1469" s="39"/>
      <c r="G1469" s="72">
        <v>-19962</v>
      </c>
    </row>
    <row r="1470" spans="1:7" ht="15.75" x14ac:dyDescent="0.25">
      <c r="A1470" s="34" t="s">
        <v>249</v>
      </c>
      <c r="B1470" s="35"/>
      <c r="C1470" s="35"/>
      <c r="D1470" s="35"/>
      <c r="E1470" s="35"/>
      <c r="F1470" s="36"/>
      <c r="G1470" s="72">
        <f>SUM(G1467:G1469)</f>
        <v>70844.92</v>
      </c>
    </row>
    <row r="1471" spans="1:7" ht="18.75" x14ac:dyDescent="0.3">
      <c r="A1471" s="40"/>
      <c r="B1471" s="40"/>
      <c r="C1471" s="40"/>
      <c r="D1471" s="40"/>
      <c r="E1471" s="40"/>
      <c r="F1471" s="40"/>
      <c r="G1471" s="40"/>
    </row>
    <row r="1472" spans="1:7" ht="31.5" customHeight="1" x14ac:dyDescent="0.25">
      <c r="A1472" s="85" t="s">
        <v>54</v>
      </c>
      <c r="B1472" s="86"/>
      <c r="C1472" s="86"/>
      <c r="D1472" s="86"/>
      <c r="E1472" s="86"/>
      <c r="F1472" s="86"/>
      <c r="G1472" s="87"/>
    </row>
    <row r="1473" spans="1:9" ht="15.75" x14ac:dyDescent="0.25">
      <c r="A1473" s="41" t="s">
        <v>36</v>
      </c>
      <c r="B1473" s="42"/>
      <c r="C1473" s="42"/>
      <c r="D1473" s="42"/>
      <c r="E1473" s="42"/>
      <c r="F1473" s="42"/>
      <c r="G1473" s="43"/>
    </row>
    <row r="1474" spans="1:9" ht="15.75" x14ac:dyDescent="0.25">
      <c r="A1474" s="44" t="s">
        <v>37</v>
      </c>
      <c r="B1474" s="45"/>
      <c r="C1474" s="45"/>
      <c r="D1474" s="45"/>
      <c r="E1474" s="45"/>
      <c r="F1474" s="45"/>
      <c r="G1474" s="46"/>
    </row>
    <row r="1475" spans="1:9" ht="15.75" x14ac:dyDescent="0.25">
      <c r="A1475" s="47"/>
      <c r="B1475" s="47"/>
      <c r="C1475" s="47"/>
      <c r="D1475" s="47"/>
      <c r="E1475" s="47"/>
      <c r="F1475" s="47"/>
      <c r="G1475" s="47"/>
    </row>
    <row r="1476" spans="1:9" ht="15.75" x14ac:dyDescent="0.25">
      <c r="A1476" s="48" t="s">
        <v>50</v>
      </c>
      <c r="B1476" s="49"/>
      <c r="C1476" s="49"/>
      <c r="D1476" s="49"/>
      <c r="E1476" s="49"/>
      <c r="F1476" s="49"/>
      <c r="G1476" s="50"/>
    </row>
    <row r="1477" spans="1:9" ht="15.75" x14ac:dyDescent="0.25">
      <c r="A1477" s="47"/>
      <c r="B1477" s="47"/>
      <c r="C1477" s="47"/>
      <c r="D1477" s="47"/>
      <c r="E1477" s="47"/>
      <c r="F1477" s="47"/>
      <c r="G1477" s="47"/>
    </row>
    <row r="1478" spans="1:9" ht="15.75" x14ac:dyDescent="0.25">
      <c r="A1478" s="47"/>
      <c r="B1478" s="47"/>
      <c r="C1478" s="47"/>
      <c r="D1478" s="47"/>
      <c r="E1478" s="47"/>
      <c r="F1478" s="47"/>
      <c r="G1478" s="47"/>
    </row>
    <row r="1479" spans="1:9" ht="15.75" x14ac:dyDescent="0.25">
      <c r="A1479" s="47"/>
      <c r="B1479" s="47"/>
      <c r="C1479" s="47"/>
      <c r="D1479" s="47"/>
      <c r="E1479" s="47"/>
      <c r="F1479" s="47"/>
      <c r="G1479" s="47"/>
    </row>
    <row r="1487" spans="1:9" ht="21" x14ac:dyDescent="0.35">
      <c r="A1487" s="88" t="s">
        <v>20</v>
      </c>
      <c r="B1487" s="89"/>
      <c r="C1487" s="89"/>
      <c r="D1487" s="89"/>
      <c r="E1487" s="89"/>
      <c r="F1487" s="89"/>
      <c r="G1487" s="90"/>
      <c r="H1487" s="56"/>
      <c r="I1487" s="56"/>
    </row>
    <row r="1489" spans="1:9" ht="17.25" x14ac:dyDescent="0.3">
      <c r="A1489" s="51" t="s">
        <v>250</v>
      </c>
      <c r="B1489" s="51"/>
      <c r="C1489" s="51"/>
      <c r="D1489" s="51"/>
      <c r="E1489" s="51"/>
      <c r="F1489" s="51"/>
      <c r="G1489" s="51"/>
      <c r="H1489" s="51"/>
      <c r="I1489" s="51"/>
    </row>
    <row r="1490" spans="1:9" ht="17.25" x14ac:dyDescent="0.3">
      <c r="A1490" s="51"/>
      <c r="B1490" s="51"/>
      <c r="C1490" s="51"/>
      <c r="D1490" s="51"/>
      <c r="E1490" s="51"/>
      <c r="F1490" s="51"/>
      <c r="G1490" s="51"/>
      <c r="H1490" s="51"/>
      <c r="I1490" s="51"/>
    </row>
    <row r="1491" spans="1:9" ht="17.25" x14ac:dyDescent="0.3">
      <c r="A1491" s="51" t="s">
        <v>251</v>
      </c>
      <c r="B1491" s="51"/>
      <c r="C1491" s="51"/>
      <c r="D1491" s="51"/>
      <c r="E1491" s="51"/>
      <c r="F1491" s="51"/>
      <c r="G1491" s="51"/>
      <c r="H1491" s="51"/>
      <c r="I1491" s="51"/>
    </row>
    <row r="1492" spans="1:9" ht="17.25" x14ac:dyDescent="0.3">
      <c r="A1492" s="51"/>
      <c r="B1492" s="51"/>
      <c r="C1492" s="51"/>
      <c r="D1492" s="51"/>
      <c r="E1492" s="51"/>
      <c r="F1492" s="51"/>
      <c r="G1492" s="51"/>
      <c r="H1492" s="51"/>
      <c r="I1492" s="51"/>
    </row>
    <row r="1493" spans="1:9" ht="17.25" x14ac:dyDescent="0.3">
      <c r="A1493" s="51" t="s">
        <v>263</v>
      </c>
      <c r="B1493" s="51"/>
      <c r="C1493" s="51"/>
      <c r="D1493" s="51"/>
      <c r="E1493" s="51"/>
      <c r="F1493" s="51"/>
      <c r="G1493" s="51"/>
      <c r="H1493" s="51"/>
      <c r="I1493" s="51"/>
    </row>
    <row r="1494" spans="1:9" ht="17.25" x14ac:dyDescent="0.3">
      <c r="A1494" s="51"/>
      <c r="B1494" s="51"/>
      <c r="C1494" s="51"/>
      <c r="D1494" s="51"/>
      <c r="E1494" s="51"/>
      <c r="F1494" s="51"/>
      <c r="G1494" s="51"/>
      <c r="H1494" s="51"/>
      <c r="I1494" s="51"/>
    </row>
    <row r="1495" spans="1:9" ht="17.25" x14ac:dyDescent="0.3">
      <c r="A1495" s="51" t="s">
        <v>40</v>
      </c>
      <c r="B1495" s="51"/>
      <c r="C1495" s="51"/>
      <c r="D1495" s="51"/>
      <c r="E1495" s="51"/>
      <c r="F1495" s="51"/>
      <c r="G1495" s="51"/>
      <c r="H1495" s="51"/>
      <c r="I1495" s="51"/>
    </row>
    <row r="1496" spans="1:9" ht="17.25" x14ac:dyDescent="0.3">
      <c r="A1496" s="51"/>
      <c r="B1496" s="51"/>
      <c r="C1496" s="51"/>
      <c r="D1496" s="51"/>
      <c r="E1496" s="51"/>
      <c r="F1496" s="51"/>
      <c r="G1496" s="51"/>
      <c r="H1496" s="51"/>
      <c r="I1496" s="51"/>
    </row>
    <row r="1497" spans="1:9" ht="33" customHeight="1" x14ac:dyDescent="0.3">
      <c r="A1497" s="91" t="s">
        <v>252</v>
      </c>
      <c r="B1497" s="91"/>
      <c r="C1497" s="91"/>
      <c r="D1497" s="91"/>
      <c r="E1497" s="91"/>
      <c r="F1497" s="91"/>
      <c r="G1497" s="91"/>
      <c r="H1497" s="55"/>
      <c r="I1497" s="55"/>
    </row>
    <row r="1498" spans="1:9" ht="17.25" x14ac:dyDescent="0.3">
      <c r="A1498" s="51"/>
      <c r="B1498" s="51"/>
      <c r="C1498" s="51"/>
      <c r="D1498" s="51"/>
      <c r="E1498" s="51"/>
      <c r="F1498" s="51"/>
      <c r="G1498" s="51"/>
      <c r="H1498" s="51"/>
      <c r="I1498" s="51"/>
    </row>
    <row r="1499" spans="1:9" ht="33" customHeight="1" x14ac:dyDescent="0.3">
      <c r="A1499" s="91" t="s">
        <v>253</v>
      </c>
      <c r="B1499" s="91"/>
      <c r="C1499" s="91"/>
      <c r="D1499" s="91"/>
      <c r="E1499" s="91"/>
      <c r="F1499" s="91"/>
      <c r="G1499" s="91"/>
      <c r="H1499" s="55"/>
      <c r="I1499" s="55"/>
    </row>
    <row r="1500" spans="1:9" ht="17.25" x14ac:dyDescent="0.3">
      <c r="A1500" s="51"/>
      <c r="B1500" s="51"/>
      <c r="C1500" s="51"/>
      <c r="D1500" s="51"/>
      <c r="E1500" s="51"/>
      <c r="F1500" s="51"/>
      <c r="G1500" s="51"/>
      <c r="H1500" s="51"/>
      <c r="I1500" s="51"/>
    </row>
    <row r="1501" spans="1:9" ht="33" customHeight="1" x14ac:dyDescent="0.3">
      <c r="A1501" s="91" t="s">
        <v>254</v>
      </c>
      <c r="B1501" s="91"/>
      <c r="C1501" s="91"/>
      <c r="D1501" s="91"/>
      <c r="E1501" s="91"/>
      <c r="F1501" s="91"/>
      <c r="G1501" s="91"/>
      <c r="H1501" s="55"/>
      <c r="I1501" s="55"/>
    </row>
    <row r="1503" spans="1:9" ht="18.75" x14ac:dyDescent="0.3">
      <c r="A1503" s="1" t="s">
        <v>255</v>
      </c>
      <c r="B1503" s="2"/>
      <c r="C1503" s="2"/>
      <c r="D1503" s="2"/>
      <c r="E1503" s="2"/>
      <c r="F1503" s="2"/>
      <c r="G1503" s="53"/>
    </row>
    <row r="1504" spans="1:9" ht="15.75" x14ac:dyDescent="0.25">
      <c r="A1504" s="3" t="s">
        <v>1</v>
      </c>
      <c r="B1504" s="3" t="s">
        <v>2</v>
      </c>
      <c r="C1504" s="4" t="s">
        <v>3</v>
      </c>
      <c r="D1504" s="4"/>
      <c r="E1504" s="4"/>
      <c r="F1504" s="4"/>
      <c r="G1504" s="62" t="s">
        <v>30</v>
      </c>
    </row>
    <row r="1505" spans="1:7" ht="15.75" x14ac:dyDescent="0.25">
      <c r="A1505" s="5">
        <v>45483</v>
      </c>
      <c r="B1505" s="6" t="s">
        <v>4</v>
      </c>
      <c r="C1505" s="7" t="s">
        <v>5</v>
      </c>
      <c r="D1505" s="7"/>
      <c r="E1505" s="7"/>
      <c r="F1505" s="7"/>
      <c r="G1505" s="52">
        <v>1255.0899999999999</v>
      </c>
    </row>
    <row r="1506" spans="1:7" ht="15.75" x14ac:dyDescent="0.25">
      <c r="A1506" s="5">
        <v>45488</v>
      </c>
      <c r="B1506" s="6" t="s">
        <v>4</v>
      </c>
      <c r="C1506" s="7" t="s">
        <v>61</v>
      </c>
      <c r="D1506" s="7"/>
      <c r="E1506" s="7"/>
      <c r="F1506" s="7"/>
      <c r="G1506" s="52">
        <v>1138.6500000000001</v>
      </c>
    </row>
    <row r="1507" spans="1:7" ht="15.75" x14ac:dyDescent="0.25">
      <c r="A1507" s="5">
        <v>45488</v>
      </c>
      <c r="B1507" s="6" t="s">
        <v>4</v>
      </c>
      <c r="C1507" s="7" t="s">
        <v>8</v>
      </c>
      <c r="D1507" s="7"/>
      <c r="E1507" s="7"/>
      <c r="F1507" s="7"/>
      <c r="G1507" s="52">
        <v>461.91000000000031</v>
      </c>
    </row>
    <row r="1508" spans="1:7" ht="15.75" x14ac:dyDescent="0.25">
      <c r="A1508" s="5">
        <v>45490</v>
      </c>
      <c r="B1508" s="6" t="s">
        <v>4</v>
      </c>
      <c r="C1508" s="7" t="s">
        <v>9</v>
      </c>
      <c r="D1508" s="7"/>
      <c r="E1508" s="7"/>
      <c r="F1508" s="7"/>
      <c r="G1508" s="52">
        <v>376.31</v>
      </c>
    </row>
    <row r="1509" spans="1:7" ht="15.75" x14ac:dyDescent="0.25">
      <c r="A1509" s="5">
        <v>45492</v>
      </c>
      <c r="B1509" s="6" t="s">
        <v>4</v>
      </c>
      <c r="C1509" s="7" t="s">
        <v>47</v>
      </c>
      <c r="D1509" s="7"/>
      <c r="E1509" s="7"/>
      <c r="F1509" s="7"/>
      <c r="G1509" s="52">
        <v>210.64000000000001</v>
      </c>
    </row>
    <row r="1510" spans="1:7" ht="15.75" x14ac:dyDescent="0.25">
      <c r="A1510" s="5">
        <v>45446</v>
      </c>
      <c r="B1510" s="6" t="s">
        <v>4</v>
      </c>
      <c r="C1510" s="7" t="s">
        <v>257</v>
      </c>
      <c r="D1510" s="7"/>
      <c r="E1510" s="7"/>
      <c r="F1510" s="7"/>
      <c r="G1510" s="52">
        <v>230</v>
      </c>
    </row>
    <row r="1511" spans="1:7" ht="15.75" x14ac:dyDescent="0.25">
      <c r="A1511" s="5">
        <v>45469</v>
      </c>
      <c r="B1511" s="6" t="s">
        <v>4</v>
      </c>
      <c r="C1511" s="7" t="s">
        <v>258</v>
      </c>
      <c r="D1511" s="7"/>
      <c r="E1511" s="7"/>
      <c r="F1511" s="7"/>
      <c r="G1511" s="52">
        <v>115.47</v>
      </c>
    </row>
    <row r="1512" spans="1:7" ht="15.75" x14ac:dyDescent="0.25">
      <c r="A1512" s="8">
        <v>45502</v>
      </c>
      <c r="B1512" s="6" t="s">
        <v>4</v>
      </c>
      <c r="C1512" s="7" t="s">
        <v>14</v>
      </c>
      <c r="D1512" s="7"/>
      <c r="E1512" s="7"/>
      <c r="F1512" s="7"/>
      <c r="G1512" s="52">
        <v>141</v>
      </c>
    </row>
    <row r="1513" spans="1:7" ht="15.75" customHeight="1" x14ac:dyDescent="0.25">
      <c r="A1513" s="8">
        <v>45474</v>
      </c>
      <c r="B1513" s="54" t="s">
        <v>4</v>
      </c>
      <c r="C1513" s="32" t="s">
        <v>15</v>
      </c>
      <c r="D1513" s="67"/>
      <c r="E1513" s="67"/>
      <c r="F1513" s="68"/>
      <c r="G1513" s="52">
        <v>65</v>
      </c>
    </row>
    <row r="1514" spans="1:7" ht="21" x14ac:dyDescent="0.35">
      <c r="A1514" s="9" t="s">
        <v>16</v>
      </c>
      <c r="B1514" s="10"/>
      <c r="C1514" s="11"/>
      <c r="D1514" s="11"/>
      <c r="E1514" s="11"/>
      <c r="F1514" s="11"/>
      <c r="G1514" s="12">
        <f>SUM(G1505:G1513)</f>
        <v>3994.0699999999997</v>
      </c>
    </row>
    <row r="1515" spans="1:7" ht="21" x14ac:dyDescent="0.35">
      <c r="A1515" s="13" t="s">
        <v>17</v>
      </c>
      <c r="B1515" s="11"/>
      <c r="C1515" s="11"/>
      <c r="D1515" s="11"/>
      <c r="E1515" s="11"/>
      <c r="F1515" s="11"/>
      <c r="G1515" s="14">
        <f>ROUND(G1514/14,2)</f>
        <v>285.29000000000002</v>
      </c>
    </row>
    <row r="1516" spans="1:7" ht="21" x14ac:dyDescent="0.35">
      <c r="A1516" s="13" t="s">
        <v>74</v>
      </c>
      <c r="B1516" s="11"/>
      <c r="C1516" s="11"/>
      <c r="D1516" s="11"/>
      <c r="E1516" s="11"/>
      <c r="F1516" s="11"/>
      <c r="G1516" s="14">
        <f>ROUND(G1515/13,2)</f>
        <v>21.95</v>
      </c>
    </row>
    <row r="1517" spans="1:7" ht="21" x14ac:dyDescent="0.35">
      <c r="A1517" s="13" t="s">
        <v>196</v>
      </c>
      <c r="B1517" s="11"/>
      <c r="C1517" s="11"/>
      <c r="D1517" s="11"/>
      <c r="E1517" s="11"/>
      <c r="F1517" s="11"/>
      <c r="G1517" s="14">
        <v>300</v>
      </c>
    </row>
    <row r="1518" spans="1:7" ht="21" x14ac:dyDescent="0.35">
      <c r="A1518" s="13" t="s">
        <v>19</v>
      </c>
      <c r="B1518" s="11"/>
      <c r="C1518" s="11"/>
      <c r="D1518" s="11"/>
      <c r="E1518" s="11"/>
      <c r="F1518" s="11"/>
      <c r="G1518" s="12">
        <f>G1515+G1516+G1517</f>
        <v>607.24</v>
      </c>
    </row>
    <row r="1528" spans="1:7" ht="21" x14ac:dyDescent="0.35">
      <c r="A1528" s="88" t="s">
        <v>20</v>
      </c>
      <c r="B1528" s="89"/>
      <c r="C1528" s="89"/>
      <c r="D1528" s="89"/>
      <c r="E1528" s="89"/>
      <c r="F1528" s="89"/>
      <c r="G1528" s="90"/>
    </row>
    <row r="1529" spans="1:7" ht="18.75" x14ac:dyDescent="0.25">
      <c r="A1529" s="19" t="s">
        <v>256</v>
      </c>
      <c r="B1529" s="15"/>
      <c r="C1529" s="15"/>
      <c r="D1529" s="15"/>
      <c r="E1529" s="15"/>
      <c r="F1529" s="15"/>
      <c r="G1529" s="16"/>
    </row>
    <row r="1530" spans="1:7" ht="15.75" x14ac:dyDescent="0.25">
      <c r="A1530" s="17"/>
      <c r="B1530" s="18"/>
      <c r="C1530" s="18"/>
      <c r="D1530" s="18"/>
      <c r="E1530" s="18"/>
      <c r="F1530" s="18"/>
      <c r="G1530" s="18"/>
    </row>
    <row r="1531" spans="1:7" ht="15.75" x14ac:dyDescent="0.25">
      <c r="A1531" s="17"/>
      <c r="B1531" s="18"/>
      <c r="C1531" s="18"/>
      <c r="D1531" s="18"/>
      <c r="E1531" s="18"/>
      <c r="F1531" s="18"/>
      <c r="G1531" s="18"/>
    </row>
    <row r="1532" spans="1:7" ht="15.75" x14ac:dyDescent="0.25">
      <c r="A1532" s="20" t="s">
        <v>22</v>
      </c>
      <c r="B1532" s="21" t="s">
        <v>23</v>
      </c>
      <c r="C1532" s="22"/>
      <c r="D1532" s="21" t="s">
        <v>24</v>
      </c>
      <c r="E1532" s="22"/>
      <c r="F1532" s="59" t="s">
        <v>25</v>
      </c>
      <c r="G1532" s="60" t="s">
        <v>26</v>
      </c>
    </row>
    <row r="1533" spans="1:7" ht="15.75" x14ac:dyDescent="0.25">
      <c r="A1533" s="23" t="s">
        <v>27</v>
      </c>
      <c r="B1533" s="24" t="s">
        <v>28</v>
      </c>
      <c r="C1533" s="24" t="s">
        <v>29</v>
      </c>
      <c r="D1533" s="24" t="s">
        <v>28</v>
      </c>
      <c r="E1533" s="24" t="s">
        <v>30</v>
      </c>
      <c r="F1533" s="58" t="s">
        <v>31</v>
      </c>
      <c r="G1533" s="61" t="s">
        <v>31</v>
      </c>
    </row>
    <row r="1534" spans="1:7" ht="15.75" x14ac:dyDescent="0.25">
      <c r="A1534" s="25" t="s">
        <v>32</v>
      </c>
      <c r="B1534" s="26">
        <v>57.078999999999979</v>
      </c>
      <c r="C1534" s="27">
        <v>461.91000000000031</v>
      </c>
      <c r="D1534" s="28">
        <v>0</v>
      </c>
      <c r="E1534" s="27">
        <v>0</v>
      </c>
      <c r="F1534" s="29">
        <v>0</v>
      </c>
      <c r="G1534" s="27">
        <v>0</v>
      </c>
    </row>
    <row r="1535" spans="1:7" ht="15.75" x14ac:dyDescent="0.25">
      <c r="A1535" s="30">
        <v>201</v>
      </c>
      <c r="B1535" s="26">
        <v>19.734999999999999</v>
      </c>
      <c r="C1535" s="27">
        <v>219.87</v>
      </c>
      <c r="D1535" s="31">
        <v>3.5999999999999997E-2</v>
      </c>
      <c r="E1535" s="27">
        <v>1.1499999999999999</v>
      </c>
      <c r="F1535" s="27">
        <v>607.24</v>
      </c>
      <c r="G1535" s="27">
        <v>829</v>
      </c>
    </row>
    <row r="1536" spans="1:7" ht="15.75" x14ac:dyDescent="0.25">
      <c r="A1536" s="30">
        <v>202</v>
      </c>
      <c r="B1536" s="26">
        <v>36.402999999999999</v>
      </c>
      <c r="C1536" s="27">
        <v>328.21</v>
      </c>
      <c r="D1536" s="28">
        <v>3.3719999999999999</v>
      </c>
      <c r="E1536" s="27">
        <v>107.99</v>
      </c>
      <c r="F1536" s="27">
        <v>607.24</v>
      </c>
      <c r="G1536" s="27">
        <v>1044</v>
      </c>
    </row>
    <row r="1537" spans="1:7" ht="15.75" x14ac:dyDescent="0.25">
      <c r="A1537" s="30">
        <v>301</v>
      </c>
      <c r="B1537" s="26">
        <v>29.905999999999999</v>
      </c>
      <c r="C1537" s="27">
        <v>285.98</v>
      </c>
      <c r="D1537" s="28">
        <v>3.2360000000000002</v>
      </c>
      <c r="E1537" s="27">
        <v>103.63</v>
      </c>
      <c r="F1537" s="27">
        <v>607.24</v>
      </c>
      <c r="G1537" s="27">
        <v>997</v>
      </c>
    </row>
    <row r="1538" spans="1:7" ht="15.75" x14ac:dyDescent="0.25">
      <c r="A1538" s="30">
        <v>302</v>
      </c>
      <c r="B1538" s="26">
        <v>26.405999999999999</v>
      </c>
      <c r="C1538" s="27">
        <v>263.23</v>
      </c>
      <c r="D1538" s="28">
        <v>1.556</v>
      </c>
      <c r="E1538" s="27">
        <v>49.83</v>
      </c>
      <c r="F1538" s="27">
        <v>607.24</v>
      </c>
      <c r="G1538" s="27">
        <v>921</v>
      </c>
    </row>
    <row r="1539" spans="1:7" ht="15.75" x14ac:dyDescent="0.25">
      <c r="A1539" s="30">
        <v>401</v>
      </c>
      <c r="B1539" s="26">
        <v>19.736000000000001</v>
      </c>
      <c r="C1539" s="27">
        <v>219.88</v>
      </c>
      <c r="D1539" s="28">
        <v>1.988</v>
      </c>
      <c r="E1539" s="27">
        <v>63.67</v>
      </c>
      <c r="F1539" s="27">
        <v>607.24</v>
      </c>
      <c r="G1539" s="27">
        <v>891</v>
      </c>
    </row>
    <row r="1540" spans="1:7" ht="15.75" x14ac:dyDescent="0.25">
      <c r="A1540" s="30">
        <v>402</v>
      </c>
      <c r="B1540" s="26">
        <v>20.67</v>
      </c>
      <c r="C1540" s="27">
        <v>225.95</v>
      </c>
      <c r="D1540" s="28">
        <v>3.8210000000000002</v>
      </c>
      <c r="E1540" s="27">
        <v>122.37</v>
      </c>
      <c r="F1540" s="27">
        <v>607.24</v>
      </c>
      <c r="G1540" s="27">
        <v>956</v>
      </c>
    </row>
    <row r="1541" spans="1:7" ht="15.75" x14ac:dyDescent="0.25">
      <c r="A1541" s="30">
        <v>501</v>
      </c>
      <c r="B1541" s="26">
        <v>9.5210000000000008</v>
      </c>
      <c r="C1541" s="27">
        <v>153.47999999999999</v>
      </c>
      <c r="D1541" s="28">
        <v>0.52800000000000002</v>
      </c>
      <c r="E1541" s="27">
        <v>16.91</v>
      </c>
      <c r="F1541" s="27">
        <v>607.24</v>
      </c>
      <c r="G1541" s="27">
        <v>778</v>
      </c>
    </row>
    <row r="1542" spans="1:7" ht="15.75" x14ac:dyDescent="0.25">
      <c r="A1542" s="30">
        <v>502</v>
      </c>
      <c r="B1542" s="26">
        <v>12.659000000000001</v>
      </c>
      <c r="C1542" s="27">
        <v>173.88</v>
      </c>
      <c r="D1542" s="28">
        <v>1.506</v>
      </c>
      <c r="E1542" s="27">
        <v>48.23</v>
      </c>
      <c r="F1542" s="27">
        <v>607.24</v>
      </c>
      <c r="G1542" s="27">
        <v>830</v>
      </c>
    </row>
    <row r="1543" spans="1:7" ht="15.75" x14ac:dyDescent="0.25">
      <c r="A1543" s="30">
        <v>601</v>
      </c>
      <c r="B1543" s="26">
        <v>15.991</v>
      </c>
      <c r="C1543" s="27">
        <v>195.54</v>
      </c>
      <c r="D1543" s="28">
        <v>0.78900000000000003</v>
      </c>
      <c r="E1543" s="27">
        <v>25.27</v>
      </c>
      <c r="F1543" s="27">
        <v>607.24</v>
      </c>
      <c r="G1543" s="27">
        <v>829</v>
      </c>
    </row>
    <row r="1544" spans="1:7" ht="15.75" x14ac:dyDescent="0.25">
      <c r="A1544" s="30">
        <v>602</v>
      </c>
      <c r="B1544" s="26">
        <v>4.2370000000000001</v>
      </c>
      <c r="C1544" s="27">
        <v>119.14</v>
      </c>
      <c r="D1544" s="28">
        <v>1.917</v>
      </c>
      <c r="E1544" s="27">
        <v>61.39</v>
      </c>
      <c r="F1544" s="27">
        <v>607.24</v>
      </c>
      <c r="G1544" s="27">
        <v>788</v>
      </c>
    </row>
    <row r="1545" spans="1:7" ht="15.75" x14ac:dyDescent="0.25">
      <c r="A1545" s="30">
        <v>701</v>
      </c>
      <c r="B1545" s="26">
        <v>13.632</v>
      </c>
      <c r="C1545" s="27">
        <v>180.2</v>
      </c>
      <c r="D1545" s="28">
        <v>0.58199999999999996</v>
      </c>
      <c r="E1545" s="27">
        <v>18.64</v>
      </c>
      <c r="F1545" s="27">
        <v>607.24</v>
      </c>
      <c r="G1545" s="27">
        <v>807</v>
      </c>
    </row>
    <row r="1546" spans="1:7" ht="15.75" x14ac:dyDescent="0.25">
      <c r="A1546" s="30">
        <v>702</v>
      </c>
      <c r="B1546" s="26">
        <v>4.0199999999999996</v>
      </c>
      <c r="C1546" s="27">
        <v>117.73</v>
      </c>
      <c r="D1546" s="28">
        <v>1.446</v>
      </c>
      <c r="E1546" s="27">
        <v>46.31</v>
      </c>
      <c r="F1546" s="27">
        <v>607.24</v>
      </c>
      <c r="G1546" s="27">
        <v>772</v>
      </c>
    </row>
    <row r="1547" spans="1:7" ht="15.75" x14ac:dyDescent="0.25">
      <c r="A1547" s="30">
        <v>801</v>
      </c>
      <c r="B1547" s="26">
        <v>3.4670000000000001</v>
      </c>
      <c r="C1547" s="27">
        <v>114.13</v>
      </c>
      <c r="D1547" s="28">
        <v>0</v>
      </c>
      <c r="E1547" s="27">
        <v>0</v>
      </c>
      <c r="F1547" s="27">
        <v>607.24</v>
      </c>
      <c r="G1547" s="27">
        <v>722</v>
      </c>
    </row>
    <row r="1548" spans="1:7" ht="15.75" x14ac:dyDescent="0.25">
      <c r="A1548" s="30">
        <v>802</v>
      </c>
      <c r="B1548" s="26">
        <v>13.538</v>
      </c>
      <c r="C1548" s="27">
        <v>179.59</v>
      </c>
      <c r="D1548" s="28">
        <v>1.9750000000000001</v>
      </c>
      <c r="E1548" s="27">
        <v>63.25</v>
      </c>
      <c r="F1548" s="63">
        <v>607.24</v>
      </c>
      <c r="G1548" s="63">
        <v>851</v>
      </c>
    </row>
    <row r="1550" spans="1:7" x14ac:dyDescent="0.25">
      <c r="A1550" s="32"/>
      <c r="B1550" s="7"/>
      <c r="C1550" s="7"/>
      <c r="D1550" s="7"/>
      <c r="E1550" s="7"/>
      <c r="F1550" s="7"/>
      <c r="G1550" s="33"/>
    </row>
    <row r="1551" spans="1:7" x14ac:dyDescent="0.25">
      <c r="A1551" s="32"/>
      <c r="B1551" s="7"/>
      <c r="C1551" s="7"/>
      <c r="D1551" s="7"/>
      <c r="E1551" s="7"/>
      <c r="F1551" s="7"/>
      <c r="G1551" s="33"/>
    </row>
    <row r="1552" spans="1:7" x14ac:dyDescent="0.25">
      <c r="A1552" s="32"/>
      <c r="B1552" s="7"/>
      <c r="C1552" s="7"/>
      <c r="D1552" s="7"/>
      <c r="E1552" s="7"/>
      <c r="F1552" s="7"/>
      <c r="G1552" s="33"/>
    </row>
    <row r="1554" spans="1:7" ht="15.75" x14ac:dyDescent="0.25">
      <c r="A1554" s="34" t="s">
        <v>259</v>
      </c>
      <c r="B1554" s="35"/>
      <c r="C1554" s="35"/>
      <c r="D1554" s="35"/>
      <c r="E1554" s="35"/>
      <c r="F1554" s="36"/>
      <c r="G1554" s="72">
        <v>70844.92</v>
      </c>
    </row>
    <row r="1555" spans="1:7" ht="15.75" x14ac:dyDescent="0.25">
      <c r="A1555" s="37" t="s">
        <v>260</v>
      </c>
      <c r="B1555" s="38"/>
      <c r="C1555" s="38"/>
      <c r="D1555" s="38"/>
      <c r="E1555" s="38"/>
      <c r="F1555" s="39"/>
      <c r="G1555" s="72">
        <v>4200</v>
      </c>
    </row>
    <row r="1556" spans="1:7" ht="15.75" x14ac:dyDescent="0.25">
      <c r="A1556" s="37" t="s">
        <v>261</v>
      </c>
      <c r="B1556" s="38"/>
      <c r="C1556" s="38"/>
      <c r="D1556" s="38"/>
      <c r="E1556" s="38"/>
      <c r="F1556" s="39"/>
      <c r="G1556" s="72">
        <v>-19962</v>
      </c>
    </row>
    <row r="1557" spans="1:7" ht="15.75" x14ac:dyDescent="0.25">
      <c r="A1557" s="34" t="s">
        <v>262</v>
      </c>
      <c r="B1557" s="35"/>
      <c r="C1557" s="35"/>
      <c r="D1557" s="35"/>
      <c r="E1557" s="35"/>
      <c r="F1557" s="36"/>
      <c r="G1557" s="72">
        <f>SUM(G1554:G1556)</f>
        <v>55082.92</v>
      </c>
    </row>
    <row r="1558" spans="1:7" ht="18.75" x14ac:dyDescent="0.3">
      <c r="A1558" s="40"/>
      <c r="B1558" s="40"/>
      <c r="C1558" s="40"/>
      <c r="D1558" s="40"/>
      <c r="E1558" s="40"/>
      <c r="F1558" s="40"/>
      <c r="G1558" s="40"/>
    </row>
    <row r="1559" spans="1:7" ht="31.5" customHeight="1" x14ac:dyDescent="0.25">
      <c r="A1559" s="85" t="s">
        <v>54</v>
      </c>
      <c r="B1559" s="86"/>
      <c r="C1559" s="86"/>
      <c r="D1559" s="86"/>
      <c r="E1559" s="86"/>
      <c r="F1559" s="86"/>
      <c r="G1559" s="87"/>
    </row>
    <row r="1560" spans="1:7" ht="15.75" x14ac:dyDescent="0.25">
      <c r="A1560" s="41" t="s">
        <v>36</v>
      </c>
      <c r="B1560" s="42"/>
      <c r="C1560" s="42"/>
      <c r="D1560" s="42"/>
      <c r="E1560" s="42"/>
      <c r="F1560" s="42"/>
      <c r="G1560" s="43"/>
    </row>
    <row r="1561" spans="1:7" ht="15.75" x14ac:dyDescent="0.25">
      <c r="A1561" s="44" t="s">
        <v>37</v>
      </c>
      <c r="B1561" s="45"/>
      <c r="C1561" s="45"/>
      <c r="D1561" s="45"/>
      <c r="E1561" s="45"/>
      <c r="F1561" s="45"/>
      <c r="G1561" s="46"/>
    </row>
    <row r="1562" spans="1:7" ht="15.75" x14ac:dyDescent="0.25">
      <c r="A1562" s="47"/>
      <c r="B1562" s="47"/>
      <c r="C1562" s="47"/>
      <c r="D1562" s="47"/>
      <c r="E1562" s="47"/>
      <c r="F1562" s="47"/>
      <c r="G1562" s="47"/>
    </row>
    <row r="1563" spans="1:7" ht="15.75" x14ac:dyDescent="0.25">
      <c r="A1563" s="48" t="s">
        <v>50</v>
      </c>
      <c r="B1563" s="49"/>
      <c r="C1563" s="49"/>
      <c r="D1563" s="49"/>
      <c r="E1563" s="49"/>
      <c r="F1563" s="49"/>
      <c r="G1563" s="50"/>
    </row>
    <row r="1564" spans="1:7" ht="15.75" x14ac:dyDescent="0.25">
      <c r="A1564" s="47"/>
      <c r="B1564" s="47"/>
      <c r="C1564" s="47"/>
      <c r="D1564" s="47"/>
      <c r="E1564" s="47"/>
      <c r="F1564" s="47"/>
      <c r="G1564" s="47"/>
    </row>
    <row r="1565" spans="1:7" ht="15.75" x14ac:dyDescent="0.25">
      <c r="A1565" s="47"/>
      <c r="B1565" s="47"/>
      <c r="C1565" s="47"/>
      <c r="D1565" s="47"/>
      <c r="E1565" s="47"/>
      <c r="F1565" s="47"/>
      <c r="G1565" s="47"/>
    </row>
    <row r="1566" spans="1:7" ht="15.75" x14ac:dyDescent="0.25">
      <c r="A1566" s="47"/>
      <c r="B1566" s="47"/>
      <c r="C1566" s="47"/>
      <c r="D1566" s="47"/>
      <c r="E1566" s="47"/>
      <c r="F1566" s="47"/>
      <c r="G1566" s="47"/>
    </row>
    <row r="1574" spans="1:9" ht="21" x14ac:dyDescent="0.35">
      <c r="A1574" s="88" t="s">
        <v>20</v>
      </c>
      <c r="B1574" s="89"/>
      <c r="C1574" s="89"/>
      <c r="D1574" s="89"/>
      <c r="E1574" s="89"/>
      <c r="F1574" s="89"/>
      <c r="G1574" s="90"/>
      <c r="H1574" s="56"/>
      <c r="I1574" s="56"/>
    </row>
    <row r="1576" spans="1:9" ht="17.25" x14ac:dyDescent="0.3">
      <c r="A1576" s="51" t="s">
        <v>264</v>
      </c>
      <c r="B1576" s="51"/>
      <c r="C1576" s="51"/>
      <c r="D1576" s="51"/>
      <c r="E1576" s="51"/>
      <c r="F1576" s="51"/>
      <c r="G1576" s="51"/>
      <c r="H1576" s="51"/>
      <c r="I1576" s="51"/>
    </row>
    <row r="1577" spans="1:9" ht="17.25" x14ac:dyDescent="0.3">
      <c r="A1577" s="51"/>
      <c r="B1577" s="51"/>
      <c r="C1577" s="51"/>
      <c r="D1577" s="51"/>
      <c r="E1577" s="51"/>
      <c r="F1577" s="51"/>
      <c r="G1577" s="51"/>
      <c r="H1577" s="51"/>
      <c r="I1577" s="51"/>
    </row>
    <row r="1578" spans="1:9" ht="17.25" x14ac:dyDescent="0.3">
      <c r="A1578" s="51" t="s">
        <v>265</v>
      </c>
      <c r="B1578" s="51"/>
      <c r="C1578" s="51"/>
      <c r="D1578" s="51"/>
      <c r="E1578" s="51"/>
      <c r="F1578" s="51"/>
      <c r="G1578" s="51"/>
      <c r="H1578" s="51"/>
      <c r="I1578" s="51"/>
    </row>
    <row r="1579" spans="1:9" ht="17.25" x14ac:dyDescent="0.3">
      <c r="A1579" s="51"/>
      <c r="B1579" s="51"/>
      <c r="C1579" s="51"/>
      <c r="D1579" s="51"/>
      <c r="E1579" s="51"/>
      <c r="F1579" s="51"/>
      <c r="G1579" s="51"/>
      <c r="H1579" s="51"/>
      <c r="I1579" s="51"/>
    </row>
    <row r="1580" spans="1:9" ht="17.25" x14ac:dyDescent="0.3">
      <c r="A1580" s="51" t="s">
        <v>266</v>
      </c>
      <c r="B1580" s="51"/>
      <c r="C1580" s="51"/>
      <c r="D1580" s="51"/>
      <c r="E1580" s="51"/>
      <c r="F1580" s="51"/>
      <c r="G1580" s="51"/>
      <c r="H1580" s="51"/>
      <c r="I1580" s="51"/>
    </row>
    <row r="1581" spans="1:9" ht="17.25" x14ac:dyDescent="0.3">
      <c r="A1581" s="51"/>
      <c r="B1581" s="51"/>
      <c r="C1581" s="51"/>
      <c r="D1581" s="51"/>
      <c r="E1581" s="51"/>
      <c r="F1581" s="51"/>
      <c r="G1581" s="51"/>
      <c r="H1581" s="51"/>
      <c r="I1581" s="51"/>
    </row>
    <row r="1582" spans="1:9" ht="17.25" x14ac:dyDescent="0.3">
      <c r="A1582" s="51" t="s">
        <v>40</v>
      </c>
      <c r="B1582" s="51"/>
      <c r="C1582" s="51"/>
      <c r="D1582" s="51"/>
      <c r="E1582" s="51"/>
      <c r="F1582" s="51"/>
      <c r="G1582" s="51"/>
      <c r="H1582" s="51"/>
      <c r="I1582" s="51"/>
    </row>
    <row r="1583" spans="1:9" ht="17.25" x14ac:dyDescent="0.3">
      <c r="A1583" s="51"/>
      <c r="B1583" s="51"/>
      <c r="C1583" s="51"/>
      <c r="D1583" s="51"/>
      <c r="E1583" s="51"/>
      <c r="F1583" s="51"/>
      <c r="G1583" s="51"/>
      <c r="H1583" s="51"/>
      <c r="I1583" s="51"/>
    </row>
    <row r="1584" spans="1:9" ht="33" customHeight="1" x14ac:dyDescent="0.3">
      <c r="A1584" s="91" t="s">
        <v>267</v>
      </c>
      <c r="B1584" s="91"/>
      <c r="C1584" s="91"/>
      <c r="D1584" s="91"/>
      <c r="E1584" s="91"/>
      <c r="F1584" s="91"/>
      <c r="G1584" s="91"/>
      <c r="H1584" s="55"/>
      <c r="I1584" s="55"/>
    </row>
    <row r="1585" spans="1:9" ht="17.25" x14ac:dyDescent="0.3">
      <c r="A1585" s="51"/>
      <c r="B1585" s="51"/>
      <c r="C1585" s="51"/>
      <c r="D1585" s="51"/>
      <c r="E1585" s="51"/>
      <c r="F1585" s="51"/>
      <c r="G1585" s="51"/>
      <c r="H1585" s="51"/>
      <c r="I1585" s="51"/>
    </row>
    <row r="1586" spans="1:9" ht="33" customHeight="1" x14ac:dyDescent="0.3">
      <c r="A1586" s="91" t="s">
        <v>268</v>
      </c>
      <c r="B1586" s="91"/>
      <c r="C1586" s="91"/>
      <c r="D1586" s="91"/>
      <c r="E1586" s="91"/>
      <c r="F1586" s="91"/>
      <c r="G1586" s="91"/>
      <c r="H1586" s="55"/>
      <c r="I1586" s="55"/>
    </row>
    <row r="1587" spans="1:9" ht="17.25" x14ac:dyDescent="0.3">
      <c r="A1587" s="51"/>
      <c r="B1587" s="51"/>
      <c r="C1587" s="51"/>
      <c r="D1587" s="51"/>
      <c r="E1587" s="51"/>
      <c r="F1587" s="51"/>
      <c r="G1587" s="51"/>
      <c r="H1587" s="51"/>
      <c r="I1587" s="51"/>
    </row>
    <row r="1588" spans="1:9" ht="33" customHeight="1" x14ac:dyDescent="0.3">
      <c r="A1588" s="91" t="s">
        <v>269</v>
      </c>
      <c r="B1588" s="91"/>
      <c r="C1588" s="91"/>
      <c r="D1588" s="91"/>
      <c r="E1588" s="91"/>
      <c r="F1588" s="91"/>
      <c r="G1588" s="91"/>
      <c r="H1588" s="55"/>
      <c r="I1588" s="55"/>
    </row>
    <row r="1590" spans="1:9" ht="18.75" x14ac:dyDescent="0.3">
      <c r="A1590" s="1" t="s">
        <v>270</v>
      </c>
      <c r="B1590" s="2"/>
      <c r="C1590" s="2"/>
      <c r="D1590" s="2"/>
      <c r="E1590" s="2"/>
      <c r="F1590" s="2"/>
      <c r="G1590" s="53"/>
    </row>
    <row r="1591" spans="1:9" ht="15.75" x14ac:dyDescent="0.25">
      <c r="A1591" s="3" t="s">
        <v>1</v>
      </c>
      <c r="B1591" s="3" t="s">
        <v>2</v>
      </c>
      <c r="C1591" s="4" t="s">
        <v>3</v>
      </c>
      <c r="D1591" s="4"/>
      <c r="E1591" s="4"/>
      <c r="F1591" s="4"/>
      <c r="G1591" s="62" t="s">
        <v>30</v>
      </c>
    </row>
    <row r="1592" spans="1:9" ht="15.75" x14ac:dyDescent="0.25">
      <c r="A1592" s="5">
        <v>45513</v>
      </c>
      <c r="B1592" s="6" t="s">
        <v>4</v>
      </c>
      <c r="C1592" s="7" t="s">
        <v>5</v>
      </c>
      <c r="D1592" s="7"/>
      <c r="E1592" s="7"/>
      <c r="F1592" s="7"/>
      <c r="G1592" s="52">
        <v>1255.0899999999999</v>
      </c>
    </row>
    <row r="1593" spans="1:9" ht="15.75" x14ac:dyDescent="0.25">
      <c r="A1593" s="5">
        <v>45519</v>
      </c>
      <c r="B1593" s="6" t="s">
        <v>4</v>
      </c>
      <c r="C1593" s="7" t="s">
        <v>61</v>
      </c>
      <c r="D1593" s="7"/>
      <c r="E1593" s="7"/>
      <c r="F1593" s="7"/>
      <c r="G1593" s="52">
        <v>1138.6500000000001</v>
      </c>
    </row>
    <row r="1594" spans="1:9" ht="15.75" x14ac:dyDescent="0.25">
      <c r="A1594" s="5">
        <v>45519</v>
      </c>
      <c r="B1594" s="6" t="s">
        <v>4</v>
      </c>
      <c r="C1594" s="7" t="s">
        <v>8</v>
      </c>
      <c r="D1594" s="7"/>
      <c r="E1594" s="7"/>
      <c r="F1594" s="7"/>
      <c r="G1594" s="52">
        <v>232.23000000000002</v>
      </c>
    </row>
    <row r="1595" spans="1:9" ht="15.75" x14ac:dyDescent="0.25">
      <c r="A1595" s="5">
        <v>45523</v>
      </c>
      <c r="B1595" s="6" t="s">
        <v>4</v>
      </c>
      <c r="C1595" s="7" t="s">
        <v>9</v>
      </c>
      <c r="D1595" s="7"/>
      <c r="E1595" s="7"/>
      <c r="F1595" s="7"/>
      <c r="G1595" s="52">
        <v>376.31</v>
      </c>
    </row>
    <row r="1596" spans="1:9" ht="15.75" x14ac:dyDescent="0.25">
      <c r="A1596" s="5">
        <v>45524</v>
      </c>
      <c r="B1596" s="6" t="s">
        <v>4</v>
      </c>
      <c r="C1596" s="7" t="s">
        <v>47</v>
      </c>
      <c r="D1596" s="7"/>
      <c r="E1596" s="7"/>
      <c r="F1596" s="7"/>
      <c r="G1596" s="52">
        <v>210.64000000000001</v>
      </c>
    </row>
    <row r="1597" spans="1:9" ht="15.75" x14ac:dyDescent="0.25">
      <c r="A1597" s="5">
        <v>45497</v>
      </c>
      <c r="B1597" s="6" t="s">
        <v>4</v>
      </c>
      <c r="C1597" s="7" t="s">
        <v>257</v>
      </c>
      <c r="D1597" s="7"/>
      <c r="E1597" s="7"/>
      <c r="F1597" s="7"/>
      <c r="G1597" s="52">
        <v>12</v>
      </c>
    </row>
    <row r="1598" spans="1:9" ht="15.75" x14ac:dyDescent="0.25">
      <c r="A1598" s="8">
        <v>45532</v>
      </c>
      <c r="B1598" s="6" t="s">
        <v>4</v>
      </c>
      <c r="C1598" s="7" t="s">
        <v>14</v>
      </c>
      <c r="D1598" s="7"/>
      <c r="E1598" s="7"/>
      <c r="F1598" s="7"/>
      <c r="G1598" s="52">
        <v>141</v>
      </c>
    </row>
    <row r="1599" spans="1:9" ht="15.75" customHeight="1" x14ac:dyDescent="0.25">
      <c r="A1599" s="8">
        <v>45505</v>
      </c>
      <c r="B1599" s="54" t="s">
        <v>4</v>
      </c>
      <c r="C1599" s="32" t="s">
        <v>15</v>
      </c>
      <c r="D1599" s="67"/>
      <c r="E1599" s="67"/>
      <c r="F1599" s="68"/>
      <c r="G1599" s="52">
        <v>65</v>
      </c>
    </row>
    <row r="1600" spans="1:9" ht="21" x14ac:dyDescent="0.35">
      <c r="A1600" s="9" t="s">
        <v>16</v>
      </c>
      <c r="B1600" s="10"/>
      <c r="C1600" s="11"/>
      <c r="D1600" s="11"/>
      <c r="E1600" s="11"/>
      <c r="F1600" s="11"/>
      <c r="G1600" s="12">
        <f>SUM(G1592:G1599)</f>
        <v>3430.9199999999996</v>
      </c>
    </row>
    <row r="1601" spans="1:7" ht="21" x14ac:dyDescent="0.35">
      <c r="A1601" s="13" t="s">
        <v>17</v>
      </c>
      <c r="B1601" s="11"/>
      <c r="C1601" s="11"/>
      <c r="D1601" s="11"/>
      <c r="E1601" s="11"/>
      <c r="F1601" s="11"/>
      <c r="G1601" s="14">
        <f>ROUND(G1600/14,2)</f>
        <v>245.07</v>
      </c>
    </row>
    <row r="1602" spans="1:7" ht="21" x14ac:dyDescent="0.35">
      <c r="A1602" s="13" t="s">
        <v>74</v>
      </c>
      <c r="B1602" s="11"/>
      <c r="C1602" s="11"/>
      <c r="D1602" s="11"/>
      <c r="E1602" s="11"/>
      <c r="F1602" s="11"/>
      <c r="G1602" s="14">
        <f>ROUND(G1601/13,2)</f>
        <v>18.850000000000001</v>
      </c>
    </row>
    <row r="1603" spans="1:7" ht="21" x14ac:dyDescent="0.35">
      <c r="A1603" s="13" t="s">
        <v>196</v>
      </c>
      <c r="B1603" s="11"/>
      <c r="C1603" s="11"/>
      <c r="D1603" s="11"/>
      <c r="E1603" s="11"/>
      <c r="F1603" s="11"/>
      <c r="G1603" s="14">
        <v>300</v>
      </c>
    </row>
    <row r="1604" spans="1:7" ht="21" x14ac:dyDescent="0.35">
      <c r="A1604" s="13" t="s">
        <v>19</v>
      </c>
      <c r="B1604" s="11"/>
      <c r="C1604" s="11"/>
      <c r="D1604" s="11"/>
      <c r="E1604" s="11"/>
      <c r="F1604" s="11"/>
      <c r="G1604" s="12">
        <f>G1601+G1602+G1603</f>
        <v>563.92000000000007</v>
      </c>
    </row>
    <row r="1615" spans="1:7" ht="21" x14ac:dyDescent="0.35">
      <c r="A1615" s="88" t="s">
        <v>20</v>
      </c>
      <c r="B1615" s="89"/>
      <c r="C1615" s="89"/>
      <c r="D1615" s="89"/>
      <c r="E1615" s="89"/>
      <c r="F1615" s="89"/>
      <c r="G1615" s="90"/>
    </row>
    <row r="1616" spans="1:7" ht="18.75" x14ac:dyDescent="0.25">
      <c r="A1616" s="19" t="s">
        <v>271</v>
      </c>
      <c r="B1616" s="15"/>
      <c r="C1616" s="15"/>
      <c r="D1616" s="15"/>
      <c r="E1616" s="15"/>
      <c r="F1616" s="15"/>
      <c r="G1616" s="16"/>
    </row>
    <row r="1617" spans="1:7" ht="15.75" x14ac:dyDescent="0.25">
      <c r="A1617" s="17"/>
      <c r="B1617" s="18"/>
      <c r="C1617" s="18"/>
      <c r="D1617" s="18"/>
      <c r="E1617" s="18"/>
      <c r="F1617" s="18"/>
      <c r="G1617" s="18"/>
    </row>
    <row r="1618" spans="1:7" ht="15.75" x14ac:dyDescent="0.25">
      <c r="A1618" s="17"/>
      <c r="B1618" s="18"/>
      <c r="C1618" s="18"/>
      <c r="D1618" s="18"/>
      <c r="E1618" s="18"/>
      <c r="F1618" s="18"/>
      <c r="G1618" s="18"/>
    </row>
    <row r="1619" spans="1:7" ht="15.75" x14ac:dyDescent="0.25">
      <c r="A1619" s="20" t="s">
        <v>22</v>
      </c>
      <c r="B1619" s="21" t="s">
        <v>23</v>
      </c>
      <c r="C1619" s="22"/>
      <c r="D1619" s="21" t="s">
        <v>24</v>
      </c>
      <c r="E1619" s="22"/>
      <c r="F1619" s="59" t="s">
        <v>25</v>
      </c>
      <c r="G1619" s="60" t="s">
        <v>26</v>
      </c>
    </row>
    <row r="1620" spans="1:7" ht="15.75" x14ac:dyDescent="0.25">
      <c r="A1620" s="23" t="s">
        <v>27</v>
      </c>
      <c r="B1620" s="24" t="s">
        <v>28</v>
      </c>
      <c r="C1620" s="24" t="s">
        <v>29</v>
      </c>
      <c r="D1620" s="24" t="s">
        <v>28</v>
      </c>
      <c r="E1620" s="24" t="s">
        <v>30</v>
      </c>
      <c r="F1620" s="58" t="s">
        <v>31</v>
      </c>
      <c r="G1620" s="61" t="s">
        <v>31</v>
      </c>
    </row>
    <row r="1621" spans="1:7" ht="15.75" x14ac:dyDescent="0.25">
      <c r="A1621" s="25" t="s">
        <v>32</v>
      </c>
      <c r="B1621" s="26">
        <v>19.050999999999931</v>
      </c>
      <c r="C1621" s="27">
        <v>232.23000000000002</v>
      </c>
      <c r="D1621" s="28">
        <v>0</v>
      </c>
      <c r="E1621" s="27">
        <v>0</v>
      </c>
      <c r="F1621" s="29">
        <v>0</v>
      </c>
      <c r="G1621" s="27">
        <v>0</v>
      </c>
    </row>
    <row r="1622" spans="1:7" ht="15.75" x14ac:dyDescent="0.25">
      <c r="A1622" s="30">
        <v>201</v>
      </c>
      <c r="B1622" s="26">
        <v>18.946999999999999</v>
      </c>
      <c r="C1622" s="27">
        <v>230.16</v>
      </c>
      <c r="D1622" s="31">
        <v>3.1E-2</v>
      </c>
      <c r="E1622" s="27">
        <v>1.05</v>
      </c>
      <c r="F1622" s="27">
        <v>563.92000000000007</v>
      </c>
      <c r="G1622" s="27">
        <v>796</v>
      </c>
    </row>
    <row r="1623" spans="1:7" ht="15.75" x14ac:dyDescent="0.25">
      <c r="A1623" s="30">
        <v>202</v>
      </c>
      <c r="B1623" s="26">
        <v>50.77</v>
      </c>
      <c r="C1623" s="27">
        <v>455.47</v>
      </c>
      <c r="D1623" s="28">
        <v>5.7610000000000001</v>
      </c>
      <c r="E1623" s="27">
        <v>195.15</v>
      </c>
      <c r="F1623" s="27">
        <v>563.92000000000007</v>
      </c>
      <c r="G1623" s="27">
        <v>1215</v>
      </c>
    </row>
    <row r="1624" spans="1:7" ht="15.75" x14ac:dyDescent="0.25">
      <c r="A1624" s="30">
        <v>301</v>
      </c>
      <c r="B1624" s="26">
        <v>25.623999999999999</v>
      </c>
      <c r="C1624" s="27">
        <v>277.43</v>
      </c>
      <c r="D1624" s="28">
        <v>2.92</v>
      </c>
      <c r="E1624" s="27">
        <v>98.92</v>
      </c>
      <c r="F1624" s="27">
        <v>563.92000000000007</v>
      </c>
      <c r="G1624" s="27">
        <v>941</v>
      </c>
    </row>
    <row r="1625" spans="1:7" ht="15.75" x14ac:dyDescent="0.25">
      <c r="A1625" s="30">
        <v>302</v>
      </c>
      <c r="B1625" s="26">
        <v>19.213000000000001</v>
      </c>
      <c r="C1625" s="27">
        <v>232.04</v>
      </c>
      <c r="D1625" s="28">
        <v>2.2290000000000001</v>
      </c>
      <c r="E1625" s="27">
        <v>75.510000000000005</v>
      </c>
      <c r="F1625" s="27">
        <v>563.92000000000007</v>
      </c>
      <c r="G1625" s="27">
        <v>872</v>
      </c>
    </row>
    <row r="1626" spans="1:7" ht="15.75" x14ac:dyDescent="0.25">
      <c r="A1626" s="30">
        <v>401</v>
      </c>
      <c r="B1626" s="26">
        <v>17.413</v>
      </c>
      <c r="C1626" s="27">
        <v>219.3</v>
      </c>
      <c r="D1626" s="28">
        <v>2.1549999999999998</v>
      </c>
      <c r="E1626" s="27">
        <v>73</v>
      </c>
      <c r="F1626" s="27">
        <v>563.92000000000007</v>
      </c>
      <c r="G1626" s="27">
        <v>857</v>
      </c>
    </row>
    <row r="1627" spans="1:7" ht="15.75" x14ac:dyDescent="0.25">
      <c r="A1627" s="30">
        <v>402</v>
      </c>
      <c r="B1627" s="26">
        <v>28.638000000000002</v>
      </c>
      <c r="C1627" s="27">
        <v>298.77</v>
      </c>
      <c r="D1627" s="28">
        <v>4.3410000000000002</v>
      </c>
      <c r="E1627" s="27">
        <v>147.05000000000001</v>
      </c>
      <c r="F1627" s="27">
        <v>563.92000000000007</v>
      </c>
      <c r="G1627" s="27">
        <v>1010</v>
      </c>
    </row>
    <row r="1628" spans="1:7" ht="15.75" x14ac:dyDescent="0.25">
      <c r="A1628" s="30">
        <v>501</v>
      </c>
      <c r="B1628" s="26">
        <v>14.3</v>
      </c>
      <c r="C1628" s="27">
        <v>197.26</v>
      </c>
      <c r="D1628" s="28">
        <v>0.89900000000000002</v>
      </c>
      <c r="E1628" s="27">
        <v>30.45</v>
      </c>
      <c r="F1628" s="27">
        <v>563.92000000000007</v>
      </c>
      <c r="G1628" s="27">
        <v>792</v>
      </c>
    </row>
    <row r="1629" spans="1:7" ht="15.75" x14ac:dyDescent="0.25">
      <c r="A1629" s="30">
        <v>502</v>
      </c>
      <c r="B1629" s="26">
        <v>14.342000000000001</v>
      </c>
      <c r="C1629" s="27">
        <v>197.56</v>
      </c>
      <c r="D1629" s="28">
        <v>2.0179999999999998</v>
      </c>
      <c r="E1629" s="27">
        <v>68.36</v>
      </c>
      <c r="F1629" s="27">
        <v>563.92000000000007</v>
      </c>
      <c r="G1629" s="27">
        <v>830</v>
      </c>
    </row>
    <row r="1630" spans="1:7" ht="15.75" x14ac:dyDescent="0.25">
      <c r="A1630" s="30">
        <v>601</v>
      </c>
      <c r="B1630" s="26">
        <v>32.573</v>
      </c>
      <c r="C1630" s="27">
        <v>326.63</v>
      </c>
      <c r="D1630" s="28">
        <v>0.71799999999999997</v>
      </c>
      <c r="E1630" s="27">
        <v>24.32</v>
      </c>
      <c r="F1630" s="27">
        <v>563.92000000000007</v>
      </c>
      <c r="G1630" s="27">
        <v>915</v>
      </c>
    </row>
    <row r="1631" spans="1:7" ht="15.75" x14ac:dyDescent="0.25">
      <c r="A1631" s="30">
        <v>602</v>
      </c>
      <c r="B1631" s="26">
        <v>3.9260000000000002</v>
      </c>
      <c r="C1631" s="27">
        <v>123.81</v>
      </c>
      <c r="D1631" s="28">
        <v>2.3530000000000002</v>
      </c>
      <c r="E1631" s="27">
        <v>79.709999999999994</v>
      </c>
      <c r="F1631" s="27">
        <v>563.92000000000007</v>
      </c>
      <c r="G1631" s="27">
        <v>768</v>
      </c>
    </row>
    <row r="1632" spans="1:7" ht="15.75" x14ac:dyDescent="0.25">
      <c r="A1632" s="30">
        <v>701</v>
      </c>
      <c r="B1632" s="26">
        <v>11.590999999999999</v>
      </c>
      <c r="C1632" s="27">
        <v>178.08</v>
      </c>
      <c r="D1632" s="28">
        <v>0.60099999999999998</v>
      </c>
      <c r="E1632" s="27">
        <v>20.36</v>
      </c>
      <c r="F1632" s="27">
        <v>563.92000000000007</v>
      </c>
      <c r="G1632" s="27">
        <v>763</v>
      </c>
    </row>
    <row r="1633" spans="1:7" ht="15.75" x14ac:dyDescent="0.25">
      <c r="A1633" s="30">
        <v>702</v>
      </c>
      <c r="B1633" s="26">
        <v>3.645</v>
      </c>
      <c r="C1633" s="27">
        <v>121.82</v>
      </c>
      <c r="D1633" s="28">
        <v>1.377</v>
      </c>
      <c r="E1633" s="27">
        <v>46.65</v>
      </c>
      <c r="F1633" s="27">
        <v>563.92000000000007</v>
      </c>
      <c r="G1633" s="27">
        <v>733</v>
      </c>
    </row>
    <row r="1634" spans="1:7" ht="15.75" x14ac:dyDescent="0.25">
      <c r="A1634" s="30">
        <v>801</v>
      </c>
      <c r="B1634" s="26">
        <v>3.605</v>
      </c>
      <c r="C1634" s="27">
        <v>121.54</v>
      </c>
      <c r="D1634" s="28">
        <v>0</v>
      </c>
      <c r="E1634" s="27">
        <v>0</v>
      </c>
      <c r="F1634" s="27">
        <v>563.92000000000007</v>
      </c>
      <c r="G1634" s="27">
        <v>686</v>
      </c>
    </row>
    <row r="1635" spans="1:7" ht="15.75" x14ac:dyDescent="0.25">
      <c r="A1635" s="30">
        <v>802</v>
      </c>
      <c r="B1635" s="26">
        <v>12.362</v>
      </c>
      <c r="C1635" s="27">
        <v>183.54</v>
      </c>
      <c r="D1635" s="28">
        <v>1.639</v>
      </c>
      <c r="E1635" s="27">
        <v>55.52</v>
      </c>
      <c r="F1635" s="63">
        <v>563.92000000000007</v>
      </c>
      <c r="G1635" s="63">
        <v>803</v>
      </c>
    </row>
    <row r="1637" spans="1:7" x14ac:dyDescent="0.25">
      <c r="A1637" s="32"/>
      <c r="B1637" s="7"/>
      <c r="C1637" s="7"/>
      <c r="D1637" s="7"/>
      <c r="E1637" s="7"/>
      <c r="F1637" s="7"/>
      <c r="G1637" s="33"/>
    </row>
    <row r="1638" spans="1:7" x14ac:dyDescent="0.25">
      <c r="A1638" s="32"/>
      <c r="B1638" s="7"/>
      <c r="C1638" s="7"/>
      <c r="D1638" s="7"/>
      <c r="E1638" s="7"/>
      <c r="F1638" s="7"/>
      <c r="G1638" s="33"/>
    </row>
    <row r="1639" spans="1:7" x14ac:dyDescent="0.25">
      <c r="A1639" s="32"/>
      <c r="B1639" s="7"/>
      <c r="C1639" s="7"/>
      <c r="D1639" s="7"/>
      <c r="E1639" s="7"/>
      <c r="F1639" s="7"/>
      <c r="G1639" s="33"/>
    </row>
    <row r="1641" spans="1:7" ht="15.75" x14ac:dyDescent="0.25">
      <c r="A1641" s="34" t="s">
        <v>272</v>
      </c>
      <c r="B1641" s="35"/>
      <c r="C1641" s="35"/>
      <c r="D1641" s="35"/>
      <c r="E1641" s="35"/>
      <c r="F1641" s="36"/>
      <c r="G1641" s="72">
        <v>55082.92</v>
      </c>
    </row>
    <row r="1642" spans="1:7" ht="15.75" x14ac:dyDescent="0.25">
      <c r="A1642" s="37" t="s">
        <v>273</v>
      </c>
      <c r="B1642" s="38"/>
      <c r="C1642" s="38"/>
      <c r="D1642" s="38"/>
      <c r="E1642" s="38"/>
      <c r="F1642" s="39"/>
      <c r="G1642" s="72">
        <v>4200</v>
      </c>
    </row>
    <row r="1643" spans="1:7" ht="15.75" x14ac:dyDescent="0.25">
      <c r="A1643" s="37" t="s">
        <v>274</v>
      </c>
      <c r="B1643" s="38"/>
      <c r="C1643" s="38"/>
      <c r="D1643" s="38"/>
      <c r="E1643" s="38"/>
      <c r="F1643" s="39"/>
      <c r="G1643" s="72">
        <v>-19962</v>
      </c>
    </row>
    <row r="1644" spans="1:7" ht="15.75" x14ac:dyDescent="0.25">
      <c r="A1644" s="34" t="s">
        <v>275</v>
      </c>
      <c r="B1644" s="35"/>
      <c r="C1644" s="35"/>
      <c r="D1644" s="35"/>
      <c r="E1644" s="35"/>
      <c r="F1644" s="36"/>
      <c r="G1644" s="72">
        <f>SUM(G1641:G1643)</f>
        <v>39320.92</v>
      </c>
    </row>
    <row r="1645" spans="1:7" ht="18.75" x14ac:dyDescent="0.3">
      <c r="A1645" s="40"/>
      <c r="B1645" s="40"/>
      <c r="C1645" s="40"/>
      <c r="D1645" s="40"/>
      <c r="E1645" s="40"/>
      <c r="F1645" s="40"/>
      <c r="G1645" s="40"/>
    </row>
    <row r="1646" spans="1:7" ht="31.5" customHeight="1" x14ac:dyDescent="0.25">
      <c r="A1646" s="85" t="s">
        <v>54</v>
      </c>
      <c r="B1646" s="86"/>
      <c r="C1646" s="86"/>
      <c r="D1646" s="86"/>
      <c r="E1646" s="86"/>
      <c r="F1646" s="86"/>
      <c r="G1646" s="87"/>
    </row>
    <row r="1647" spans="1:7" ht="15.75" x14ac:dyDescent="0.25">
      <c r="A1647" s="41" t="s">
        <v>36</v>
      </c>
      <c r="B1647" s="42"/>
      <c r="C1647" s="42"/>
      <c r="D1647" s="42"/>
      <c r="E1647" s="42"/>
      <c r="F1647" s="42"/>
      <c r="G1647" s="43"/>
    </row>
    <row r="1648" spans="1:7" ht="15.75" x14ac:dyDescent="0.25">
      <c r="A1648" s="44" t="s">
        <v>37</v>
      </c>
      <c r="B1648" s="45"/>
      <c r="C1648" s="45"/>
      <c r="D1648" s="45"/>
      <c r="E1648" s="45"/>
      <c r="F1648" s="45"/>
      <c r="G1648" s="46"/>
    </row>
    <row r="1649" spans="1:9" ht="15.75" x14ac:dyDescent="0.25">
      <c r="A1649" s="47"/>
      <c r="B1649" s="47"/>
      <c r="C1649" s="47"/>
      <c r="D1649" s="47"/>
      <c r="E1649" s="47"/>
      <c r="F1649" s="47"/>
      <c r="G1649" s="47"/>
    </row>
    <row r="1650" spans="1:9" ht="15.75" x14ac:dyDescent="0.25">
      <c r="A1650" s="48" t="s">
        <v>50</v>
      </c>
      <c r="B1650" s="49"/>
      <c r="C1650" s="49"/>
      <c r="D1650" s="49"/>
      <c r="E1650" s="49"/>
      <c r="F1650" s="49"/>
      <c r="G1650" s="50"/>
    </row>
    <row r="1651" spans="1:9" ht="15.75" x14ac:dyDescent="0.25">
      <c r="A1651" s="47"/>
      <c r="B1651" s="47"/>
      <c r="C1651" s="47"/>
      <c r="D1651" s="47"/>
      <c r="E1651" s="47"/>
      <c r="F1651" s="47"/>
      <c r="G1651" s="47"/>
    </row>
    <row r="1652" spans="1:9" ht="15.75" x14ac:dyDescent="0.25">
      <c r="A1652" s="47"/>
      <c r="B1652" s="47"/>
      <c r="C1652" s="47"/>
      <c r="D1652" s="47"/>
      <c r="E1652" s="47"/>
      <c r="F1652" s="47"/>
      <c r="G1652" s="47"/>
    </row>
    <row r="1653" spans="1:9" ht="15.75" x14ac:dyDescent="0.25">
      <c r="A1653" s="47"/>
      <c r="B1653" s="47"/>
      <c r="C1653" s="47"/>
      <c r="D1653" s="47"/>
      <c r="E1653" s="47"/>
      <c r="F1653" s="47"/>
      <c r="G1653" s="47"/>
    </row>
    <row r="1661" spans="1:9" ht="21" x14ac:dyDescent="0.35">
      <c r="A1661" s="88" t="s">
        <v>20</v>
      </c>
      <c r="B1661" s="89"/>
      <c r="C1661" s="89"/>
      <c r="D1661" s="89"/>
      <c r="E1661" s="89"/>
      <c r="F1661" s="89"/>
      <c r="G1661" s="90"/>
      <c r="H1661" s="56"/>
      <c r="I1661" s="56"/>
    </row>
    <row r="1663" spans="1:9" ht="17.25" x14ac:dyDescent="0.3">
      <c r="A1663" s="51" t="s">
        <v>279</v>
      </c>
      <c r="B1663" s="51"/>
      <c r="C1663" s="51"/>
      <c r="D1663" s="51"/>
      <c r="E1663" s="51"/>
      <c r="F1663" s="51"/>
      <c r="G1663" s="51"/>
      <c r="H1663" s="51"/>
      <c r="I1663" s="51"/>
    </row>
    <row r="1664" spans="1:9" ht="17.25" x14ac:dyDescent="0.3">
      <c r="A1664" s="51"/>
      <c r="B1664" s="51"/>
      <c r="C1664" s="51"/>
      <c r="D1664" s="51"/>
      <c r="E1664" s="51"/>
      <c r="F1664" s="51"/>
      <c r="G1664" s="51"/>
      <c r="H1664" s="51"/>
      <c r="I1664" s="51"/>
    </row>
    <row r="1665" spans="1:9" ht="17.25" x14ac:dyDescent="0.3">
      <c r="A1665" s="51" t="s">
        <v>280</v>
      </c>
      <c r="B1665" s="51"/>
      <c r="C1665" s="51"/>
      <c r="D1665" s="51"/>
      <c r="E1665" s="51"/>
      <c r="F1665" s="51"/>
      <c r="G1665" s="51"/>
      <c r="H1665" s="51"/>
      <c r="I1665" s="51"/>
    </row>
    <row r="1666" spans="1:9" ht="17.25" x14ac:dyDescent="0.3">
      <c r="A1666" s="51"/>
      <c r="B1666" s="51"/>
      <c r="C1666" s="51"/>
      <c r="D1666" s="51"/>
      <c r="E1666" s="51"/>
      <c r="F1666" s="51"/>
      <c r="G1666" s="51"/>
      <c r="H1666" s="51"/>
      <c r="I1666" s="51"/>
    </row>
    <row r="1667" spans="1:9" ht="17.25" x14ac:dyDescent="0.3">
      <c r="A1667" s="51" t="s">
        <v>281</v>
      </c>
      <c r="B1667" s="51"/>
      <c r="C1667" s="51"/>
      <c r="D1667" s="51"/>
      <c r="E1667" s="51"/>
      <c r="F1667" s="51"/>
      <c r="G1667" s="51"/>
      <c r="H1667" s="51"/>
      <c r="I1667" s="51"/>
    </row>
    <row r="1668" spans="1:9" ht="17.25" x14ac:dyDescent="0.3">
      <c r="A1668" s="51"/>
      <c r="B1668" s="51"/>
      <c r="C1668" s="51"/>
      <c r="D1668" s="51"/>
      <c r="E1668" s="51"/>
      <c r="F1668" s="51"/>
      <c r="G1668" s="51"/>
      <c r="H1668" s="51"/>
      <c r="I1668" s="51"/>
    </row>
    <row r="1669" spans="1:9" ht="17.25" x14ac:dyDescent="0.3">
      <c r="A1669" s="51" t="s">
        <v>40</v>
      </c>
      <c r="B1669" s="51"/>
      <c r="C1669" s="51"/>
      <c r="D1669" s="51"/>
      <c r="E1669" s="51"/>
      <c r="F1669" s="51"/>
      <c r="G1669" s="51"/>
      <c r="H1669" s="51"/>
      <c r="I1669" s="51"/>
    </row>
    <row r="1670" spans="1:9" ht="17.25" x14ac:dyDescent="0.3">
      <c r="A1670" s="51"/>
      <c r="B1670" s="51"/>
      <c r="C1670" s="51"/>
      <c r="D1670" s="51"/>
      <c r="E1670" s="51"/>
      <c r="F1670" s="51"/>
      <c r="G1670" s="51"/>
      <c r="H1670" s="51"/>
      <c r="I1670" s="51"/>
    </row>
    <row r="1671" spans="1:9" ht="33" customHeight="1" x14ac:dyDescent="0.3">
      <c r="A1671" s="91" t="s">
        <v>282</v>
      </c>
      <c r="B1671" s="91"/>
      <c r="C1671" s="91"/>
      <c r="D1671" s="91"/>
      <c r="E1671" s="91"/>
      <c r="F1671" s="91"/>
      <c r="G1671" s="91"/>
      <c r="H1671" s="55"/>
      <c r="I1671" s="55"/>
    </row>
    <row r="1672" spans="1:9" ht="17.25" x14ac:dyDescent="0.3">
      <c r="A1672" s="51"/>
      <c r="B1672" s="51"/>
      <c r="C1672" s="51"/>
      <c r="D1672" s="51"/>
      <c r="E1672" s="51"/>
      <c r="F1672" s="51"/>
      <c r="G1672" s="51"/>
      <c r="H1672" s="51"/>
      <c r="I1672" s="51"/>
    </row>
    <row r="1673" spans="1:9" ht="33" customHeight="1" x14ac:dyDescent="0.3">
      <c r="A1673" s="91" t="s">
        <v>283</v>
      </c>
      <c r="B1673" s="91"/>
      <c r="C1673" s="91"/>
      <c r="D1673" s="91"/>
      <c r="E1673" s="91"/>
      <c r="F1673" s="91"/>
      <c r="G1673" s="91"/>
      <c r="H1673" s="55"/>
      <c r="I1673" s="55"/>
    </row>
    <row r="1674" spans="1:9" ht="17.25" x14ac:dyDescent="0.3">
      <c r="A1674" s="51"/>
      <c r="B1674" s="51"/>
      <c r="C1674" s="51"/>
      <c r="D1674" s="51"/>
      <c r="E1674" s="51"/>
      <c r="F1674" s="51"/>
      <c r="G1674" s="51"/>
      <c r="H1674" s="51"/>
      <c r="I1674" s="51"/>
    </row>
    <row r="1675" spans="1:9" ht="33" customHeight="1" x14ac:dyDescent="0.3">
      <c r="A1675" s="91" t="s">
        <v>284</v>
      </c>
      <c r="B1675" s="91"/>
      <c r="C1675" s="91"/>
      <c r="D1675" s="91"/>
      <c r="E1675" s="91"/>
      <c r="F1675" s="91"/>
      <c r="G1675" s="91"/>
      <c r="H1675" s="55"/>
      <c r="I1675" s="55"/>
    </row>
    <row r="1677" spans="1:9" ht="18.75" x14ac:dyDescent="0.3">
      <c r="A1677" s="1" t="s">
        <v>285</v>
      </c>
      <c r="B1677" s="2"/>
      <c r="C1677" s="2"/>
      <c r="D1677" s="2"/>
      <c r="E1677" s="2"/>
      <c r="F1677" s="2"/>
      <c r="G1677" s="53"/>
    </row>
    <row r="1678" spans="1:9" ht="15.75" x14ac:dyDescent="0.25">
      <c r="A1678" s="3" t="s">
        <v>1</v>
      </c>
      <c r="B1678" s="3" t="s">
        <v>2</v>
      </c>
      <c r="C1678" s="4" t="s">
        <v>3</v>
      </c>
      <c r="D1678" s="4"/>
      <c r="E1678" s="4"/>
      <c r="F1678" s="4"/>
      <c r="G1678" s="62" t="s">
        <v>30</v>
      </c>
    </row>
    <row r="1679" spans="1:9" ht="15.75" x14ac:dyDescent="0.25">
      <c r="A1679" s="5">
        <v>45545</v>
      </c>
      <c r="B1679" s="6" t="s">
        <v>4</v>
      </c>
      <c r="C1679" s="7" t="s">
        <v>5</v>
      </c>
      <c r="D1679" s="7"/>
      <c r="E1679" s="7"/>
      <c r="F1679" s="7"/>
      <c r="G1679" s="52">
        <v>1255.0899999999999</v>
      </c>
    </row>
    <row r="1680" spans="1:9" ht="15.75" x14ac:dyDescent="0.25">
      <c r="A1680" s="5">
        <v>45551</v>
      </c>
      <c r="B1680" s="6" t="s">
        <v>4</v>
      </c>
      <c r="C1680" s="7" t="s">
        <v>61</v>
      </c>
      <c r="D1680" s="7"/>
      <c r="E1680" s="7"/>
      <c r="F1680" s="7"/>
      <c r="G1680" s="52">
        <v>1138.6500000000001</v>
      </c>
    </row>
    <row r="1681" spans="1:7" ht="15.75" x14ac:dyDescent="0.25">
      <c r="A1681" s="5">
        <v>45551</v>
      </c>
      <c r="B1681" s="6" t="s">
        <v>4</v>
      </c>
      <c r="C1681" s="7" t="s">
        <v>8</v>
      </c>
      <c r="D1681" s="7"/>
      <c r="E1681" s="7"/>
      <c r="F1681" s="7"/>
      <c r="G1681" s="52">
        <v>103.25999999999976</v>
      </c>
    </row>
    <row r="1682" spans="1:7" ht="15.75" x14ac:dyDescent="0.25">
      <c r="A1682" s="5">
        <v>45552</v>
      </c>
      <c r="B1682" s="6" t="s">
        <v>4</v>
      </c>
      <c r="C1682" s="7" t="s">
        <v>9</v>
      </c>
      <c r="D1682" s="7"/>
      <c r="E1682" s="7"/>
      <c r="F1682" s="7"/>
      <c r="G1682" s="52">
        <v>365.46</v>
      </c>
    </row>
    <row r="1683" spans="1:7" ht="15.75" x14ac:dyDescent="0.25">
      <c r="A1683" s="5">
        <v>45555</v>
      </c>
      <c r="B1683" s="6" t="s">
        <v>4</v>
      </c>
      <c r="C1683" s="7" t="s">
        <v>47</v>
      </c>
      <c r="D1683" s="7"/>
      <c r="E1683" s="7"/>
      <c r="F1683" s="7"/>
      <c r="G1683" s="52">
        <v>210.64000000000001</v>
      </c>
    </row>
    <row r="1684" spans="1:7" ht="15.75" x14ac:dyDescent="0.25">
      <c r="A1684" s="5">
        <v>45509</v>
      </c>
      <c r="B1684" s="6" t="s">
        <v>4</v>
      </c>
      <c r="C1684" s="7" t="s">
        <v>276</v>
      </c>
      <c r="D1684" s="7"/>
      <c r="E1684" s="7"/>
      <c r="F1684" s="7"/>
      <c r="G1684" s="52">
        <v>108.38</v>
      </c>
    </row>
    <row r="1685" spans="1:7" ht="15.75" x14ac:dyDescent="0.25">
      <c r="A1685" s="5">
        <v>45519</v>
      </c>
      <c r="B1685" s="6" t="s">
        <v>4</v>
      </c>
      <c r="C1685" s="7" t="s">
        <v>277</v>
      </c>
      <c r="D1685" s="7"/>
      <c r="E1685" s="7"/>
      <c r="F1685" s="7"/>
      <c r="G1685" s="52">
        <v>400</v>
      </c>
    </row>
    <row r="1686" spans="1:7" ht="15.75" x14ac:dyDescent="0.25">
      <c r="A1686" s="5">
        <v>45530</v>
      </c>
      <c r="B1686" s="6" t="s">
        <v>4</v>
      </c>
      <c r="C1686" s="7" t="s">
        <v>278</v>
      </c>
      <c r="D1686" s="7"/>
      <c r="E1686" s="7"/>
      <c r="F1686" s="7"/>
      <c r="G1686" s="52">
        <v>390</v>
      </c>
    </row>
    <row r="1687" spans="1:7" ht="15.75" x14ac:dyDescent="0.25">
      <c r="A1687" s="8">
        <v>45565</v>
      </c>
      <c r="B1687" s="6" t="s">
        <v>4</v>
      </c>
      <c r="C1687" s="7" t="s">
        <v>14</v>
      </c>
      <c r="D1687" s="7"/>
      <c r="E1687" s="7"/>
      <c r="F1687" s="7"/>
      <c r="G1687" s="52">
        <v>141</v>
      </c>
    </row>
    <row r="1688" spans="1:7" ht="15.75" customHeight="1" x14ac:dyDescent="0.25">
      <c r="A1688" s="8">
        <v>45536</v>
      </c>
      <c r="B1688" s="54" t="s">
        <v>4</v>
      </c>
      <c r="C1688" s="32" t="s">
        <v>15</v>
      </c>
      <c r="D1688" s="67"/>
      <c r="E1688" s="67"/>
      <c r="F1688" s="68"/>
      <c r="G1688" s="52">
        <v>65</v>
      </c>
    </row>
    <row r="1689" spans="1:7" ht="21" x14ac:dyDescent="0.35">
      <c r="A1689" s="9" t="s">
        <v>16</v>
      </c>
      <c r="B1689" s="10"/>
      <c r="C1689" s="11"/>
      <c r="D1689" s="11"/>
      <c r="E1689" s="11"/>
      <c r="F1689" s="11"/>
      <c r="G1689" s="12">
        <f>SUM(G1679:G1688)</f>
        <v>4177.4799999999996</v>
      </c>
    </row>
    <row r="1690" spans="1:7" ht="21" x14ac:dyDescent="0.35">
      <c r="A1690" s="13" t="s">
        <v>17</v>
      </c>
      <c r="B1690" s="11"/>
      <c r="C1690" s="11"/>
      <c r="D1690" s="11"/>
      <c r="E1690" s="11"/>
      <c r="F1690" s="11"/>
      <c r="G1690" s="14">
        <f>ROUND(G1689/14,2)</f>
        <v>298.39</v>
      </c>
    </row>
    <row r="1691" spans="1:7" ht="21" x14ac:dyDescent="0.35">
      <c r="A1691" s="13" t="s">
        <v>74</v>
      </c>
      <c r="B1691" s="11"/>
      <c r="C1691" s="11"/>
      <c r="D1691" s="11"/>
      <c r="E1691" s="11"/>
      <c r="F1691" s="11"/>
      <c r="G1691" s="14">
        <f>ROUND(G1690/13,2)</f>
        <v>22.95</v>
      </c>
    </row>
    <row r="1692" spans="1:7" ht="21" x14ac:dyDescent="0.35">
      <c r="A1692" s="13" t="s">
        <v>196</v>
      </c>
      <c r="B1692" s="11"/>
      <c r="C1692" s="11"/>
      <c r="D1692" s="11"/>
      <c r="E1692" s="11"/>
      <c r="F1692" s="11"/>
      <c r="G1692" s="14">
        <v>300</v>
      </c>
    </row>
    <row r="1693" spans="1:7" ht="21" x14ac:dyDescent="0.35">
      <c r="A1693" s="13" t="s">
        <v>19</v>
      </c>
      <c r="B1693" s="11"/>
      <c r="C1693" s="11"/>
      <c r="D1693" s="11"/>
      <c r="E1693" s="11"/>
      <c r="F1693" s="11"/>
      <c r="G1693" s="12">
        <f>G1690+G1691+G1692</f>
        <v>621.33999999999992</v>
      </c>
    </row>
    <row r="1702" spans="1:7" ht="21" x14ac:dyDescent="0.35">
      <c r="A1702" s="88" t="s">
        <v>20</v>
      </c>
      <c r="B1702" s="89"/>
      <c r="C1702" s="89"/>
      <c r="D1702" s="89"/>
      <c r="E1702" s="89"/>
      <c r="F1702" s="89"/>
      <c r="G1702" s="90"/>
    </row>
    <row r="1703" spans="1:7" ht="18.75" x14ac:dyDescent="0.25">
      <c r="A1703" s="19" t="s">
        <v>286</v>
      </c>
      <c r="B1703" s="15"/>
      <c r="C1703" s="15"/>
      <c r="D1703" s="15"/>
      <c r="E1703" s="15"/>
      <c r="F1703" s="15"/>
      <c r="G1703" s="16"/>
    </row>
    <row r="1704" spans="1:7" ht="15.75" x14ac:dyDescent="0.25">
      <c r="A1704" s="17"/>
      <c r="B1704" s="18"/>
      <c r="C1704" s="18"/>
      <c r="D1704" s="18"/>
      <c r="E1704" s="18"/>
      <c r="F1704" s="18"/>
      <c r="G1704" s="18"/>
    </row>
    <row r="1705" spans="1:7" ht="15.75" x14ac:dyDescent="0.25">
      <c r="A1705" s="17"/>
      <c r="B1705" s="18"/>
      <c r="C1705" s="18"/>
      <c r="D1705" s="18"/>
      <c r="E1705" s="18"/>
      <c r="F1705" s="18"/>
      <c r="G1705" s="18"/>
    </row>
    <row r="1706" spans="1:7" ht="15.75" x14ac:dyDescent="0.25">
      <c r="A1706" s="20" t="s">
        <v>22</v>
      </c>
      <c r="B1706" s="21" t="s">
        <v>23</v>
      </c>
      <c r="C1706" s="22"/>
      <c r="D1706" s="21" t="s">
        <v>24</v>
      </c>
      <c r="E1706" s="22"/>
      <c r="F1706" s="59" t="s">
        <v>25</v>
      </c>
      <c r="G1706" s="60" t="s">
        <v>26</v>
      </c>
    </row>
    <row r="1707" spans="1:7" ht="15.75" x14ac:dyDescent="0.25">
      <c r="A1707" s="23" t="s">
        <v>27</v>
      </c>
      <c r="B1707" s="24" t="s">
        <v>28</v>
      </c>
      <c r="C1707" s="24" t="s">
        <v>29</v>
      </c>
      <c r="D1707" s="24" t="s">
        <v>28</v>
      </c>
      <c r="E1707" s="24" t="s">
        <v>30</v>
      </c>
      <c r="F1707" s="58" t="s">
        <v>31</v>
      </c>
      <c r="G1707" s="61" t="s">
        <v>31</v>
      </c>
    </row>
    <row r="1708" spans="1:7" ht="15.75" x14ac:dyDescent="0.25">
      <c r="A1708" s="25" t="s">
        <v>32</v>
      </c>
      <c r="B1708" s="26">
        <v>6.0000000000286491E-3</v>
      </c>
      <c r="C1708" s="27">
        <v>103.25999999999976</v>
      </c>
      <c r="D1708" s="28">
        <v>0</v>
      </c>
      <c r="E1708" s="27">
        <v>0</v>
      </c>
      <c r="F1708" s="29">
        <v>0</v>
      </c>
      <c r="G1708" s="27">
        <v>0</v>
      </c>
    </row>
    <row r="1709" spans="1:7" ht="15.75" x14ac:dyDescent="0.25">
      <c r="A1709" s="30">
        <v>201</v>
      </c>
      <c r="B1709" s="26">
        <v>19.916</v>
      </c>
      <c r="C1709" s="27">
        <v>246.69</v>
      </c>
      <c r="D1709" s="31">
        <v>2.5000000000000001E-2</v>
      </c>
      <c r="E1709" s="27">
        <v>0.85</v>
      </c>
      <c r="F1709" s="27">
        <v>621.33999999999992</v>
      </c>
      <c r="G1709" s="27">
        <v>869</v>
      </c>
    </row>
    <row r="1710" spans="1:7" ht="15.75" x14ac:dyDescent="0.25">
      <c r="A1710" s="30">
        <v>202</v>
      </c>
      <c r="B1710" s="26">
        <v>46.887999999999998</v>
      </c>
      <c r="C1710" s="27">
        <v>442.23</v>
      </c>
      <c r="D1710" s="28">
        <v>6.45</v>
      </c>
      <c r="E1710" s="27">
        <v>218.49</v>
      </c>
      <c r="F1710" s="27">
        <v>621.33999999999992</v>
      </c>
      <c r="G1710" s="27">
        <v>1283</v>
      </c>
    </row>
    <row r="1711" spans="1:7" ht="15.75" x14ac:dyDescent="0.25">
      <c r="A1711" s="30">
        <v>301</v>
      </c>
      <c r="B1711" s="26">
        <v>33.642000000000003</v>
      </c>
      <c r="C1711" s="27">
        <v>346.2</v>
      </c>
      <c r="D1711" s="28">
        <v>3.1280000000000001</v>
      </c>
      <c r="E1711" s="27">
        <v>105.96</v>
      </c>
      <c r="F1711" s="27">
        <v>621.33999999999992</v>
      </c>
      <c r="G1711" s="27">
        <v>1074</v>
      </c>
    </row>
    <row r="1712" spans="1:7" ht="15.75" x14ac:dyDescent="0.25">
      <c r="A1712" s="30">
        <v>302</v>
      </c>
      <c r="B1712" s="26">
        <v>22.533999999999999</v>
      </c>
      <c r="C1712" s="27">
        <v>265.67</v>
      </c>
      <c r="D1712" s="28">
        <v>2.395</v>
      </c>
      <c r="E1712" s="27">
        <v>81.13</v>
      </c>
      <c r="F1712" s="27">
        <v>621.33999999999992</v>
      </c>
      <c r="G1712" s="27">
        <v>969</v>
      </c>
    </row>
    <row r="1713" spans="1:7" ht="15.75" x14ac:dyDescent="0.25">
      <c r="A1713" s="30">
        <v>401</v>
      </c>
      <c r="B1713" s="26">
        <v>18.353000000000002</v>
      </c>
      <c r="C1713" s="27">
        <v>235.35</v>
      </c>
      <c r="D1713" s="28">
        <v>2.29</v>
      </c>
      <c r="E1713" s="27">
        <v>77.569999999999993</v>
      </c>
      <c r="F1713" s="27">
        <v>621.33999999999992</v>
      </c>
      <c r="G1713" s="27">
        <v>935</v>
      </c>
    </row>
    <row r="1714" spans="1:7" ht="15.75" x14ac:dyDescent="0.25">
      <c r="A1714" s="30">
        <v>402</v>
      </c>
      <c r="B1714" s="26">
        <v>30.510999999999999</v>
      </c>
      <c r="C1714" s="27">
        <v>323.5</v>
      </c>
      <c r="D1714" s="28">
        <v>5.0419999999999998</v>
      </c>
      <c r="E1714" s="27">
        <v>170.8</v>
      </c>
      <c r="F1714" s="27">
        <v>621.33999999999992</v>
      </c>
      <c r="G1714" s="27">
        <v>1116</v>
      </c>
    </row>
    <row r="1715" spans="1:7" ht="15.75" x14ac:dyDescent="0.25">
      <c r="A1715" s="30">
        <v>501</v>
      </c>
      <c r="B1715" s="26">
        <v>19.100999999999999</v>
      </c>
      <c r="C1715" s="27">
        <v>240.78</v>
      </c>
      <c r="D1715" s="28">
        <v>1.167</v>
      </c>
      <c r="E1715" s="27">
        <v>39.53</v>
      </c>
      <c r="F1715" s="27">
        <v>621.33999999999992</v>
      </c>
      <c r="G1715" s="27">
        <v>902</v>
      </c>
    </row>
    <row r="1716" spans="1:7" ht="15.75" x14ac:dyDescent="0.25">
      <c r="A1716" s="30">
        <v>502</v>
      </c>
      <c r="B1716" s="26">
        <v>15.709</v>
      </c>
      <c r="C1716" s="27">
        <v>216.19</v>
      </c>
      <c r="D1716" s="28">
        <v>1.8560000000000001</v>
      </c>
      <c r="E1716" s="27">
        <v>62.87</v>
      </c>
      <c r="F1716" s="27">
        <v>621.33999999999992</v>
      </c>
      <c r="G1716" s="27">
        <v>901</v>
      </c>
    </row>
    <row r="1717" spans="1:7" ht="15.75" x14ac:dyDescent="0.25">
      <c r="A1717" s="30">
        <v>601</v>
      </c>
      <c r="B1717" s="26">
        <v>37.337000000000003</v>
      </c>
      <c r="C1717" s="27">
        <v>372.99</v>
      </c>
      <c r="D1717" s="28">
        <v>0.35799999999999998</v>
      </c>
      <c r="E1717" s="27">
        <v>12.13</v>
      </c>
      <c r="F1717" s="27">
        <v>621.33999999999992</v>
      </c>
      <c r="G1717" s="27">
        <v>1007</v>
      </c>
    </row>
    <row r="1718" spans="1:7" ht="15.75" x14ac:dyDescent="0.25">
      <c r="A1718" s="30">
        <v>602</v>
      </c>
      <c r="B1718" s="26">
        <v>4.7030000000000003</v>
      </c>
      <c r="C1718" s="27">
        <v>136.38999999999999</v>
      </c>
      <c r="D1718" s="28">
        <v>3.121</v>
      </c>
      <c r="E1718" s="27">
        <v>105.72</v>
      </c>
      <c r="F1718" s="27">
        <v>621.33999999999992</v>
      </c>
      <c r="G1718" s="27">
        <v>864</v>
      </c>
    </row>
    <row r="1719" spans="1:7" ht="15.75" x14ac:dyDescent="0.25">
      <c r="A1719" s="30">
        <v>701</v>
      </c>
      <c r="B1719" s="26">
        <v>14.554</v>
      </c>
      <c r="C1719" s="27">
        <v>207.81</v>
      </c>
      <c r="D1719" s="28">
        <v>0.66200000000000003</v>
      </c>
      <c r="E1719" s="27">
        <v>22.43</v>
      </c>
      <c r="F1719" s="27">
        <v>621.33999999999992</v>
      </c>
      <c r="G1719" s="27">
        <v>852</v>
      </c>
    </row>
    <row r="1720" spans="1:7" ht="15.75" x14ac:dyDescent="0.25">
      <c r="A1720" s="30">
        <v>702</v>
      </c>
      <c r="B1720" s="26">
        <v>3.5259999999999998</v>
      </c>
      <c r="C1720" s="27">
        <v>127.86</v>
      </c>
      <c r="D1720" s="28">
        <v>1.7070000000000001</v>
      </c>
      <c r="E1720" s="27">
        <v>57.82</v>
      </c>
      <c r="F1720" s="27">
        <v>621.33999999999992</v>
      </c>
      <c r="G1720" s="27">
        <v>808</v>
      </c>
    </row>
    <row r="1721" spans="1:7" ht="15.75" x14ac:dyDescent="0.25">
      <c r="A1721" s="30">
        <v>801</v>
      </c>
      <c r="B1721" s="26">
        <v>7.1740000000000004</v>
      </c>
      <c r="C1721" s="27">
        <v>154.31</v>
      </c>
      <c r="D1721" s="28">
        <v>0.19700000000000001</v>
      </c>
      <c r="E1721" s="27">
        <v>6.67</v>
      </c>
      <c r="F1721" s="27">
        <v>621.33999999999992</v>
      </c>
      <c r="G1721" s="27">
        <v>783</v>
      </c>
    </row>
    <row r="1722" spans="1:7" ht="15.75" x14ac:dyDescent="0.25">
      <c r="A1722" s="30">
        <v>802</v>
      </c>
      <c r="B1722" s="26">
        <v>13.045999999999999</v>
      </c>
      <c r="C1722" s="27">
        <v>196.88</v>
      </c>
      <c r="D1722" s="28">
        <v>1.169</v>
      </c>
      <c r="E1722" s="27">
        <v>39.6</v>
      </c>
      <c r="F1722" s="63">
        <v>621.33999999999992</v>
      </c>
      <c r="G1722" s="63">
        <v>858</v>
      </c>
    </row>
    <row r="1724" spans="1:7" x14ac:dyDescent="0.25">
      <c r="A1724" s="32"/>
      <c r="B1724" s="7"/>
      <c r="C1724" s="7"/>
      <c r="D1724" s="7"/>
      <c r="E1724" s="7"/>
      <c r="F1724" s="7"/>
      <c r="G1724" s="33"/>
    </row>
    <row r="1725" spans="1:7" x14ac:dyDescent="0.25">
      <c r="A1725" s="32"/>
      <c r="B1725" s="7"/>
      <c r="C1725" s="7"/>
      <c r="D1725" s="7"/>
      <c r="E1725" s="7"/>
      <c r="F1725" s="7"/>
      <c r="G1725" s="33"/>
    </row>
    <row r="1726" spans="1:7" x14ac:dyDescent="0.25">
      <c r="A1726" s="32"/>
      <c r="B1726" s="7"/>
      <c r="C1726" s="7"/>
      <c r="D1726" s="7"/>
      <c r="E1726" s="7"/>
      <c r="F1726" s="7"/>
      <c r="G1726" s="33"/>
    </row>
    <row r="1728" spans="1:7" ht="15.75" x14ac:dyDescent="0.25">
      <c r="A1728" s="34" t="s">
        <v>287</v>
      </c>
      <c r="B1728" s="35"/>
      <c r="C1728" s="35"/>
      <c r="D1728" s="35"/>
      <c r="E1728" s="35"/>
      <c r="F1728" s="36"/>
      <c r="G1728" s="72">
        <v>39320.92</v>
      </c>
    </row>
    <row r="1729" spans="1:7" ht="15.75" x14ac:dyDescent="0.25">
      <c r="A1729" s="37" t="s">
        <v>288</v>
      </c>
      <c r="B1729" s="38"/>
      <c r="C1729" s="38"/>
      <c r="D1729" s="38"/>
      <c r="E1729" s="38"/>
      <c r="F1729" s="39"/>
      <c r="G1729" s="72">
        <v>4200</v>
      </c>
    </row>
    <row r="1730" spans="1:7" ht="15.75" x14ac:dyDescent="0.25">
      <c r="A1730" s="37" t="s">
        <v>289</v>
      </c>
      <c r="B1730" s="38"/>
      <c r="C1730" s="38"/>
      <c r="D1730" s="38"/>
      <c r="E1730" s="38"/>
      <c r="F1730" s="39"/>
      <c r="G1730" s="72">
        <v>-19962</v>
      </c>
    </row>
    <row r="1731" spans="1:7" ht="15.75" x14ac:dyDescent="0.25">
      <c r="A1731" s="34" t="s">
        <v>290</v>
      </c>
      <c r="B1731" s="35"/>
      <c r="C1731" s="35"/>
      <c r="D1731" s="35"/>
      <c r="E1731" s="35"/>
      <c r="F1731" s="36"/>
      <c r="G1731" s="72">
        <f>SUM(G1728:G1730)</f>
        <v>23558.92</v>
      </c>
    </row>
    <row r="1732" spans="1:7" ht="18.75" x14ac:dyDescent="0.3">
      <c r="A1732" s="40"/>
      <c r="B1732" s="40"/>
      <c r="C1732" s="40"/>
      <c r="D1732" s="40"/>
      <c r="E1732" s="40"/>
      <c r="F1732" s="40"/>
      <c r="G1732" s="40"/>
    </row>
    <row r="1733" spans="1:7" ht="31.5" customHeight="1" x14ac:dyDescent="0.25">
      <c r="A1733" s="85" t="s">
        <v>54</v>
      </c>
      <c r="B1733" s="86"/>
      <c r="C1733" s="86"/>
      <c r="D1733" s="86"/>
      <c r="E1733" s="86"/>
      <c r="F1733" s="86"/>
      <c r="G1733" s="87"/>
    </row>
    <row r="1734" spans="1:7" ht="15.75" x14ac:dyDescent="0.25">
      <c r="A1734" s="41" t="s">
        <v>36</v>
      </c>
      <c r="B1734" s="42"/>
      <c r="C1734" s="42"/>
      <c r="D1734" s="42"/>
      <c r="E1734" s="42"/>
      <c r="F1734" s="42"/>
      <c r="G1734" s="43"/>
    </row>
    <row r="1735" spans="1:7" ht="15.75" x14ac:dyDescent="0.25">
      <c r="A1735" s="44" t="s">
        <v>37</v>
      </c>
      <c r="B1735" s="45"/>
      <c r="C1735" s="45"/>
      <c r="D1735" s="45"/>
      <c r="E1735" s="45"/>
      <c r="F1735" s="45"/>
      <c r="G1735" s="46"/>
    </row>
    <row r="1736" spans="1:7" ht="15.75" x14ac:dyDescent="0.25">
      <c r="A1736" s="47"/>
      <c r="B1736" s="47"/>
      <c r="C1736" s="47"/>
      <c r="D1736" s="47"/>
      <c r="E1736" s="47"/>
      <c r="F1736" s="47"/>
      <c r="G1736" s="47"/>
    </row>
    <row r="1737" spans="1:7" ht="15.75" x14ac:dyDescent="0.25">
      <c r="A1737" s="48" t="s">
        <v>50</v>
      </c>
      <c r="B1737" s="49"/>
      <c r="C1737" s="49"/>
      <c r="D1737" s="49"/>
      <c r="E1737" s="49"/>
      <c r="F1737" s="49"/>
      <c r="G1737" s="50"/>
    </row>
    <row r="1738" spans="1:7" ht="15.75" x14ac:dyDescent="0.25">
      <c r="A1738" s="47"/>
      <c r="B1738" s="47"/>
      <c r="C1738" s="47"/>
      <c r="D1738" s="47"/>
      <c r="E1738" s="47"/>
      <c r="F1738" s="47"/>
      <c r="G1738" s="47"/>
    </row>
    <row r="1739" spans="1:7" ht="15.75" x14ac:dyDescent="0.25">
      <c r="A1739" s="47"/>
      <c r="B1739" s="47"/>
      <c r="C1739" s="47"/>
      <c r="D1739" s="47"/>
      <c r="E1739" s="47"/>
      <c r="F1739" s="47"/>
      <c r="G1739" s="47"/>
    </row>
    <row r="1740" spans="1:7" ht="15.75" x14ac:dyDescent="0.25">
      <c r="A1740" s="47"/>
      <c r="B1740" s="47"/>
      <c r="C1740" s="47"/>
      <c r="D1740" s="47"/>
      <c r="E1740" s="47"/>
      <c r="F1740" s="47"/>
      <c r="G1740" s="47"/>
    </row>
    <row r="1748" spans="1:9" ht="21" x14ac:dyDescent="0.35">
      <c r="A1748" s="88" t="s">
        <v>20</v>
      </c>
      <c r="B1748" s="89"/>
      <c r="C1748" s="89"/>
      <c r="D1748" s="89"/>
      <c r="E1748" s="89"/>
      <c r="F1748" s="89"/>
      <c r="G1748" s="90"/>
      <c r="H1748" s="56"/>
      <c r="I1748" s="56"/>
    </row>
    <row r="1750" spans="1:9" ht="17.25" x14ac:dyDescent="0.3">
      <c r="A1750" s="51" t="s">
        <v>291</v>
      </c>
      <c r="B1750" s="51"/>
      <c r="C1750" s="51"/>
      <c r="D1750" s="51"/>
      <c r="E1750" s="51"/>
      <c r="F1750" s="51"/>
      <c r="G1750" s="51"/>
      <c r="H1750" s="51"/>
      <c r="I1750" s="51"/>
    </row>
    <row r="1751" spans="1:9" ht="17.25" x14ac:dyDescent="0.3">
      <c r="A1751" s="51"/>
      <c r="B1751" s="51"/>
      <c r="C1751" s="51"/>
      <c r="D1751" s="51"/>
      <c r="E1751" s="51"/>
      <c r="F1751" s="51"/>
      <c r="G1751" s="51"/>
      <c r="H1751" s="51"/>
      <c r="I1751" s="51"/>
    </row>
    <row r="1752" spans="1:9" ht="17.25" x14ac:dyDescent="0.3">
      <c r="A1752" s="51" t="s">
        <v>292</v>
      </c>
      <c r="B1752" s="51"/>
      <c r="C1752" s="51"/>
      <c r="D1752" s="51"/>
      <c r="E1752" s="51"/>
      <c r="F1752" s="51"/>
      <c r="G1752" s="51"/>
      <c r="H1752" s="51"/>
      <c r="I1752" s="51"/>
    </row>
    <row r="1753" spans="1:9" ht="17.25" x14ac:dyDescent="0.3">
      <c r="A1753" s="51"/>
      <c r="B1753" s="51"/>
      <c r="C1753" s="51"/>
      <c r="D1753" s="51"/>
      <c r="E1753" s="51"/>
      <c r="F1753" s="51"/>
      <c r="G1753" s="51"/>
      <c r="H1753" s="51"/>
      <c r="I1753" s="51"/>
    </row>
    <row r="1754" spans="1:9" ht="17.25" x14ac:dyDescent="0.3">
      <c r="A1754" s="51" t="s">
        <v>293</v>
      </c>
      <c r="B1754" s="51"/>
      <c r="C1754" s="51"/>
      <c r="D1754" s="51"/>
      <c r="E1754" s="51"/>
      <c r="F1754" s="51"/>
      <c r="G1754" s="51"/>
      <c r="H1754" s="51"/>
      <c r="I1754" s="51"/>
    </row>
    <row r="1755" spans="1:9" ht="17.25" x14ac:dyDescent="0.3">
      <c r="A1755" s="51"/>
      <c r="B1755" s="51"/>
      <c r="C1755" s="51"/>
      <c r="D1755" s="51"/>
      <c r="E1755" s="51"/>
      <c r="F1755" s="51"/>
      <c r="G1755" s="51"/>
      <c r="H1755" s="51"/>
      <c r="I1755" s="51"/>
    </row>
    <row r="1756" spans="1:9" ht="17.25" x14ac:dyDescent="0.3">
      <c r="A1756" s="51" t="s">
        <v>40</v>
      </c>
      <c r="B1756" s="51"/>
      <c r="C1756" s="51"/>
      <c r="D1756" s="51"/>
      <c r="E1756" s="51"/>
      <c r="F1756" s="51"/>
      <c r="G1756" s="51"/>
      <c r="H1756" s="51"/>
      <c r="I1756" s="51"/>
    </row>
    <row r="1757" spans="1:9" ht="17.25" x14ac:dyDescent="0.3">
      <c r="A1757" s="51"/>
      <c r="B1757" s="51"/>
      <c r="C1757" s="51"/>
      <c r="D1757" s="51"/>
      <c r="E1757" s="51"/>
      <c r="F1757" s="51"/>
      <c r="G1757" s="51"/>
      <c r="H1757" s="51"/>
      <c r="I1757" s="51"/>
    </row>
    <row r="1758" spans="1:9" ht="33" customHeight="1" x14ac:dyDescent="0.3">
      <c r="A1758" s="91" t="s">
        <v>294</v>
      </c>
      <c r="B1758" s="91"/>
      <c r="C1758" s="91"/>
      <c r="D1758" s="91"/>
      <c r="E1758" s="91"/>
      <c r="F1758" s="91"/>
      <c r="G1758" s="91"/>
      <c r="H1758" s="55"/>
      <c r="I1758" s="55"/>
    </row>
    <row r="1759" spans="1:9" ht="17.25" x14ac:dyDescent="0.3">
      <c r="A1759" s="51"/>
      <c r="B1759" s="51"/>
      <c r="C1759" s="51"/>
      <c r="D1759" s="51"/>
      <c r="E1759" s="51"/>
      <c r="F1759" s="51"/>
      <c r="G1759" s="51"/>
      <c r="H1759" s="51"/>
      <c r="I1759" s="51"/>
    </row>
    <row r="1760" spans="1:9" ht="33" customHeight="1" x14ac:dyDescent="0.3">
      <c r="A1760" s="91" t="s">
        <v>295</v>
      </c>
      <c r="B1760" s="91"/>
      <c r="C1760" s="91"/>
      <c r="D1760" s="91"/>
      <c r="E1760" s="91"/>
      <c r="F1760" s="91"/>
      <c r="G1760" s="91"/>
      <c r="H1760" s="55"/>
      <c r="I1760" s="55"/>
    </row>
    <row r="1761" spans="1:9" ht="17.25" x14ac:dyDescent="0.3">
      <c r="A1761" s="51"/>
      <c r="B1761" s="51"/>
      <c r="C1761" s="51"/>
      <c r="D1761" s="51"/>
      <c r="E1761" s="51"/>
      <c r="F1761" s="51"/>
      <c r="G1761" s="51"/>
      <c r="H1761" s="51"/>
      <c r="I1761" s="51"/>
    </row>
    <row r="1762" spans="1:9" ht="33" customHeight="1" x14ac:dyDescent="0.3">
      <c r="A1762" s="91" t="s">
        <v>296</v>
      </c>
      <c r="B1762" s="91"/>
      <c r="C1762" s="91"/>
      <c r="D1762" s="91"/>
      <c r="E1762" s="91"/>
      <c r="F1762" s="91"/>
      <c r="G1762" s="91"/>
      <c r="H1762" s="55"/>
      <c r="I1762" s="55"/>
    </row>
    <row r="1764" spans="1:9" ht="18.75" x14ac:dyDescent="0.3">
      <c r="A1764" s="1" t="s">
        <v>297</v>
      </c>
      <c r="B1764" s="2"/>
      <c r="C1764" s="2"/>
      <c r="D1764" s="2"/>
      <c r="E1764" s="2"/>
      <c r="F1764" s="2"/>
      <c r="G1764" s="53"/>
    </row>
    <row r="1765" spans="1:9" ht="15.75" x14ac:dyDescent="0.25">
      <c r="A1765" s="3" t="s">
        <v>1</v>
      </c>
      <c r="B1765" s="3" t="s">
        <v>2</v>
      </c>
      <c r="C1765" s="4" t="s">
        <v>3</v>
      </c>
      <c r="D1765" s="4"/>
      <c r="E1765" s="4"/>
      <c r="F1765" s="4"/>
      <c r="G1765" s="62" t="s">
        <v>30</v>
      </c>
    </row>
    <row r="1766" spans="1:9" ht="15.75" x14ac:dyDescent="0.25">
      <c r="A1766" s="5">
        <v>45575</v>
      </c>
      <c r="B1766" s="6" t="s">
        <v>4</v>
      </c>
      <c r="C1766" s="7" t="s">
        <v>5</v>
      </c>
      <c r="D1766" s="7"/>
      <c r="E1766" s="7"/>
      <c r="F1766" s="7"/>
      <c r="G1766" s="52">
        <v>1255.0899999999999</v>
      </c>
    </row>
    <row r="1767" spans="1:9" ht="15.75" x14ac:dyDescent="0.25">
      <c r="A1767" s="5">
        <v>45580</v>
      </c>
      <c r="B1767" s="6" t="s">
        <v>4</v>
      </c>
      <c r="C1767" s="7" t="s">
        <v>61</v>
      </c>
      <c r="D1767" s="7"/>
      <c r="E1767" s="7"/>
      <c r="F1767" s="7"/>
      <c r="G1767" s="52">
        <v>1138.6500000000001</v>
      </c>
    </row>
    <row r="1768" spans="1:9" ht="15.75" x14ac:dyDescent="0.25">
      <c r="A1768" s="5">
        <v>45582</v>
      </c>
      <c r="B1768" s="6" t="s">
        <v>4</v>
      </c>
      <c r="C1768" s="7" t="s">
        <v>9</v>
      </c>
      <c r="D1768" s="7"/>
      <c r="E1768" s="7"/>
      <c r="F1768" s="7"/>
      <c r="G1768" s="52">
        <v>326.2</v>
      </c>
    </row>
    <row r="1769" spans="1:9" ht="15.75" x14ac:dyDescent="0.25">
      <c r="A1769" s="5">
        <v>45583</v>
      </c>
      <c r="B1769" s="6" t="s">
        <v>4</v>
      </c>
      <c r="C1769" s="7" t="s">
        <v>47</v>
      </c>
      <c r="D1769" s="7"/>
      <c r="E1769" s="7"/>
      <c r="F1769" s="7"/>
      <c r="G1769" s="52">
        <v>210.64000000000001</v>
      </c>
    </row>
    <row r="1770" spans="1:9" ht="15.75" x14ac:dyDescent="0.25">
      <c r="A1770" s="5">
        <v>45539</v>
      </c>
      <c r="B1770" s="6" t="s">
        <v>4</v>
      </c>
      <c r="C1770" s="7" t="s">
        <v>208</v>
      </c>
      <c r="D1770" s="7"/>
      <c r="E1770" s="7"/>
      <c r="F1770" s="7"/>
      <c r="G1770" s="52">
        <v>400</v>
      </c>
    </row>
    <row r="1771" spans="1:9" ht="15.75" x14ac:dyDescent="0.25">
      <c r="A1771" s="8">
        <v>45593</v>
      </c>
      <c r="B1771" s="6" t="s">
        <v>4</v>
      </c>
      <c r="C1771" s="7" t="s">
        <v>14</v>
      </c>
      <c r="D1771" s="7"/>
      <c r="E1771" s="7"/>
      <c r="F1771" s="7"/>
      <c r="G1771" s="52">
        <v>141</v>
      </c>
    </row>
    <row r="1772" spans="1:9" ht="15.75" customHeight="1" x14ac:dyDescent="0.25">
      <c r="A1772" s="8">
        <v>45566</v>
      </c>
      <c r="B1772" s="54" t="s">
        <v>4</v>
      </c>
      <c r="C1772" s="32" t="s">
        <v>15</v>
      </c>
      <c r="D1772" s="67"/>
      <c r="E1772" s="67"/>
      <c r="F1772" s="68"/>
      <c r="G1772" s="52">
        <v>65</v>
      </c>
    </row>
    <row r="1773" spans="1:9" ht="21" x14ac:dyDescent="0.35">
      <c r="A1773" s="9" t="s">
        <v>16</v>
      </c>
      <c r="B1773" s="10"/>
      <c r="C1773" s="11"/>
      <c r="D1773" s="11"/>
      <c r="E1773" s="11"/>
      <c r="F1773" s="11"/>
      <c r="G1773" s="12">
        <f>SUM(G1766:G1772)</f>
        <v>3536.5799999999995</v>
      </c>
    </row>
    <row r="1774" spans="1:9" ht="21" x14ac:dyDescent="0.35">
      <c r="A1774" s="13" t="s">
        <v>17</v>
      </c>
      <c r="B1774" s="11"/>
      <c r="C1774" s="11"/>
      <c r="D1774" s="11"/>
      <c r="E1774" s="11"/>
      <c r="F1774" s="11"/>
      <c r="G1774" s="14">
        <f>ROUND(G1773/14,2)</f>
        <v>252.61</v>
      </c>
    </row>
    <row r="1775" spans="1:9" ht="21" x14ac:dyDescent="0.35">
      <c r="A1775" s="13" t="s">
        <v>74</v>
      </c>
      <c r="B1775" s="11"/>
      <c r="C1775" s="11"/>
      <c r="D1775" s="11"/>
      <c r="E1775" s="11"/>
      <c r="F1775" s="11"/>
      <c r="G1775" s="14">
        <f>ROUND(G1774/13,2)</f>
        <v>19.43</v>
      </c>
    </row>
    <row r="1776" spans="1:9" ht="21" x14ac:dyDescent="0.35">
      <c r="A1776" s="13" t="s">
        <v>196</v>
      </c>
      <c r="B1776" s="11"/>
      <c r="C1776" s="11"/>
      <c r="D1776" s="11"/>
      <c r="E1776" s="11"/>
      <c r="F1776" s="11"/>
      <c r="G1776" s="14">
        <v>300</v>
      </c>
    </row>
    <row r="1777" spans="1:7" ht="21" x14ac:dyDescent="0.35">
      <c r="A1777" s="13" t="s">
        <v>19</v>
      </c>
      <c r="B1777" s="11"/>
      <c r="C1777" s="11"/>
      <c r="D1777" s="11"/>
      <c r="E1777" s="11"/>
      <c r="F1777" s="11"/>
      <c r="G1777" s="12">
        <f>G1774+G1775+G1776</f>
        <v>572.04</v>
      </c>
    </row>
    <row r="1789" spans="1:7" ht="21" x14ac:dyDescent="0.35">
      <c r="A1789" s="88" t="s">
        <v>20</v>
      </c>
      <c r="B1789" s="89"/>
      <c r="C1789" s="89"/>
      <c r="D1789" s="89"/>
      <c r="E1789" s="89"/>
      <c r="F1789" s="89"/>
      <c r="G1789" s="90"/>
    </row>
    <row r="1790" spans="1:7" ht="18.75" x14ac:dyDescent="0.25">
      <c r="A1790" s="19" t="s">
        <v>298</v>
      </c>
      <c r="B1790" s="15"/>
      <c r="C1790" s="15"/>
      <c r="D1790" s="15"/>
      <c r="E1790" s="15"/>
      <c r="F1790" s="15"/>
      <c r="G1790" s="16"/>
    </row>
    <row r="1791" spans="1:7" ht="15.75" x14ac:dyDescent="0.25">
      <c r="A1791" s="17"/>
      <c r="B1791" s="18"/>
      <c r="C1791" s="18"/>
      <c r="D1791" s="18"/>
      <c r="E1791" s="18"/>
      <c r="F1791" s="18"/>
      <c r="G1791" s="18"/>
    </row>
    <row r="1792" spans="1:7" ht="15.75" x14ac:dyDescent="0.25">
      <c r="A1792" s="17"/>
      <c r="B1792" s="18"/>
      <c r="C1792" s="18"/>
      <c r="D1792" s="18"/>
      <c r="E1792" s="18"/>
      <c r="F1792" s="18"/>
      <c r="G1792" s="18"/>
    </row>
    <row r="1793" spans="1:7" ht="15.75" x14ac:dyDescent="0.25">
      <c r="A1793" s="20" t="s">
        <v>22</v>
      </c>
      <c r="B1793" s="21" t="s">
        <v>23</v>
      </c>
      <c r="C1793" s="22"/>
      <c r="D1793" s="21" t="s">
        <v>24</v>
      </c>
      <c r="E1793" s="22"/>
      <c r="F1793" s="59" t="s">
        <v>25</v>
      </c>
      <c r="G1793" s="60" t="s">
        <v>26</v>
      </c>
    </row>
    <row r="1794" spans="1:7" ht="15.75" x14ac:dyDescent="0.25">
      <c r="A1794" s="23" t="s">
        <v>27</v>
      </c>
      <c r="B1794" s="24" t="s">
        <v>28</v>
      </c>
      <c r="C1794" s="24" t="s">
        <v>29</v>
      </c>
      <c r="D1794" s="24" t="s">
        <v>28</v>
      </c>
      <c r="E1794" s="24" t="s">
        <v>30</v>
      </c>
      <c r="F1794" s="58" t="s">
        <v>31</v>
      </c>
      <c r="G1794" s="61" t="s">
        <v>31</v>
      </c>
    </row>
    <row r="1795" spans="1:7" ht="15.75" x14ac:dyDescent="0.25">
      <c r="A1795" s="25" t="s">
        <v>32</v>
      </c>
      <c r="B1795" s="26">
        <v>0</v>
      </c>
      <c r="C1795" s="27">
        <v>0</v>
      </c>
      <c r="D1795" s="28">
        <v>0</v>
      </c>
      <c r="E1795" s="27">
        <v>0</v>
      </c>
      <c r="F1795" s="29">
        <v>0</v>
      </c>
      <c r="G1795" s="27">
        <v>0</v>
      </c>
    </row>
    <row r="1796" spans="1:7" ht="15.75" x14ac:dyDescent="0.25">
      <c r="A1796" s="30">
        <v>201</v>
      </c>
      <c r="B1796" s="26">
        <v>24.620999999999999</v>
      </c>
      <c r="C1796" s="27">
        <v>206.61</v>
      </c>
      <c r="D1796" s="31">
        <v>7.5999999999999998E-2</v>
      </c>
      <c r="E1796" s="27">
        <v>2.57</v>
      </c>
      <c r="F1796" s="27">
        <v>572.04</v>
      </c>
      <c r="G1796" s="27">
        <v>782</v>
      </c>
    </row>
    <row r="1797" spans="1:7" ht="15.75" x14ac:dyDescent="0.25">
      <c r="A1797" s="30">
        <v>202</v>
      </c>
      <c r="B1797" s="26">
        <v>45.822000000000003</v>
      </c>
      <c r="C1797" s="27">
        <v>335.51</v>
      </c>
      <c r="D1797" s="28">
        <v>4.1619999999999999</v>
      </c>
      <c r="E1797" s="27">
        <v>140.99</v>
      </c>
      <c r="F1797" s="27">
        <v>572.04</v>
      </c>
      <c r="G1797" s="27">
        <v>1049</v>
      </c>
    </row>
    <row r="1798" spans="1:7" ht="15.75" x14ac:dyDescent="0.25">
      <c r="A1798" s="30">
        <v>301</v>
      </c>
      <c r="B1798" s="26">
        <v>30.826000000000001</v>
      </c>
      <c r="C1798" s="27">
        <v>244.34</v>
      </c>
      <c r="D1798" s="28">
        <v>2.8069999999999999</v>
      </c>
      <c r="E1798" s="27">
        <v>95.09</v>
      </c>
      <c r="F1798" s="27">
        <v>572.04</v>
      </c>
      <c r="G1798" s="27">
        <v>912</v>
      </c>
    </row>
    <row r="1799" spans="1:7" ht="15.75" x14ac:dyDescent="0.25">
      <c r="A1799" s="30">
        <v>302</v>
      </c>
      <c r="B1799" s="26">
        <v>27.803000000000001</v>
      </c>
      <c r="C1799" s="27">
        <v>225.96</v>
      </c>
      <c r="D1799" s="28">
        <v>2.1469999999999998</v>
      </c>
      <c r="E1799" s="27">
        <v>72.73</v>
      </c>
      <c r="F1799" s="27">
        <v>572.04</v>
      </c>
      <c r="G1799" s="27">
        <v>871</v>
      </c>
    </row>
    <row r="1800" spans="1:7" ht="15.75" x14ac:dyDescent="0.25">
      <c r="A1800" s="30">
        <v>401</v>
      </c>
      <c r="B1800" s="26">
        <v>18.649999999999999</v>
      </c>
      <c r="C1800" s="27">
        <v>170.31</v>
      </c>
      <c r="D1800" s="28">
        <v>1.7090000000000001</v>
      </c>
      <c r="E1800" s="27">
        <v>57.89</v>
      </c>
      <c r="F1800" s="27">
        <v>572.04</v>
      </c>
      <c r="G1800" s="27">
        <v>801</v>
      </c>
    </row>
    <row r="1801" spans="1:7" ht="15.75" x14ac:dyDescent="0.25">
      <c r="A1801" s="30">
        <v>402</v>
      </c>
      <c r="B1801" s="26">
        <v>25.577999999999999</v>
      </c>
      <c r="C1801" s="27">
        <v>212.43</v>
      </c>
      <c r="D1801" s="28">
        <v>4.0549999999999997</v>
      </c>
      <c r="E1801" s="27">
        <v>137.36000000000001</v>
      </c>
      <c r="F1801" s="27">
        <v>572.04</v>
      </c>
      <c r="G1801" s="27">
        <v>922</v>
      </c>
    </row>
    <row r="1802" spans="1:7" ht="15.75" x14ac:dyDescent="0.25">
      <c r="A1802" s="30">
        <v>501</v>
      </c>
      <c r="B1802" s="26">
        <v>23.414000000000001</v>
      </c>
      <c r="C1802" s="27">
        <v>199.27</v>
      </c>
      <c r="D1802" s="28">
        <v>1.083</v>
      </c>
      <c r="E1802" s="27">
        <v>36.69</v>
      </c>
      <c r="F1802" s="27">
        <v>572.04</v>
      </c>
      <c r="G1802" s="27">
        <v>808</v>
      </c>
    </row>
    <row r="1803" spans="1:7" ht="15.75" x14ac:dyDescent="0.25">
      <c r="A1803" s="30">
        <v>502</v>
      </c>
      <c r="B1803" s="26">
        <v>15.042</v>
      </c>
      <c r="C1803" s="27">
        <v>148.37</v>
      </c>
      <c r="D1803" s="28">
        <v>1.4990000000000001</v>
      </c>
      <c r="E1803" s="27">
        <v>50.78</v>
      </c>
      <c r="F1803" s="27">
        <v>572.04</v>
      </c>
      <c r="G1803" s="27">
        <v>772</v>
      </c>
    </row>
    <row r="1804" spans="1:7" ht="15.75" x14ac:dyDescent="0.25">
      <c r="A1804" s="30">
        <v>601</v>
      </c>
      <c r="B1804" s="26">
        <v>15.499000000000001</v>
      </c>
      <c r="C1804" s="27">
        <v>151.15</v>
      </c>
      <c r="D1804" s="28">
        <v>0.44500000000000001</v>
      </c>
      <c r="E1804" s="27">
        <v>15.07</v>
      </c>
      <c r="F1804" s="27">
        <v>572.04</v>
      </c>
      <c r="G1804" s="27">
        <v>739</v>
      </c>
    </row>
    <row r="1805" spans="1:7" ht="15.75" x14ac:dyDescent="0.25">
      <c r="A1805" s="30">
        <v>602</v>
      </c>
      <c r="B1805" s="26">
        <v>5.36</v>
      </c>
      <c r="C1805" s="27">
        <v>89.5</v>
      </c>
      <c r="D1805" s="28">
        <v>2.7480000000000002</v>
      </c>
      <c r="E1805" s="27">
        <v>93.09</v>
      </c>
      <c r="F1805" s="27">
        <v>572.04</v>
      </c>
      <c r="G1805" s="27">
        <v>755</v>
      </c>
    </row>
    <row r="1806" spans="1:7" ht="15.75" x14ac:dyDescent="0.25">
      <c r="A1806" s="30">
        <v>701</v>
      </c>
      <c r="B1806" s="26">
        <v>10.715</v>
      </c>
      <c r="C1806" s="27">
        <v>122.06</v>
      </c>
      <c r="D1806" s="28">
        <v>0.59799999999999998</v>
      </c>
      <c r="E1806" s="27">
        <v>20.260000000000002</v>
      </c>
      <c r="F1806" s="27">
        <v>572.04</v>
      </c>
      <c r="G1806" s="27">
        <v>715</v>
      </c>
    </row>
    <row r="1807" spans="1:7" ht="15.75" x14ac:dyDescent="0.25">
      <c r="A1807" s="30">
        <v>702</v>
      </c>
      <c r="B1807" s="26">
        <v>3.6589999999999998</v>
      </c>
      <c r="C1807" s="27">
        <v>79.16</v>
      </c>
      <c r="D1807" s="28">
        <v>2.0089999999999999</v>
      </c>
      <c r="E1807" s="27">
        <v>68.05</v>
      </c>
      <c r="F1807" s="27">
        <v>572.04</v>
      </c>
      <c r="G1807" s="27">
        <v>720</v>
      </c>
    </row>
    <row r="1808" spans="1:7" ht="15.75" x14ac:dyDescent="0.25">
      <c r="A1808" s="30">
        <v>801</v>
      </c>
      <c r="B1808" s="26">
        <v>6.3410000000000002</v>
      </c>
      <c r="C1808" s="27">
        <v>95.47</v>
      </c>
      <c r="D1808" s="28">
        <v>0.40100000000000002</v>
      </c>
      <c r="E1808" s="27">
        <v>13.58</v>
      </c>
      <c r="F1808" s="27">
        <v>572.04</v>
      </c>
      <c r="G1808" s="27">
        <v>682</v>
      </c>
    </row>
    <row r="1809" spans="1:7" ht="15.75" x14ac:dyDescent="0.25">
      <c r="A1809" s="30">
        <v>802</v>
      </c>
      <c r="B1809" s="26">
        <v>14.298999999999999</v>
      </c>
      <c r="C1809" s="27">
        <v>143.85</v>
      </c>
      <c r="D1809" s="28">
        <v>1.4410000000000001</v>
      </c>
      <c r="E1809" s="27">
        <v>48.81</v>
      </c>
      <c r="F1809" s="63">
        <v>572.04</v>
      </c>
      <c r="G1809" s="63">
        <v>765</v>
      </c>
    </row>
    <row r="1811" spans="1:7" x14ac:dyDescent="0.25">
      <c r="A1811" s="32"/>
      <c r="B1811" s="7"/>
      <c r="C1811" s="7"/>
      <c r="D1811" s="7"/>
      <c r="E1811" s="7"/>
      <c r="F1811" s="7"/>
      <c r="G1811" s="33"/>
    </row>
    <row r="1812" spans="1:7" x14ac:dyDescent="0.25">
      <c r="A1812" s="32"/>
      <c r="B1812" s="7"/>
      <c r="C1812" s="7"/>
      <c r="D1812" s="7"/>
      <c r="E1812" s="7"/>
      <c r="F1812" s="7"/>
      <c r="G1812" s="33"/>
    </row>
    <row r="1813" spans="1:7" x14ac:dyDescent="0.25">
      <c r="A1813" s="32"/>
      <c r="B1813" s="7"/>
      <c r="C1813" s="7"/>
      <c r="D1813" s="7"/>
      <c r="E1813" s="7"/>
      <c r="F1813" s="7"/>
      <c r="G1813" s="33"/>
    </row>
    <row r="1815" spans="1:7" ht="15.75" x14ac:dyDescent="0.25">
      <c r="A1815" s="34" t="s">
        <v>299</v>
      </c>
      <c r="B1815" s="35"/>
      <c r="C1815" s="35"/>
      <c r="D1815" s="35"/>
      <c r="E1815" s="35"/>
      <c r="F1815" s="36"/>
      <c r="G1815" s="72">
        <v>23558.92</v>
      </c>
    </row>
    <row r="1816" spans="1:7" ht="15.75" x14ac:dyDescent="0.25">
      <c r="A1816" s="37" t="s">
        <v>300</v>
      </c>
      <c r="B1816" s="38"/>
      <c r="C1816" s="38"/>
      <c r="D1816" s="38"/>
      <c r="E1816" s="38"/>
      <c r="F1816" s="39"/>
      <c r="G1816" s="72">
        <v>4200</v>
      </c>
    </row>
    <row r="1817" spans="1:7" ht="15.75" x14ac:dyDescent="0.25">
      <c r="A1817" s="37"/>
      <c r="B1817" s="38"/>
      <c r="C1817" s="38"/>
      <c r="D1817" s="38"/>
      <c r="E1817" s="38"/>
      <c r="F1817" s="39"/>
      <c r="G1817" s="72"/>
    </row>
    <row r="1818" spans="1:7" ht="15.75" x14ac:dyDescent="0.25">
      <c r="A1818" s="34" t="s">
        <v>301</v>
      </c>
      <c r="B1818" s="35"/>
      <c r="C1818" s="35"/>
      <c r="D1818" s="35"/>
      <c r="E1818" s="35"/>
      <c r="F1818" s="36"/>
      <c r="G1818" s="72">
        <f>SUM(G1815:G1817)</f>
        <v>27758.92</v>
      </c>
    </row>
    <row r="1819" spans="1:7" ht="18.75" x14ac:dyDescent="0.3">
      <c r="A1819" s="40"/>
      <c r="B1819" s="40"/>
      <c r="C1819" s="40"/>
      <c r="D1819" s="40"/>
      <c r="E1819" s="40"/>
      <c r="F1819" s="40"/>
      <c r="G1819" s="40"/>
    </row>
    <row r="1820" spans="1:7" ht="31.5" customHeight="1" x14ac:dyDescent="0.25">
      <c r="A1820" s="85" t="s">
        <v>54</v>
      </c>
      <c r="B1820" s="86"/>
      <c r="C1820" s="86"/>
      <c r="D1820" s="86"/>
      <c r="E1820" s="86"/>
      <c r="F1820" s="86"/>
      <c r="G1820" s="87"/>
    </row>
    <row r="1821" spans="1:7" ht="15.75" x14ac:dyDescent="0.25">
      <c r="A1821" s="41" t="s">
        <v>36</v>
      </c>
      <c r="B1821" s="42"/>
      <c r="C1821" s="42"/>
      <c r="D1821" s="42"/>
      <c r="E1821" s="42"/>
      <c r="F1821" s="42"/>
      <c r="G1821" s="43"/>
    </row>
    <row r="1822" spans="1:7" ht="15.75" x14ac:dyDescent="0.25">
      <c r="A1822" s="44" t="s">
        <v>37</v>
      </c>
      <c r="B1822" s="45"/>
      <c r="C1822" s="45"/>
      <c r="D1822" s="45"/>
      <c r="E1822" s="45"/>
      <c r="F1822" s="45"/>
      <c r="G1822" s="46"/>
    </row>
    <row r="1823" spans="1:7" ht="15.75" x14ac:dyDescent="0.25">
      <c r="A1823" s="47"/>
      <c r="B1823" s="47"/>
      <c r="C1823" s="47"/>
      <c r="D1823" s="47"/>
      <c r="E1823" s="47"/>
      <c r="F1823" s="47"/>
      <c r="G1823" s="47"/>
    </row>
    <row r="1824" spans="1:7" ht="15.75" x14ac:dyDescent="0.25">
      <c r="A1824" s="48" t="s">
        <v>50</v>
      </c>
      <c r="B1824" s="49"/>
      <c r="C1824" s="49"/>
      <c r="D1824" s="49"/>
      <c r="E1824" s="49"/>
      <c r="F1824" s="49"/>
      <c r="G1824" s="50"/>
    </row>
    <row r="1825" spans="1:9" ht="15.75" x14ac:dyDescent="0.25">
      <c r="A1825" s="47"/>
      <c r="B1825" s="47"/>
      <c r="C1825" s="47"/>
      <c r="D1825" s="47"/>
      <c r="E1825" s="47"/>
      <c r="F1825" s="47"/>
      <c r="G1825" s="47"/>
    </row>
    <row r="1826" spans="1:9" ht="15.75" x14ac:dyDescent="0.25">
      <c r="A1826" s="47"/>
      <c r="B1826" s="47"/>
      <c r="C1826" s="47"/>
      <c r="D1826" s="47"/>
      <c r="E1826" s="47"/>
      <c r="F1826" s="47"/>
      <c r="G1826" s="47"/>
    </row>
    <row r="1827" spans="1:9" ht="15.75" x14ac:dyDescent="0.25">
      <c r="A1827" s="47"/>
      <c r="B1827" s="47"/>
      <c r="C1827" s="47"/>
      <c r="D1827" s="47"/>
      <c r="E1827" s="47"/>
      <c r="F1827" s="47"/>
      <c r="G1827" s="47"/>
    </row>
    <row r="1835" spans="1:9" ht="21" x14ac:dyDescent="0.35">
      <c r="A1835" s="88" t="s">
        <v>20</v>
      </c>
      <c r="B1835" s="89"/>
      <c r="C1835" s="89"/>
      <c r="D1835" s="89"/>
      <c r="E1835" s="89"/>
      <c r="F1835" s="89"/>
      <c r="G1835" s="90"/>
      <c r="H1835" s="56"/>
      <c r="I1835" s="56"/>
    </row>
    <row r="1837" spans="1:9" ht="17.25" x14ac:dyDescent="0.3">
      <c r="A1837" s="51" t="s">
        <v>302</v>
      </c>
      <c r="B1837" s="51"/>
      <c r="C1837" s="51"/>
      <c r="D1837" s="51"/>
      <c r="E1837" s="51"/>
      <c r="F1837" s="51"/>
      <c r="G1837" s="51"/>
      <c r="H1837" s="51"/>
      <c r="I1837" s="51"/>
    </row>
    <row r="1838" spans="1:9" ht="17.25" x14ac:dyDescent="0.3">
      <c r="A1838" s="51"/>
      <c r="B1838" s="51"/>
      <c r="C1838" s="51"/>
      <c r="D1838" s="51"/>
      <c r="E1838" s="51"/>
      <c r="F1838" s="51"/>
      <c r="G1838" s="51"/>
      <c r="H1838" s="51"/>
      <c r="I1838" s="51"/>
    </row>
    <row r="1839" spans="1:9" ht="17.25" x14ac:dyDescent="0.3">
      <c r="A1839" s="51" t="s">
        <v>303</v>
      </c>
      <c r="B1839" s="51"/>
      <c r="C1839" s="51"/>
      <c r="D1839" s="51"/>
      <c r="E1839" s="51"/>
      <c r="F1839" s="51"/>
      <c r="G1839" s="51"/>
      <c r="H1839" s="51"/>
      <c r="I1839" s="51"/>
    </row>
    <row r="1840" spans="1:9" ht="17.25" x14ac:dyDescent="0.3">
      <c r="A1840" s="51"/>
      <c r="B1840" s="51"/>
      <c r="C1840" s="51"/>
      <c r="D1840" s="51"/>
      <c r="E1840" s="51"/>
      <c r="F1840" s="51"/>
      <c r="G1840" s="51"/>
      <c r="H1840" s="51"/>
      <c r="I1840" s="51"/>
    </row>
    <row r="1841" spans="1:9" ht="17.25" x14ac:dyDescent="0.3">
      <c r="A1841" s="51" t="s">
        <v>304</v>
      </c>
      <c r="B1841" s="51"/>
      <c r="C1841" s="51"/>
      <c r="D1841" s="51"/>
      <c r="E1841" s="51"/>
      <c r="F1841" s="51"/>
      <c r="G1841" s="51"/>
      <c r="H1841" s="51"/>
      <c r="I1841" s="51"/>
    </row>
    <row r="1842" spans="1:9" ht="17.25" x14ac:dyDescent="0.3">
      <c r="A1842" s="51"/>
      <c r="B1842" s="51"/>
      <c r="C1842" s="51"/>
      <c r="D1842" s="51"/>
      <c r="E1842" s="51"/>
      <c r="F1842" s="51"/>
      <c r="G1842" s="51"/>
      <c r="H1842" s="51"/>
      <c r="I1842" s="51"/>
    </row>
    <row r="1843" spans="1:9" ht="17.25" x14ac:dyDescent="0.3">
      <c r="A1843" s="51" t="s">
        <v>40</v>
      </c>
      <c r="B1843" s="51"/>
      <c r="C1843" s="51"/>
      <c r="D1843" s="51"/>
      <c r="E1843" s="51"/>
      <c r="F1843" s="51"/>
      <c r="G1843" s="51"/>
      <c r="H1843" s="51"/>
      <c r="I1843" s="51"/>
    </row>
    <row r="1844" spans="1:9" ht="17.25" x14ac:dyDescent="0.3">
      <c r="A1844" s="51"/>
      <c r="B1844" s="51"/>
      <c r="C1844" s="51"/>
      <c r="D1844" s="51"/>
      <c r="E1844" s="51"/>
      <c r="F1844" s="51"/>
      <c r="G1844" s="51"/>
      <c r="H1844" s="51"/>
      <c r="I1844" s="51"/>
    </row>
    <row r="1845" spans="1:9" ht="33" customHeight="1" x14ac:dyDescent="0.3">
      <c r="A1845" s="91" t="s">
        <v>305</v>
      </c>
      <c r="B1845" s="91"/>
      <c r="C1845" s="91"/>
      <c r="D1845" s="91"/>
      <c r="E1845" s="91"/>
      <c r="F1845" s="91"/>
      <c r="G1845" s="91"/>
      <c r="H1845" s="55"/>
      <c r="I1845" s="55"/>
    </row>
    <row r="1846" spans="1:9" ht="17.25" x14ac:dyDescent="0.3">
      <c r="A1846" s="51"/>
      <c r="B1846" s="51"/>
      <c r="C1846" s="51"/>
      <c r="D1846" s="51"/>
      <c r="E1846" s="51"/>
      <c r="F1846" s="51"/>
      <c r="G1846" s="51"/>
      <c r="H1846" s="51"/>
      <c r="I1846" s="51"/>
    </row>
    <row r="1847" spans="1:9" ht="33" customHeight="1" x14ac:dyDescent="0.3">
      <c r="A1847" s="91" t="s">
        <v>306</v>
      </c>
      <c r="B1847" s="91"/>
      <c r="C1847" s="91"/>
      <c r="D1847" s="91"/>
      <c r="E1847" s="91"/>
      <c r="F1847" s="91"/>
      <c r="G1847" s="91"/>
      <c r="H1847" s="55"/>
      <c r="I1847" s="55"/>
    </row>
    <row r="1848" spans="1:9" ht="17.25" x14ac:dyDescent="0.3">
      <c r="A1848" s="51"/>
      <c r="B1848" s="51"/>
      <c r="C1848" s="51"/>
      <c r="D1848" s="51"/>
      <c r="E1848" s="51"/>
      <c r="F1848" s="51"/>
      <c r="G1848" s="51"/>
      <c r="H1848" s="51"/>
      <c r="I1848" s="51"/>
    </row>
    <row r="1849" spans="1:9" ht="33" customHeight="1" x14ac:dyDescent="0.3">
      <c r="A1849" s="91" t="s">
        <v>307</v>
      </c>
      <c r="B1849" s="91"/>
      <c r="C1849" s="91"/>
      <c r="D1849" s="91"/>
      <c r="E1849" s="91"/>
      <c r="F1849" s="91"/>
      <c r="G1849" s="91"/>
      <c r="H1849" s="55"/>
      <c r="I1849" s="55"/>
    </row>
    <row r="1851" spans="1:9" ht="18.75" x14ac:dyDescent="0.3">
      <c r="A1851" s="1" t="s">
        <v>308</v>
      </c>
      <c r="B1851" s="2"/>
      <c r="C1851" s="2"/>
      <c r="D1851" s="2"/>
      <c r="E1851" s="2"/>
      <c r="F1851" s="2"/>
      <c r="G1851" s="53"/>
    </row>
    <row r="1852" spans="1:9" ht="15.75" x14ac:dyDescent="0.25">
      <c r="A1852" s="3" t="s">
        <v>1</v>
      </c>
      <c r="B1852" s="3" t="s">
        <v>2</v>
      </c>
      <c r="C1852" s="4" t="s">
        <v>3</v>
      </c>
      <c r="D1852" s="4"/>
      <c r="E1852" s="4"/>
      <c r="F1852" s="4"/>
      <c r="G1852" s="62" t="s">
        <v>30</v>
      </c>
    </row>
    <row r="1853" spans="1:9" ht="15.75" x14ac:dyDescent="0.25">
      <c r="A1853" s="5">
        <v>45607</v>
      </c>
      <c r="B1853" s="6" t="s">
        <v>4</v>
      </c>
      <c r="C1853" s="7" t="s">
        <v>5</v>
      </c>
      <c r="D1853" s="7"/>
      <c r="E1853" s="7"/>
      <c r="F1853" s="7"/>
      <c r="G1853" s="52">
        <v>1255.0899999999999</v>
      </c>
    </row>
    <row r="1854" spans="1:9" ht="15.75" x14ac:dyDescent="0.25">
      <c r="A1854" s="5">
        <v>45611</v>
      </c>
      <c r="B1854" s="6" t="s">
        <v>4</v>
      </c>
      <c r="C1854" s="7" t="s">
        <v>61</v>
      </c>
      <c r="D1854" s="7"/>
      <c r="E1854" s="7"/>
      <c r="F1854" s="7"/>
      <c r="G1854" s="52">
        <v>1138.6500000000001</v>
      </c>
    </row>
    <row r="1855" spans="1:9" ht="15.75" x14ac:dyDescent="0.25">
      <c r="A1855" s="5">
        <v>45611</v>
      </c>
      <c r="B1855" s="6" t="s">
        <v>4</v>
      </c>
      <c r="C1855" s="7" t="s">
        <v>8</v>
      </c>
      <c r="D1855" s="7"/>
      <c r="E1855" s="7"/>
      <c r="F1855" s="7"/>
      <c r="G1855" s="52">
        <v>462.19999999999936</v>
      </c>
    </row>
    <row r="1856" spans="1:9" ht="15.75" x14ac:dyDescent="0.25">
      <c r="A1856" s="5">
        <v>45614</v>
      </c>
      <c r="B1856" s="6" t="s">
        <v>4</v>
      </c>
      <c r="C1856" s="7" t="s">
        <v>9</v>
      </c>
      <c r="D1856" s="7"/>
      <c r="E1856" s="7"/>
      <c r="F1856" s="7"/>
      <c r="G1856" s="52">
        <v>260.72000000000003</v>
      </c>
    </row>
    <row r="1857" spans="1:7" ht="15.75" x14ac:dyDescent="0.25">
      <c r="A1857" s="5">
        <v>45583</v>
      </c>
      <c r="B1857" s="6" t="s">
        <v>4</v>
      </c>
      <c r="C1857" s="7" t="s">
        <v>47</v>
      </c>
      <c r="D1857" s="7"/>
      <c r="E1857" s="7"/>
      <c r="F1857" s="7"/>
      <c r="G1857" s="52">
        <v>210.64000000000001</v>
      </c>
    </row>
    <row r="1858" spans="1:7" ht="15.75" x14ac:dyDescent="0.25">
      <c r="A1858" s="8">
        <v>45624</v>
      </c>
      <c r="B1858" s="6" t="s">
        <v>4</v>
      </c>
      <c r="C1858" s="7" t="s">
        <v>14</v>
      </c>
      <c r="D1858" s="7"/>
      <c r="E1858" s="7"/>
      <c r="F1858" s="7"/>
      <c r="G1858" s="52">
        <v>141</v>
      </c>
    </row>
    <row r="1859" spans="1:7" ht="15.75" customHeight="1" x14ac:dyDescent="0.25">
      <c r="A1859" s="8">
        <v>45597</v>
      </c>
      <c r="B1859" s="54" t="s">
        <v>4</v>
      </c>
      <c r="C1859" s="32" t="s">
        <v>15</v>
      </c>
      <c r="D1859" s="67"/>
      <c r="E1859" s="67"/>
      <c r="F1859" s="68"/>
      <c r="G1859" s="52">
        <v>65</v>
      </c>
    </row>
    <row r="1860" spans="1:7" ht="21" x14ac:dyDescent="0.35">
      <c r="A1860" s="9" t="s">
        <v>16</v>
      </c>
      <c r="B1860" s="10"/>
      <c r="C1860" s="11"/>
      <c r="D1860" s="11"/>
      <c r="E1860" s="11"/>
      <c r="F1860" s="11"/>
      <c r="G1860" s="12">
        <f>SUM(G1853:G1859)</f>
        <v>3533.2999999999988</v>
      </c>
    </row>
    <row r="1861" spans="1:7" ht="21" x14ac:dyDescent="0.35">
      <c r="A1861" s="13" t="s">
        <v>17</v>
      </c>
      <c r="B1861" s="11"/>
      <c r="C1861" s="11"/>
      <c r="D1861" s="11"/>
      <c r="E1861" s="11"/>
      <c r="F1861" s="11"/>
      <c r="G1861" s="14">
        <f>ROUND(G1860/14,2)</f>
        <v>252.38</v>
      </c>
    </row>
    <row r="1862" spans="1:7" ht="21" x14ac:dyDescent="0.35">
      <c r="A1862" s="13" t="s">
        <v>74</v>
      </c>
      <c r="B1862" s="11"/>
      <c r="C1862" s="11"/>
      <c r="D1862" s="11"/>
      <c r="E1862" s="11"/>
      <c r="F1862" s="11"/>
      <c r="G1862" s="14">
        <f>ROUND(G1861/13,2)</f>
        <v>19.41</v>
      </c>
    </row>
    <row r="1863" spans="1:7" ht="21" x14ac:dyDescent="0.35">
      <c r="A1863" s="13" t="s">
        <v>196</v>
      </c>
      <c r="B1863" s="11"/>
      <c r="C1863" s="11"/>
      <c r="D1863" s="11"/>
      <c r="E1863" s="11"/>
      <c r="F1863" s="11"/>
      <c r="G1863" s="14">
        <v>300</v>
      </c>
    </row>
    <row r="1864" spans="1:7" ht="21" x14ac:dyDescent="0.35">
      <c r="A1864" s="13" t="s">
        <v>19</v>
      </c>
      <c r="B1864" s="11"/>
      <c r="C1864" s="11"/>
      <c r="D1864" s="11"/>
      <c r="E1864" s="11"/>
      <c r="F1864" s="11"/>
      <c r="G1864" s="12">
        <f>G1861+G1862+G1863</f>
        <v>571.79</v>
      </c>
    </row>
    <row r="1876" spans="1:7" ht="21" x14ac:dyDescent="0.35">
      <c r="A1876" s="88" t="s">
        <v>20</v>
      </c>
      <c r="B1876" s="89"/>
      <c r="C1876" s="89"/>
      <c r="D1876" s="89"/>
      <c r="E1876" s="89"/>
      <c r="F1876" s="89"/>
      <c r="G1876" s="90"/>
    </row>
    <row r="1877" spans="1:7" ht="18.75" x14ac:dyDescent="0.25">
      <c r="A1877" s="19" t="s">
        <v>309</v>
      </c>
      <c r="B1877" s="15"/>
      <c r="C1877" s="15"/>
      <c r="D1877" s="15"/>
      <c r="E1877" s="15"/>
      <c r="F1877" s="15"/>
      <c r="G1877" s="16"/>
    </row>
    <row r="1878" spans="1:7" ht="15.75" x14ac:dyDescent="0.25">
      <c r="A1878" s="17"/>
      <c r="B1878" s="18"/>
      <c r="C1878" s="18"/>
      <c r="D1878" s="18"/>
      <c r="E1878" s="18"/>
      <c r="F1878" s="18"/>
      <c r="G1878" s="18"/>
    </row>
    <row r="1879" spans="1:7" ht="15.75" x14ac:dyDescent="0.25">
      <c r="A1879" s="17"/>
      <c r="B1879" s="18"/>
      <c r="C1879" s="18"/>
      <c r="D1879" s="18"/>
      <c r="E1879" s="18"/>
      <c r="F1879" s="18"/>
      <c r="G1879" s="18"/>
    </row>
    <row r="1880" spans="1:7" ht="15.75" x14ac:dyDescent="0.25">
      <c r="A1880" s="20" t="s">
        <v>22</v>
      </c>
      <c r="B1880" s="21" t="s">
        <v>23</v>
      </c>
      <c r="C1880" s="22"/>
      <c r="D1880" s="21" t="s">
        <v>24</v>
      </c>
      <c r="E1880" s="22"/>
      <c r="F1880" s="59" t="s">
        <v>25</v>
      </c>
      <c r="G1880" s="60" t="s">
        <v>26</v>
      </c>
    </row>
    <row r="1881" spans="1:7" ht="15.75" x14ac:dyDescent="0.25">
      <c r="A1881" s="23" t="s">
        <v>27</v>
      </c>
      <c r="B1881" s="24" t="s">
        <v>28</v>
      </c>
      <c r="C1881" s="24" t="s">
        <v>29</v>
      </c>
      <c r="D1881" s="24" t="s">
        <v>28</v>
      </c>
      <c r="E1881" s="24" t="s">
        <v>30</v>
      </c>
      <c r="F1881" s="58" t="s">
        <v>31</v>
      </c>
      <c r="G1881" s="61" t="s">
        <v>31</v>
      </c>
    </row>
    <row r="1882" spans="1:7" ht="15.75" x14ac:dyDescent="0.25">
      <c r="A1882" s="25" t="s">
        <v>32</v>
      </c>
      <c r="B1882" s="26">
        <v>47.617000000000019</v>
      </c>
      <c r="C1882" s="27">
        <v>462.19999999999936</v>
      </c>
      <c r="D1882" s="28">
        <v>0</v>
      </c>
      <c r="E1882" s="27">
        <v>0</v>
      </c>
      <c r="F1882" s="29">
        <v>0</v>
      </c>
      <c r="G1882" s="27">
        <v>0</v>
      </c>
    </row>
    <row r="1883" spans="1:7" ht="15.75" x14ac:dyDescent="0.25">
      <c r="A1883" s="30">
        <v>201</v>
      </c>
      <c r="B1883" s="26">
        <v>23.349</v>
      </c>
      <c r="C1883" s="27">
        <v>280.37</v>
      </c>
      <c r="D1883" s="31">
        <v>8.8999999999999996E-2</v>
      </c>
      <c r="E1883" s="27">
        <v>3.01</v>
      </c>
      <c r="F1883" s="27">
        <v>571.79</v>
      </c>
      <c r="G1883" s="27">
        <v>856</v>
      </c>
    </row>
    <row r="1884" spans="1:7" ht="15.75" x14ac:dyDescent="0.25">
      <c r="A1884" s="30">
        <v>202</v>
      </c>
      <c r="B1884" s="26">
        <v>42.651000000000003</v>
      </c>
      <c r="C1884" s="27">
        <v>423.78</v>
      </c>
      <c r="D1884" s="28">
        <v>2.9820000000000002</v>
      </c>
      <c r="E1884" s="27">
        <v>101.02</v>
      </c>
      <c r="F1884" s="27">
        <v>571.79</v>
      </c>
      <c r="G1884" s="27">
        <v>1097</v>
      </c>
    </row>
    <row r="1885" spans="1:7" ht="15.75" x14ac:dyDescent="0.25">
      <c r="A1885" s="30">
        <v>301</v>
      </c>
      <c r="B1885" s="26">
        <v>31.861000000000001</v>
      </c>
      <c r="C1885" s="27">
        <v>343.61</v>
      </c>
      <c r="D1885" s="28">
        <v>2.5720000000000001</v>
      </c>
      <c r="E1885" s="27">
        <v>87.13</v>
      </c>
      <c r="F1885" s="27">
        <v>571.79</v>
      </c>
      <c r="G1885" s="27">
        <v>1003</v>
      </c>
    </row>
    <row r="1886" spans="1:7" ht="15.75" x14ac:dyDescent="0.25">
      <c r="A1886" s="30">
        <v>302</v>
      </c>
      <c r="B1886" s="26">
        <v>26.277000000000001</v>
      </c>
      <c r="C1886" s="27">
        <v>302.12</v>
      </c>
      <c r="D1886" s="28">
        <v>2.6150000000000002</v>
      </c>
      <c r="E1886" s="27">
        <v>88.58</v>
      </c>
      <c r="F1886" s="27">
        <v>571.79</v>
      </c>
      <c r="G1886" s="27">
        <v>963</v>
      </c>
    </row>
    <row r="1887" spans="1:7" ht="15.75" x14ac:dyDescent="0.25">
      <c r="A1887" s="30">
        <v>401</v>
      </c>
      <c r="B1887" s="26">
        <v>20.507999999999999</v>
      </c>
      <c r="C1887" s="27">
        <v>259.26</v>
      </c>
      <c r="D1887" s="28">
        <v>2.262</v>
      </c>
      <c r="E1887" s="27">
        <v>76.63</v>
      </c>
      <c r="F1887" s="27">
        <v>571.79</v>
      </c>
      <c r="G1887" s="27">
        <v>908</v>
      </c>
    </row>
    <row r="1888" spans="1:7" ht="15.75" x14ac:dyDescent="0.25">
      <c r="A1888" s="30">
        <v>402</v>
      </c>
      <c r="B1888" s="26">
        <v>24.338000000000001</v>
      </c>
      <c r="C1888" s="27">
        <v>287.72000000000003</v>
      </c>
      <c r="D1888" s="28">
        <v>3.8639999999999999</v>
      </c>
      <c r="E1888" s="27">
        <v>130.88999999999999</v>
      </c>
      <c r="F1888" s="27">
        <v>571.79</v>
      </c>
      <c r="G1888" s="27">
        <v>991</v>
      </c>
    </row>
    <row r="1889" spans="1:7" ht="15.75" x14ac:dyDescent="0.25">
      <c r="A1889" s="30">
        <v>501</v>
      </c>
      <c r="B1889" s="26">
        <v>21.675999999999998</v>
      </c>
      <c r="C1889" s="27">
        <v>267.94</v>
      </c>
      <c r="D1889" s="28">
        <v>1.2030000000000001</v>
      </c>
      <c r="E1889" s="27">
        <v>40.75</v>
      </c>
      <c r="F1889" s="27">
        <v>571.79</v>
      </c>
      <c r="G1889" s="27">
        <v>881</v>
      </c>
    </row>
    <row r="1890" spans="1:7" ht="15.75" x14ac:dyDescent="0.25">
      <c r="A1890" s="30">
        <v>502</v>
      </c>
      <c r="B1890" s="26">
        <v>13.968999999999999</v>
      </c>
      <c r="C1890" s="27">
        <v>210.67</v>
      </c>
      <c r="D1890" s="28">
        <v>1.179</v>
      </c>
      <c r="E1890" s="27">
        <v>39.94</v>
      </c>
      <c r="F1890" s="27">
        <v>571.79</v>
      </c>
      <c r="G1890" s="27">
        <v>823</v>
      </c>
    </row>
    <row r="1891" spans="1:7" ht="15.75" x14ac:dyDescent="0.25">
      <c r="A1891" s="30">
        <v>601</v>
      </c>
      <c r="B1891" s="26">
        <v>3.6360000000000001</v>
      </c>
      <c r="C1891" s="27">
        <v>133.9</v>
      </c>
      <c r="D1891" s="28">
        <v>0.30399999999999999</v>
      </c>
      <c r="E1891" s="27">
        <v>10.3</v>
      </c>
      <c r="F1891" s="27">
        <v>571.79</v>
      </c>
      <c r="G1891" s="27">
        <v>716</v>
      </c>
    </row>
    <row r="1892" spans="1:7" ht="15.75" x14ac:dyDescent="0.25">
      <c r="A1892" s="30">
        <v>602</v>
      </c>
      <c r="B1892" s="26">
        <v>4.8840000000000003</v>
      </c>
      <c r="C1892" s="27">
        <v>143.16999999999999</v>
      </c>
      <c r="D1892" s="28">
        <v>2.71</v>
      </c>
      <c r="E1892" s="27">
        <v>91.8</v>
      </c>
      <c r="F1892" s="27">
        <v>571.79</v>
      </c>
      <c r="G1892" s="27">
        <v>807</v>
      </c>
    </row>
    <row r="1893" spans="1:7" ht="15.75" x14ac:dyDescent="0.25">
      <c r="A1893" s="30">
        <v>701</v>
      </c>
      <c r="B1893" s="26">
        <v>11.141</v>
      </c>
      <c r="C1893" s="27">
        <v>189.66</v>
      </c>
      <c r="D1893" s="28">
        <v>0.9</v>
      </c>
      <c r="E1893" s="27">
        <v>30.49</v>
      </c>
      <c r="F1893" s="27">
        <v>571.79</v>
      </c>
      <c r="G1893" s="27">
        <v>792</v>
      </c>
    </row>
    <row r="1894" spans="1:7" ht="15.75" x14ac:dyDescent="0.25">
      <c r="A1894" s="30">
        <v>702</v>
      </c>
      <c r="B1894" s="26">
        <v>3.8559999999999999</v>
      </c>
      <c r="C1894" s="27">
        <v>135.54</v>
      </c>
      <c r="D1894" s="28">
        <v>1.2769999999999999</v>
      </c>
      <c r="E1894" s="27">
        <v>43.26</v>
      </c>
      <c r="F1894" s="27">
        <v>571.79</v>
      </c>
      <c r="G1894" s="27">
        <v>751</v>
      </c>
    </row>
    <row r="1895" spans="1:7" ht="15.75" x14ac:dyDescent="0.25">
      <c r="A1895" s="30">
        <v>801</v>
      </c>
      <c r="B1895" s="26">
        <v>4.9589999999999996</v>
      </c>
      <c r="C1895" s="27">
        <v>143.72999999999999</v>
      </c>
      <c r="D1895" s="28">
        <v>0.01</v>
      </c>
      <c r="E1895" s="27">
        <v>0.34</v>
      </c>
      <c r="F1895" s="27">
        <v>571.79</v>
      </c>
      <c r="G1895" s="27">
        <v>716</v>
      </c>
    </row>
    <row r="1896" spans="1:7" ht="15.75" x14ac:dyDescent="0.25">
      <c r="A1896" s="30">
        <v>802</v>
      </c>
      <c r="B1896" s="26">
        <v>13.278</v>
      </c>
      <c r="C1896" s="27">
        <v>205.54</v>
      </c>
      <c r="D1896" s="28">
        <v>1.246</v>
      </c>
      <c r="E1896" s="27">
        <v>42.21</v>
      </c>
      <c r="F1896" s="63">
        <v>571.79</v>
      </c>
      <c r="G1896" s="63">
        <v>820</v>
      </c>
    </row>
    <row r="1898" spans="1:7" x14ac:dyDescent="0.25">
      <c r="A1898" s="32"/>
      <c r="B1898" s="7"/>
      <c r="C1898" s="7"/>
      <c r="D1898" s="7"/>
      <c r="E1898" s="7"/>
      <c r="F1898" s="7"/>
      <c r="G1898" s="33"/>
    </row>
    <row r="1899" spans="1:7" x14ac:dyDescent="0.25">
      <c r="A1899" s="32"/>
      <c r="B1899" s="7"/>
      <c r="C1899" s="7"/>
      <c r="D1899" s="7"/>
      <c r="E1899" s="7"/>
      <c r="F1899" s="7"/>
      <c r="G1899" s="33"/>
    </row>
    <row r="1900" spans="1:7" x14ac:dyDescent="0.25">
      <c r="A1900" s="32"/>
      <c r="B1900" s="7"/>
      <c r="C1900" s="7"/>
      <c r="D1900" s="7"/>
      <c r="E1900" s="7"/>
      <c r="F1900" s="7"/>
      <c r="G1900" s="33"/>
    </row>
    <row r="1902" spans="1:7" ht="15.75" x14ac:dyDescent="0.25">
      <c r="A1902" s="34" t="s">
        <v>310</v>
      </c>
      <c r="B1902" s="35"/>
      <c r="C1902" s="35"/>
      <c r="D1902" s="35"/>
      <c r="E1902" s="35"/>
      <c r="F1902" s="36"/>
      <c r="G1902" s="72">
        <v>27758.92</v>
      </c>
    </row>
    <row r="1903" spans="1:7" ht="15.75" x14ac:dyDescent="0.25">
      <c r="A1903" s="37" t="s">
        <v>311</v>
      </c>
      <c r="B1903" s="38"/>
      <c r="C1903" s="38"/>
      <c r="D1903" s="38"/>
      <c r="E1903" s="38"/>
      <c r="F1903" s="39"/>
      <c r="G1903" s="72">
        <v>4200</v>
      </c>
    </row>
    <row r="1904" spans="1:7" ht="15.75" x14ac:dyDescent="0.25">
      <c r="A1904" s="37" t="s">
        <v>312</v>
      </c>
      <c r="B1904" s="38"/>
      <c r="C1904" s="38"/>
      <c r="D1904" s="38"/>
      <c r="E1904" s="38"/>
      <c r="F1904" s="39"/>
      <c r="G1904" s="72">
        <v>-1282</v>
      </c>
    </row>
    <row r="1905" spans="1:7" ht="15.75" x14ac:dyDescent="0.25">
      <c r="A1905" s="34" t="s">
        <v>313</v>
      </c>
      <c r="B1905" s="35"/>
      <c r="C1905" s="35"/>
      <c r="D1905" s="35"/>
      <c r="E1905" s="35"/>
      <c r="F1905" s="36"/>
      <c r="G1905" s="72">
        <f>SUM(G1902:G1904)</f>
        <v>30676.92</v>
      </c>
    </row>
    <row r="1906" spans="1:7" ht="18.75" x14ac:dyDescent="0.3">
      <c r="A1906" s="40"/>
      <c r="B1906" s="40"/>
      <c r="C1906" s="40"/>
      <c r="D1906" s="40"/>
      <c r="E1906" s="40"/>
      <c r="F1906" s="40"/>
      <c r="G1906" s="40"/>
    </row>
    <row r="1907" spans="1:7" ht="31.5" customHeight="1" x14ac:dyDescent="0.25">
      <c r="A1907" s="85" t="s">
        <v>54</v>
      </c>
      <c r="B1907" s="86"/>
      <c r="C1907" s="86"/>
      <c r="D1907" s="86"/>
      <c r="E1907" s="86"/>
      <c r="F1907" s="86"/>
      <c r="G1907" s="87"/>
    </row>
    <row r="1908" spans="1:7" ht="15.75" x14ac:dyDescent="0.25">
      <c r="A1908" s="41" t="s">
        <v>36</v>
      </c>
      <c r="B1908" s="42"/>
      <c r="C1908" s="42"/>
      <c r="D1908" s="42"/>
      <c r="E1908" s="42"/>
      <c r="F1908" s="42"/>
      <c r="G1908" s="43"/>
    </row>
    <row r="1909" spans="1:7" ht="15.75" x14ac:dyDescent="0.25">
      <c r="A1909" s="44" t="s">
        <v>37</v>
      </c>
      <c r="B1909" s="45"/>
      <c r="C1909" s="45"/>
      <c r="D1909" s="45"/>
      <c r="E1909" s="45"/>
      <c r="F1909" s="45"/>
      <c r="G1909" s="46"/>
    </row>
    <row r="1910" spans="1:7" ht="15.75" x14ac:dyDescent="0.25">
      <c r="A1910" s="47"/>
      <c r="B1910" s="47"/>
      <c r="C1910" s="47"/>
      <c r="D1910" s="47"/>
      <c r="E1910" s="47"/>
      <c r="F1910" s="47"/>
      <c r="G1910" s="47"/>
    </row>
    <row r="1911" spans="1:7" ht="15.75" x14ac:dyDescent="0.25">
      <c r="A1911" s="48" t="s">
        <v>50</v>
      </c>
      <c r="B1911" s="49"/>
      <c r="C1911" s="49"/>
      <c r="D1911" s="49"/>
      <c r="E1911" s="49"/>
      <c r="F1911" s="49"/>
      <c r="G1911" s="50"/>
    </row>
    <row r="1912" spans="1:7" ht="15.75" x14ac:dyDescent="0.25">
      <c r="A1912" s="47"/>
      <c r="B1912" s="47"/>
      <c r="C1912" s="47"/>
      <c r="D1912" s="47"/>
      <c r="E1912" s="47"/>
      <c r="F1912" s="47"/>
      <c r="G1912" s="47"/>
    </row>
    <row r="1913" spans="1:7" ht="15.75" x14ac:dyDescent="0.25">
      <c r="A1913" s="47"/>
      <c r="B1913" s="47"/>
      <c r="C1913" s="47"/>
      <c r="D1913" s="47"/>
      <c r="E1913" s="47"/>
      <c r="F1913" s="47"/>
      <c r="G1913" s="47"/>
    </row>
    <row r="1914" spans="1:7" ht="15.75" x14ac:dyDescent="0.25">
      <c r="A1914" s="47"/>
      <c r="B1914" s="47"/>
      <c r="C1914" s="47"/>
      <c r="D1914" s="47"/>
      <c r="E1914" s="47"/>
      <c r="F1914" s="47"/>
      <c r="G1914" s="47"/>
    </row>
    <row r="1922" spans="1:9" ht="21" x14ac:dyDescent="0.35">
      <c r="A1922" s="88" t="s">
        <v>20</v>
      </c>
      <c r="B1922" s="89"/>
      <c r="C1922" s="89"/>
      <c r="D1922" s="89"/>
      <c r="E1922" s="89"/>
      <c r="F1922" s="89"/>
      <c r="G1922" s="90"/>
      <c r="H1922" s="56"/>
      <c r="I1922" s="56"/>
    </row>
    <row r="1924" spans="1:9" ht="17.25" x14ac:dyDescent="0.3">
      <c r="A1924" s="51" t="s">
        <v>314</v>
      </c>
      <c r="B1924" s="51"/>
      <c r="C1924" s="51"/>
      <c r="D1924" s="51"/>
      <c r="E1924" s="51"/>
      <c r="F1924" s="51"/>
      <c r="G1924" s="51"/>
      <c r="H1924" s="51"/>
      <c r="I1924" s="51"/>
    </row>
    <row r="1925" spans="1:9" ht="17.25" x14ac:dyDescent="0.3">
      <c r="A1925" s="51"/>
      <c r="B1925" s="51"/>
      <c r="C1925" s="51"/>
      <c r="D1925" s="51"/>
      <c r="E1925" s="51"/>
      <c r="F1925" s="51"/>
      <c r="G1925" s="51"/>
      <c r="H1925" s="51"/>
      <c r="I1925" s="51"/>
    </row>
    <row r="1926" spans="1:9" ht="17.25" x14ac:dyDescent="0.3">
      <c r="A1926" s="51" t="s">
        <v>315</v>
      </c>
      <c r="B1926" s="51"/>
      <c r="C1926" s="51"/>
      <c r="D1926" s="51"/>
      <c r="E1926" s="51"/>
      <c r="F1926" s="51"/>
      <c r="G1926" s="51"/>
      <c r="H1926" s="51"/>
      <c r="I1926" s="51"/>
    </row>
    <row r="1927" spans="1:9" ht="17.25" x14ac:dyDescent="0.3">
      <c r="A1927" s="51"/>
      <c r="B1927" s="51"/>
      <c r="C1927" s="51"/>
      <c r="D1927" s="51"/>
      <c r="E1927" s="51"/>
      <c r="F1927" s="51"/>
      <c r="G1927" s="51"/>
      <c r="H1927" s="51"/>
      <c r="I1927" s="51"/>
    </row>
    <row r="1928" spans="1:9" ht="17.25" x14ac:dyDescent="0.3">
      <c r="A1928" s="51" t="s">
        <v>316</v>
      </c>
      <c r="B1928" s="51"/>
      <c r="C1928" s="51"/>
      <c r="D1928" s="51"/>
      <c r="E1928" s="51"/>
      <c r="F1928" s="51"/>
      <c r="G1928" s="51"/>
      <c r="H1928" s="51"/>
      <c r="I1928" s="51"/>
    </row>
    <row r="1929" spans="1:9" ht="17.25" x14ac:dyDescent="0.3">
      <c r="A1929" s="51"/>
      <c r="B1929" s="51"/>
      <c r="C1929" s="51"/>
      <c r="D1929" s="51"/>
      <c r="E1929" s="51"/>
      <c r="F1929" s="51"/>
      <c r="G1929" s="51"/>
      <c r="H1929" s="51"/>
      <c r="I1929" s="51"/>
    </row>
    <row r="1930" spans="1:9" ht="17.25" x14ac:dyDescent="0.3">
      <c r="A1930" s="51" t="s">
        <v>40</v>
      </c>
      <c r="B1930" s="51"/>
      <c r="C1930" s="51"/>
      <c r="D1930" s="51"/>
      <c r="E1930" s="51"/>
      <c r="F1930" s="51"/>
      <c r="G1930" s="51"/>
      <c r="H1930" s="51"/>
      <c r="I1930" s="51"/>
    </row>
    <row r="1931" spans="1:9" ht="17.25" x14ac:dyDescent="0.3">
      <c r="A1931" s="51"/>
      <c r="B1931" s="51"/>
      <c r="C1931" s="51"/>
      <c r="D1931" s="51"/>
      <c r="E1931" s="51"/>
      <c r="F1931" s="51"/>
      <c r="G1931" s="51"/>
      <c r="H1931" s="51"/>
      <c r="I1931" s="51"/>
    </row>
    <row r="1932" spans="1:9" ht="33" customHeight="1" x14ac:dyDescent="0.3">
      <c r="A1932" s="91" t="s">
        <v>317</v>
      </c>
      <c r="B1932" s="91"/>
      <c r="C1932" s="91"/>
      <c r="D1932" s="91"/>
      <c r="E1932" s="91"/>
      <c r="F1932" s="91"/>
      <c r="G1932" s="91"/>
      <c r="H1932" s="55"/>
      <c r="I1932" s="55"/>
    </row>
    <row r="1933" spans="1:9" ht="17.25" x14ac:dyDescent="0.3">
      <c r="A1933" s="51"/>
      <c r="B1933" s="51"/>
      <c r="C1933" s="51"/>
      <c r="D1933" s="51"/>
      <c r="E1933" s="51"/>
      <c r="F1933" s="51"/>
      <c r="G1933" s="51"/>
      <c r="H1933" s="51"/>
      <c r="I1933" s="51"/>
    </row>
    <row r="1934" spans="1:9" ht="33" customHeight="1" x14ac:dyDescent="0.3">
      <c r="A1934" s="91" t="s">
        <v>318</v>
      </c>
      <c r="B1934" s="91"/>
      <c r="C1934" s="91"/>
      <c r="D1934" s="91"/>
      <c r="E1934" s="91"/>
      <c r="F1934" s="91"/>
      <c r="G1934" s="91"/>
      <c r="H1934" s="55"/>
      <c r="I1934" s="55"/>
    </row>
    <row r="1935" spans="1:9" ht="17.25" x14ac:dyDescent="0.3">
      <c r="A1935" s="51"/>
      <c r="B1935" s="51"/>
      <c r="C1935" s="51"/>
      <c r="D1935" s="51"/>
      <c r="E1935" s="51"/>
      <c r="F1935" s="51"/>
      <c r="G1935" s="51"/>
      <c r="H1935" s="51"/>
      <c r="I1935" s="51"/>
    </row>
    <row r="1936" spans="1:9" ht="33" customHeight="1" x14ac:dyDescent="0.3">
      <c r="A1936" s="91" t="s">
        <v>319</v>
      </c>
      <c r="B1936" s="91"/>
      <c r="C1936" s="91"/>
      <c r="D1936" s="91"/>
      <c r="E1936" s="91"/>
      <c r="F1936" s="91"/>
      <c r="G1936" s="91"/>
      <c r="H1936" s="55"/>
      <c r="I1936" s="55"/>
    </row>
    <row r="1938" spans="1:7" ht="18.75" x14ac:dyDescent="0.3">
      <c r="A1938" s="1" t="s">
        <v>320</v>
      </c>
      <c r="B1938" s="2"/>
      <c r="C1938" s="2"/>
      <c r="D1938" s="2"/>
      <c r="E1938" s="2"/>
      <c r="F1938" s="2"/>
      <c r="G1938" s="53"/>
    </row>
    <row r="1939" spans="1:7" ht="15.75" x14ac:dyDescent="0.25">
      <c r="A1939" s="3" t="s">
        <v>1</v>
      </c>
      <c r="B1939" s="3" t="s">
        <v>2</v>
      </c>
      <c r="C1939" s="4" t="s">
        <v>3</v>
      </c>
      <c r="D1939" s="4"/>
      <c r="E1939" s="4"/>
      <c r="F1939" s="4"/>
      <c r="G1939" s="62" t="s">
        <v>30</v>
      </c>
    </row>
    <row r="1940" spans="1:7" ht="15.75" x14ac:dyDescent="0.25">
      <c r="A1940" s="5">
        <v>45636</v>
      </c>
      <c r="B1940" s="6" t="s">
        <v>4</v>
      </c>
      <c r="C1940" s="7" t="s">
        <v>5</v>
      </c>
      <c r="D1940" s="7"/>
      <c r="E1940" s="7"/>
      <c r="F1940" s="7"/>
      <c r="G1940" s="52">
        <v>1255.0899999999999</v>
      </c>
    </row>
    <row r="1941" spans="1:7" ht="15.75" x14ac:dyDescent="0.25">
      <c r="A1941" s="5">
        <v>45642</v>
      </c>
      <c r="B1941" s="6" t="s">
        <v>4</v>
      </c>
      <c r="C1941" s="7" t="s">
        <v>61</v>
      </c>
      <c r="D1941" s="7"/>
      <c r="E1941" s="7"/>
      <c r="F1941" s="7"/>
      <c r="G1941" s="52">
        <v>1611.95</v>
      </c>
    </row>
    <row r="1942" spans="1:7" ht="15.75" x14ac:dyDescent="0.25">
      <c r="A1942" s="5">
        <v>45642</v>
      </c>
      <c r="B1942" s="6" t="s">
        <v>4</v>
      </c>
      <c r="C1942" s="7" t="s">
        <v>8</v>
      </c>
      <c r="D1942" s="7"/>
      <c r="E1942" s="7"/>
      <c r="F1942" s="7"/>
      <c r="G1942" s="52">
        <v>361.75</v>
      </c>
    </row>
    <row r="1943" spans="1:7" ht="15.75" x14ac:dyDescent="0.25">
      <c r="A1943" s="5">
        <v>45643</v>
      </c>
      <c r="B1943" s="6" t="s">
        <v>4</v>
      </c>
      <c r="C1943" s="7" t="s">
        <v>9</v>
      </c>
      <c r="D1943" s="7"/>
      <c r="E1943" s="7"/>
      <c r="F1943" s="7"/>
      <c r="G1943" s="52">
        <v>340.32</v>
      </c>
    </row>
    <row r="1944" spans="1:7" ht="15.75" x14ac:dyDescent="0.25">
      <c r="A1944" s="5">
        <v>45646</v>
      </c>
      <c r="B1944" s="6" t="s">
        <v>4</v>
      </c>
      <c r="C1944" s="7" t="s">
        <v>47</v>
      </c>
      <c r="D1944" s="7"/>
      <c r="E1944" s="7"/>
      <c r="F1944" s="7"/>
      <c r="G1944" s="52">
        <v>233.72</v>
      </c>
    </row>
    <row r="1945" spans="1:7" ht="15.75" x14ac:dyDescent="0.25">
      <c r="A1945" s="5">
        <v>45628</v>
      </c>
      <c r="B1945" s="6" t="s">
        <v>4</v>
      </c>
      <c r="C1945" s="7" t="s">
        <v>322</v>
      </c>
      <c r="D1945" s="7"/>
      <c r="E1945" s="7"/>
      <c r="F1945" s="7"/>
      <c r="G1945" s="52">
        <v>458</v>
      </c>
    </row>
    <row r="1946" spans="1:7" ht="15.75" x14ac:dyDescent="0.25">
      <c r="A1946" s="8">
        <v>45654</v>
      </c>
      <c r="B1946" s="6" t="s">
        <v>4</v>
      </c>
      <c r="C1946" s="7" t="s">
        <v>14</v>
      </c>
      <c r="D1946" s="7"/>
      <c r="E1946" s="7"/>
      <c r="F1946" s="7"/>
      <c r="G1946" s="52">
        <v>141</v>
      </c>
    </row>
    <row r="1947" spans="1:7" ht="15.75" customHeight="1" x14ac:dyDescent="0.25">
      <c r="A1947" s="8">
        <v>45627</v>
      </c>
      <c r="B1947" s="54" t="s">
        <v>4</v>
      </c>
      <c r="C1947" s="32" t="s">
        <v>15</v>
      </c>
      <c r="D1947" s="67"/>
      <c r="E1947" s="67"/>
      <c r="F1947" s="68"/>
      <c r="G1947" s="52">
        <v>65</v>
      </c>
    </row>
    <row r="1948" spans="1:7" ht="21" x14ac:dyDescent="0.35">
      <c r="A1948" s="9" t="s">
        <v>16</v>
      </c>
      <c r="B1948" s="10"/>
      <c r="C1948" s="11"/>
      <c r="D1948" s="11"/>
      <c r="E1948" s="11"/>
      <c r="F1948" s="11"/>
      <c r="G1948" s="12">
        <f>SUM(G1940:G1947)</f>
        <v>4466.83</v>
      </c>
    </row>
    <row r="1949" spans="1:7" ht="21" x14ac:dyDescent="0.35">
      <c r="A1949" s="13" t="s">
        <v>17</v>
      </c>
      <c r="B1949" s="11"/>
      <c r="C1949" s="11"/>
      <c r="D1949" s="11"/>
      <c r="E1949" s="11"/>
      <c r="F1949" s="11"/>
      <c r="G1949" s="14">
        <f>ROUND(G1948/14,2)</f>
        <v>319.06</v>
      </c>
    </row>
    <row r="1950" spans="1:7" ht="21" x14ac:dyDescent="0.35">
      <c r="A1950" s="13" t="s">
        <v>74</v>
      </c>
      <c r="B1950" s="11"/>
      <c r="C1950" s="11"/>
      <c r="D1950" s="11"/>
      <c r="E1950" s="11"/>
      <c r="F1950" s="11"/>
      <c r="G1950" s="14">
        <f>ROUND(G1949/13,2)</f>
        <v>24.54</v>
      </c>
    </row>
    <row r="1951" spans="1:7" ht="21" x14ac:dyDescent="0.35">
      <c r="A1951" s="13" t="s">
        <v>196</v>
      </c>
      <c r="B1951" s="11"/>
      <c r="C1951" s="11"/>
      <c r="D1951" s="11"/>
      <c r="E1951" s="11"/>
      <c r="F1951" s="11"/>
      <c r="G1951" s="14">
        <v>300</v>
      </c>
    </row>
    <row r="1952" spans="1:7" ht="21" x14ac:dyDescent="0.35">
      <c r="A1952" s="13" t="s">
        <v>19</v>
      </c>
      <c r="B1952" s="11"/>
      <c r="C1952" s="11"/>
      <c r="D1952" s="11"/>
      <c r="E1952" s="11"/>
      <c r="F1952" s="11"/>
      <c r="G1952" s="12">
        <f>G1949+G1950+G1951</f>
        <v>643.6</v>
      </c>
    </row>
    <row r="1963" spans="1:7" ht="21" x14ac:dyDescent="0.35">
      <c r="A1963" s="88" t="s">
        <v>20</v>
      </c>
      <c r="B1963" s="89"/>
      <c r="C1963" s="89"/>
      <c r="D1963" s="89"/>
      <c r="E1963" s="89"/>
      <c r="F1963" s="89"/>
      <c r="G1963" s="90"/>
    </row>
    <row r="1964" spans="1:7" ht="18.75" x14ac:dyDescent="0.25">
      <c r="A1964" s="19" t="s">
        <v>321</v>
      </c>
      <c r="B1964" s="15"/>
      <c r="C1964" s="15"/>
      <c r="D1964" s="15"/>
      <c r="E1964" s="15"/>
      <c r="F1964" s="15"/>
      <c r="G1964" s="16"/>
    </row>
    <row r="1965" spans="1:7" ht="15.75" x14ac:dyDescent="0.25">
      <c r="A1965" s="17"/>
      <c r="B1965" s="18"/>
      <c r="C1965" s="18"/>
      <c r="D1965" s="18"/>
      <c r="E1965" s="18"/>
      <c r="F1965" s="18"/>
      <c r="G1965" s="18"/>
    </row>
    <row r="1966" spans="1:7" ht="15.75" x14ac:dyDescent="0.25">
      <c r="A1966" s="17"/>
      <c r="B1966" s="18"/>
      <c r="C1966" s="18"/>
      <c r="D1966" s="18"/>
      <c r="E1966" s="18"/>
      <c r="F1966" s="18"/>
      <c r="G1966" s="18"/>
    </row>
    <row r="1967" spans="1:7" ht="15.75" x14ac:dyDescent="0.25">
      <c r="A1967" s="20" t="s">
        <v>22</v>
      </c>
      <c r="B1967" s="21" t="s">
        <v>23</v>
      </c>
      <c r="C1967" s="22"/>
      <c r="D1967" s="21" t="s">
        <v>24</v>
      </c>
      <c r="E1967" s="22"/>
      <c r="F1967" s="59" t="s">
        <v>25</v>
      </c>
      <c r="G1967" s="60" t="s">
        <v>26</v>
      </c>
    </row>
    <row r="1968" spans="1:7" ht="15.75" x14ac:dyDescent="0.25">
      <c r="A1968" s="23" t="s">
        <v>27</v>
      </c>
      <c r="B1968" s="24" t="s">
        <v>28</v>
      </c>
      <c r="C1968" s="24" t="s">
        <v>29</v>
      </c>
      <c r="D1968" s="24" t="s">
        <v>28</v>
      </c>
      <c r="E1968" s="24" t="s">
        <v>30</v>
      </c>
      <c r="F1968" s="58" t="s">
        <v>31</v>
      </c>
      <c r="G1968" s="61" t="s">
        <v>31</v>
      </c>
    </row>
    <row r="1969" spans="1:7" ht="15.75" x14ac:dyDescent="0.25">
      <c r="A1969" s="25" t="s">
        <v>32</v>
      </c>
      <c r="B1969" s="26">
        <v>37.620000000000005</v>
      </c>
      <c r="C1969" s="27">
        <v>361.75</v>
      </c>
      <c r="D1969" s="28">
        <v>0</v>
      </c>
      <c r="E1969" s="27">
        <v>0</v>
      </c>
      <c r="F1969" s="29">
        <v>0</v>
      </c>
      <c r="G1969" s="27">
        <v>0</v>
      </c>
    </row>
    <row r="1970" spans="1:7" ht="15.75" x14ac:dyDescent="0.25">
      <c r="A1970" s="30">
        <v>201</v>
      </c>
      <c r="B1970" s="26">
        <v>20.337</v>
      </c>
      <c r="C1970" s="27">
        <v>239.08</v>
      </c>
      <c r="D1970" s="31">
        <v>4.2000000000000003E-2</v>
      </c>
      <c r="E1970" s="27">
        <v>1.42</v>
      </c>
      <c r="F1970" s="27">
        <v>643.6</v>
      </c>
      <c r="G1970" s="27">
        <v>885</v>
      </c>
    </row>
    <row r="1971" spans="1:7" ht="15.75" x14ac:dyDescent="0.25">
      <c r="A1971" s="30">
        <v>202</v>
      </c>
      <c r="B1971" s="26">
        <v>37.601999999999997</v>
      </c>
      <c r="C1971" s="27">
        <v>361.32</v>
      </c>
      <c r="D1971" s="28">
        <v>2.403</v>
      </c>
      <c r="E1971" s="27">
        <v>81.400000000000006</v>
      </c>
      <c r="F1971" s="27">
        <v>643.6</v>
      </c>
      <c r="G1971" s="27">
        <v>1087</v>
      </c>
    </row>
    <row r="1972" spans="1:7" ht="15.75" x14ac:dyDescent="0.25">
      <c r="A1972" s="30">
        <v>301</v>
      </c>
      <c r="B1972" s="26">
        <v>21.158000000000001</v>
      </c>
      <c r="C1972" s="27">
        <v>244.89</v>
      </c>
      <c r="D1972" s="28">
        <v>3.2290000000000001</v>
      </c>
      <c r="E1972" s="27">
        <v>109.38</v>
      </c>
      <c r="F1972" s="27">
        <v>643.6</v>
      </c>
      <c r="G1972" s="27">
        <v>998</v>
      </c>
    </row>
    <row r="1973" spans="1:7" ht="15.75" x14ac:dyDescent="0.25">
      <c r="A1973" s="30">
        <v>302</v>
      </c>
      <c r="B1973" s="26">
        <v>24.852</v>
      </c>
      <c r="C1973" s="27">
        <v>271.05</v>
      </c>
      <c r="D1973" s="28">
        <v>2.395</v>
      </c>
      <c r="E1973" s="27">
        <v>81.13</v>
      </c>
      <c r="F1973" s="27">
        <v>643.6</v>
      </c>
      <c r="G1973" s="27">
        <v>996</v>
      </c>
    </row>
    <row r="1974" spans="1:7" ht="15.75" x14ac:dyDescent="0.25">
      <c r="A1974" s="30">
        <v>401</v>
      </c>
      <c r="B1974" s="26">
        <v>21.013000000000002</v>
      </c>
      <c r="C1974" s="27">
        <v>243.87</v>
      </c>
      <c r="D1974" s="28">
        <v>1.9650000000000001</v>
      </c>
      <c r="E1974" s="27">
        <v>66.56</v>
      </c>
      <c r="F1974" s="27">
        <v>643.6</v>
      </c>
      <c r="G1974" s="27">
        <v>955</v>
      </c>
    </row>
    <row r="1975" spans="1:7" ht="15.75" x14ac:dyDescent="0.25">
      <c r="A1975" s="30">
        <v>402</v>
      </c>
      <c r="B1975" s="26">
        <v>20.948</v>
      </c>
      <c r="C1975" s="27">
        <v>243.41</v>
      </c>
      <c r="D1975" s="28">
        <v>4.2409999999999997</v>
      </c>
      <c r="E1975" s="27">
        <v>143.66</v>
      </c>
      <c r="F1975" s="27">
        <v>643.6</v>
      </c>
      <c r="G1975" s="27">
        <v>1031</v>
      </c>
    </row>
    <row r="1976" spans="1:7" ht="15.75" x14ac:dyDescent="0.25">
      <c r="A1976" s="30">
        <v>501</v>
      </c>
      <c r="B1976" s="26">
        <v>20.452000000000002</v>
      </c>
      <c r="C1976" s="27">
        <v>239.9</v>
      </c>
      <c r="D1976" s="28">
        <v>0.997</v>
      </c>
      <c r="E1976" s="27">
        <v>33.770000000000003</v>
      </c>
      <c r="F1976" s="27">
        <v>643.6</v>
      </c>
      <c r="G1976" s="27">
        <v>918</v>
      </c>
    </row>
    <row r="1977" spans="1:7" ht="15.75" x14ac:dyDescent="0.25">
      <c r="A1977" s="30">
        <v>502</v>
      </c>
      <c r="B1977" s="26">
        <v>14.632999999999999</v>
      </c>
      <c r="C1977" s="27">
        <v>198.7</v>
      </c>
      <c r="D1977" s="28">
        <v>1.413</v>
      </c>
      <c r="E1977" s="27">
        <v>47.87</v>
      </c>
      <c r="F1977" s="27">
        <v>643.6</v>
      </c>
      <c r="G1977" s="27">
        <v>891</v>
      </c>
    </row>
    <row r="1978" spans="1:7" ht="15.75" x14ac:dyDescent="0.25">
      <c r="A1978" s="30">
        <v>601</v>
      </c>
      <c r="B1978" s="26">
        <v>4.6740000000000004</v>
      </c>
      <c r="C1978" s="27">
        <v>128.19</v>
      </c>
      <c r="D1978" s="28">
        <v>0.80400000000000005</v>
      </c>
      <c r="E1978" s="27">
        <v>27.24</v>
      </c>
      <c r="F1978" s="27">
        <v>643.6</v>
      </c>
      <c r="G1978" s="27">
        <v>800</v>
      </c>
    </row>
    <row r="1979" spans="1:7" ht="15.75" x14ac:dyDescent="0.25">
      <c r="A1979" s="30">
        <v>602</v>
      </c>
      <c r="B1979" s="26">
        <v>5.0149999999999997</v>
      </c>
      <c r="C1979" s="27">
        <v>130.6</v>
      </c>
      <c r="D1979" s="28">
        <v>2.258</v>
      </c>
      <c r="E1979" s="27">
        <v>76.489999999999995</v>
      </c>
      <c r="F1979" s="27">
        <v>643.6</v>
      </c>
      <c r="G1979" s="27">
        <v>851</v>
      </c>
    </row>
    <row r="1980" spans="1:7" ht="15.75" x14ac:dyDescent="0.25">
      <c r="A1980" s="30">
        <v>701</v>
      </c>
      <c r="B1980" s="26">
        <v>11.134</v>
      </c>
      <c r="C1980" s="27">
        <v>173.92</v>
      </c>
      <c r="D1980" s="28">
        <v>0.89400000000000002</v>
      </c>
      <c r="E1980" s="27">
        <v>30.28</v>
      </c>
      <c r="F1980" s="27">
        <v>643.6</v>
      </c>
      <c r="G1980" s="27">
        <v>848</v>
      </c>
    </row>
    <row r="1981" spans="1:7" ht="15.75" x14ac:dyDescent="0.25">
      <c r="A1981" s="30">
        <v>702</v>
      </c>
      <c r="B1981" s="26">
        <v>3.399</v>
      </c>
      <c r="C1981" s="27">
        <v>119.16</v>
      </c>
      <c r="D1981" s="28">
        <v>1.7</v>
      </c>
      <c r="E1981" s="27">
        <v>57.59</v>
      </c>
      <c r="F1981" s="27">
        <v>643.6</v>
      </c>
      <c r="G1981" s="27">
        <v>821</v>
      </c>
    </row>
    <row r="1982" spans="1:7" ht="15.75" x14ac:dyDescent="0.25">
      <c r="A1982" s="30">
        <v>801</v>
      </c>
      <c r="B1982" s="26">
        <v>2.3519999999999999</v>
      </c>
      <c r="C1982" s="27">
        <v>111.75</v>
      </c>
      <c r="D1982" s="28">
        <v>0</v>
      </c>
      <c r="E1982" s="27">
        <v>0</v>
      </c>
      <c r="F1982" s="27">
        <v>643.6</v>
      </c>
      <c r="G1982" s="27">
        <v>756</v>
      </c>
    </row>
    <row r="1983" spans="1:7" ht="15.75" x14ac:dyDescent="0.25">
      <c r="A1983" s="30">
        <v>802</v>
      </c>
      <c r="B1983" s="26">
        <v>28.811</v>
      </c>
      <c r="C1983" s="27">
        <v>299.08</v>
      </c>
      <c r="D1983" s="28">
        <v>1.843</v>
      </c>
      <c r="E1983" s="27">
        <v>62.43</v>
      </c>
      <c r="F1983" s="63">
        <v>643.6</v>
      </c>
      <c r="G1983" s="63">
        <v>1006</v>
      </c>
    </row>
    <row r="1985" spans="1:7" x14ac:dyDescent="0.25">
      <c r="A1985" s="32"/>
      <c r="B1985" s="7"/>
      <c r="C1985" s="7"/>
      <c r="D1985" s="7"/>
      <c r="E1985" s="7"/>
      <c r="F1985" s="7"/>
      <c r="G1985" s="33"/>
    </row>
    <row r="1986" spans="1:7" x14ac:dyDescent="0.25">
      <c r="A1986" s="32"/>
      <c r="B1986" s="7"/>
      <c r="C1986" s="7"/>
      <c r="D1986" s="7"/>
      <c r="E1986" s="7"/>
      <c r="F1986" s="7"/>
      <c r="G1986" s="33"/>
    </row>
    <row r="1987" spans="1:7" x14ac:dyDescent="0.25">
      <c r="A1987" s="32"/>
      <c r="B1987" s="7"/>
      <c r="C1987" s="7"/>
      <c r="D1987" s="7"/>
      <c r="E1987" s="7"/>
      <c r="F1987" s="7"/>
      <c r="G1987" s="33"/>
    </row>
    <row r="1989" spans="1:7" ht="15.75" x14ac:dyDescent="0.25">
      <c r="A1989" s="34" t="s">
        <v>323</v>
      </c>
      <c r="B1989" s="35"/>
      <c r="C1989" s="35"/>
      <c r="D1989" s="35"/>
      <c r="E1989" s="35"/>
      <c r="F1989" s="36"/>
      <c r="G1989" s="72">
        <v>30676.92</v>
      </c>
    </row>
    <row r="1990" spans="1:7" ht="15.75" x14ac:dyDescent="0.25">
      <c r="A1990" s="37" t="s">
        <v>324</v>
      </c>
      <c r="B1990" s="38"/>
      <c r="C1990" s="38"/>
      <c r="D1990" s="38"/>
      <c r="E1990" s="38"/>
      <c r="F1990" s="39"/>
      <c r="G1990" s="72">
        <v>4200</v>
      </c>
    </row>
    <row r="1991" spans="1:7" ht="15.75" x14ac:dyDescent="0.25">
      <c r="A1991" s="37" t="s">
        <v>325</v>
      </c>
      <c r="B1991" s="38"/>
      <c r="C1991" s="38"/>
      <c r="D1991" s="38"/>
      <c r="E1991" s="38"/>
      <c r="F1991" s="39"/>
      <c r="G1991" s="72">
        <v>-9407.26</v>
      </c>
    </row>
    <row r="1992" spans="1:7" ht="15.75" x14ac:dyDescent="0.25">
      <c r="A1992" s="34" t="s">
        <v>326</v>
      </c>
      <c r="B1992" s="35"/>
      <c r="C1992" s="35"/>
      <c r="D1992" s="35"/>
      <c r="E1992" s="35"/>
      <c r="F1992" s="36"/>
      <c r="G1992" s="72">
        <f>SUM(G1989:G1991)</f>
        <v>25469.659999999996</v>
      </c>
    </row>
    <row r="1993" spans="1:7" ht="18.75" x14ac:dyDescent="0.3">
      <c r="A1993" s="40"/>
      <c r="B1993" s="40"/>
      <c r="C1993" s="40"/>
      <c r="D1993" s="40"/>
      <c r="E1993" s="40"/>
      <c r="F1993" s="40"/>
      <c r="G1993" s="40"/>
    </row>
    <row r="1994" spans="1:7" ht="31.5" customHeight="1" x14ac:dyDescent="0.25">
      <c r="A1994" s="85" t="s">
        <v>54</v>
      </c>
      <c r="B1994" s="86"/>
      <c r="C1994" s="86"/>
      <c r="D1994" s="86"/>
      <c r="E1994" s="86"/>
      <c r="F1994" s="86"/>
      <c r="G1994" s="87"/>
    </row>
    <row r="1995" spans="1:7" ht="15.75" x14ac:dyDescent="0.25">
      <c r="A1995" s="41" t="s">
        <v>36</v>
      </c>
      <c r="B1995" s="42"/>
      <c r="C1995" s="42"/>
      <c r="D1995" s="42"/>
      <c r="E1995" s="42"/>
      <c r="F1995" s="42"/>
      <c r="G1995" s="43"/>
    </row>
    <row r="1996" spans="1:7" ht="15.75" x14ac:dyDescent="0.25">
      <c r="A1996" s="44" t="s">
        <v>37</v>
      </c>
      <c r="B1996" s="45"/>
      <c r="C1996" s="45"/>
      <c r="D1996" s="45"/>
      <c r="E1996" s="45"/>
      <c r="F1996" s="45"/>
      <c r="G1996" s="46"/>
    </row>
    <row r="1997" spans="1:7" ht="15.75" x14ac:dyDescent="0.25">
      <c r="A1997" s="47"/>
      <c r="B1997" s="47"/>
      <c r="C1997" s="47"/>
      <c r="D1997" s="47"/>
      <c r="E1997" s="47"/>
      <c r="F1997" s="47"/>
      <c r="G1997" s="47"/>
    </row>
    <row r="1998" spans="1:7" ht="15.75" x14ac:dyDescent="0.25">
      <c r="A1998" s="48" t="s">
        <v>50</v>
      </c>
      <c r="B1998" s="49"/>
      <c r="C1998" s="49"/>
      <c r="D1998" s="49"/>
      <c r="E1998" s="49"/>
      <c r="F1998" s="49"/>
      <c r="G1998" s="50"/>
    </row>
    <row r="1999" spans="1:7" ht="15.75" x14ac:dyDescent="0.25">
      <c r="A1999" s="47"/>
      <c r="B1999" s="47"/>
      <c r="C1999" s="47"/>
      <c r="D1999" s="47"/>
      <c r="E1999" s="47"/>
      <c r="F1999" s="47"/>
      <c r="G1999" s="47"/>
    </row>
    <row r="2000" spans="1:7" ht="15.75" x14ac:dyDescent="0.25">
      <c r="A2000" s="47"/>
      <c r="B2000" s="47"/>
      <c r="C2000" s="47"/>
      <c r="D2000" s="47"/>
      <c r="E2000" s="47"/>
      <c r="F2000" s="47"/>
      <c r="G2000" s="47"/>
    </row>
    <row r="2001" spans="1:9" ht="15.75" x14ac:dyDescent="0.25">
      <c r="A2001" s="47"/>
      <c r="B2001" s="47"/>
      <c r="C2001" s="47"/>
      <c r="D2001" s="47"/>
      <c r="E2001" s="47"/>
      <c r="F2001" s="47"/>
      <c r="G2001" s="47"/>
    </row>
    <row r="2009" spans="1:9" ht="21" x14ac:dyDescent="0.35">
      <c r="A2009" s="88" t="s">
        <v>20</v>
      </c>
      <c r="B2009" s="89"/>
      <c r="C2009" s="89"/>
      <c r="D2009" s="89"/>
      <c r="E2009" s="89"/>
      <c r="F2009" s="89"/>
      <c r="G2009" s="90"/>
      <c r="H2009" s="56"/>
      <c r="I2009" s="56"/>
    </row>
    <row r="2011" spans="1:9" ht="17.25" x14ac:dyDescent="0.3">
      <c r="A2011" s="51" t="s">
        <v>327</v>
      </c>
      <c r="B2011" s="51"/>
      <c r="C2011" s="51"/>
      <c r="D2011" s="51"/>
      <c r="E2011" s="51"/>
      <c r="F2011" s="51"/>
      <c r="G2011" s="51"/>
      <c r="H2011" s="51"/>
      <c r="I2011" s="51"/>
    </row>
    <row r="2012" spans="1:9" ht="17.25" x14ac:dyDescent="0.3">
      <c r="A2012" s="51"/>
      <c r="B2012" s="51"/>
      <c r="C2012" s="51"/>
      <c r="D2012" s="51"/>
      <c r="E2012" s="51"/>
      <c r="F2012" s="51"/>
      <c r="G2012" s="51"/>
      <c r="H2012" s="51"/>
      <c r="I2012" s="51"/>
    </row>
    <row r="2013" spans="1:9" ht="17.25" x14ac:dyDescent="0.3">
      <c r="A2013" s="51" t="s">
        <v>328</v>
      </c>
      <c r="B2013" s="51"/>
      <c r="C2013" s="51"/>
      <c r="D2013" s="51"/>
      <c r="E2013" s="51"/>
      <c r="F2013" s="51"/>
      <c r="G2013" s="51"/>
      <c r="H2013" s="51"/>
      <c r="I2013" s="51"/>
    </row>
    <row r="2014" spans="1:9" ht="17.25" x14ac:dyDescent="0.3">
      <c r="A2014" s="51"/>
      <c r="B2014" s="51"/>
      <c r="C2014" s="51"/>
      <c r="D2014" s="51"/>
      <c r="E2014" s="51"/>
      <c r="F2014" s="51"/>
      <c r="G2014" s="51"/>
      <c r="H2014" s="51"/>
      <c r="I2014" s="51"/>
    </row>
    <row r="2015" spans="1:9" ht="17.25" x14ac:dyDescent="0.3">
      <c r="A2015" s="51" t="s">
        <v>332</v>
      </c>
      <c r="B2015" s="51"/>
      <c r="C2015" s="51"/>
      <c r="D2015" s="51"/>
      <c r="E2015" s="51"/>
      <c r="F2015" s="51"/>
      <c r="G2015" s="51"/>
      <c r="H2015" s="51"/>
      <c r="I2015" s="51"/>
    </row>
    <row r="2016" spans="1:9" ht="17.25" x14ac:dyDescent="0.3">
      <c r="A2016" s="51"/>
      <c r="B2016" s="51"/>
      <c r="C2016" s="51"/>
      <c r="D2016" s="51"/>
      <c r="E2016" s="51"/>
      <c r="F2016" s="51"/>
      <c r="G2016" s="51"/>
      <c r="H2016" s="51"/>
      <c r="I2016" s="51"/>
    </row>
    <row r="2017" spans="1:9" ht="17.25" x14ac:dyDescent="0.3">
      <c r="A2017" s="51" t="s">
        <v>40</v>
      </c>
      <c r="B2017" s="51"/>
      <c r="C2017" s="51"/>
      <c r="D2017" s="51"/>
      <c r="E2017" s="51"/>
      <c r="F2017" s="51"/>
      <c r="G2017" s="51"/>
      <c r="H2017" s="51"/>
      <c r="I2017" s="51"/>
    </row>
    <row r="2018" spans="1:9" ht="17.25" x14ac:dyDescent="0.3">
      <c r="A2018" s="51"/>
      <c r="B2018" s="51"/>
      <c r="C2018" s="51"/>
      <c r="D2018" s="51"/>
      <c r="E2018" s="51"/>
      <c r="F2018" s="51"/>
      <c r="G2018" s="51"/>
      <c r="H2018" s="51"/>
      <c r="I2018" s="51"/>
    </row>
    <row r="2019" spans="1:9" ht="33" customHeight="1" x14ac:dyDescent="0.3">
      <c r="A2019" s="91" t="s">
        <v>329</v>
      </c>
      <c r="B2019" s="91"/>
      <c r="C2019" s="91"/>
      <c r="D2019" s="91"/>
      <c r="E2019" s="91"/>
      <c r="F2019" s="91"/>
      <c r="G2019" s="91"/>
      <c r="H2019" s="55"/>
      <c r="I2019" s="55"/>
    </row>
    <row r="2020" spans="1:9" ht="17.25" x14ac:dyDescent="0.3">
      <c r="A2020" s="51"/>
      <c r="B2020" s="51"/>
      <c r="C2020" s="51"/>
      <c r="D2020" s="51"/>
      <c r="E2020" s="51"/>
      <c r="F2020" s="51"/>
      <c r="G2020" s="51"/>
      <c r="H2020" s="51"/>
      <c r="I2020" s="51"/>
    </row>
    <row r="2021" spans="1:9" ht="33" customHeight="1" x14ac:dyDescent="0.3">
      <c r="A2021" s="91" t="s">
        <v>330</v>
      </c>
      <c r="B2021" s="91"/>
      <c r="C2021" s="91"/>
      <c r="D2021" s="91"/>
      <c r="E2021" s="91"/>
      <c r="F2021" s="91"/>
      <c r="G2021" s="91"/>
      <c r="H2021" s="55"/>
      <c r="I2021" s="55"/>
    </row>
    <row r="2022" spans="1:9" ht="17.25" x14ac:dyDescent="0.3">
      <c r="A2022" s="51"/>
      <c r="B2022" s="51"/>
      <c r="C2022" s="51"/>
      <c r="D2022" s="51"/>
      <c r="E2022" s="51"/>
      <c r="F2022" s="51"/>
      <c r="G2022" s="51"/>
      <c r="H2022" s="51"/>
      <c r="I2022" s="51"/>
    </row>
    <row r="2023" spans="1:9" ht="33" customHeight="1" x14ac:dyDescent="0.3">
      <c r="A2023" s="91" t="s">
        <v>331</v>
      </c>
      <c r="B2023" s="91"/>
      <c r="C2023" s="91"/>
      <c r="D2023" s="91"/>
      <c r="E2023" s="91"/>
      <c r="F2023" s="91"/>
      <c r="G2023" s="91"/>
      <c r="H2023" s="55"/>
      <c r="I2023" s="55"/>
    </row>
    <row r="2025" spans="1:9" ht="18.75" x14ac:dyDescent="0.3">
      <c r="A2025" s="1" t="s">
        <v>335</v>
      </c>
      <c r="B2025" s="2"/>
      <c r="C2025" s="2"/>
      <c r="D2025" s="2"/>
      <c r="E2025" s="2"/>
      <c r="F2025" s="2"/>
      <c r="G2025" s="53"/>
    </row>
    <row r="2026" spans="1:9" ht="15.75" x14ac:dyDescent="0.25">
      <c r="A2026" s="3" t="s">
        <v>1</v>
      </c>
      <c r="B2026" s="3" t="s">
        <v>2</v>
      </c>
      <c r="C2026" s="4" t="s">
        <v>3</v>
      </c>
      <c r="D2026" s="4"/>
      <c r="E2026" s="4"/>
      <c r="F2026" s="4"/>
      <c r="G2026" s="62" t="s">
        <v>30</v>
      </c>
    </row>
    <row r="2027" spans="1:9" ht="15.75" x14ac:dyDescent="0.25">
      <c r="A2027" s="5">
        <v>45667</v>
      </c>
      <c r="B2027" s="6" t="s">
        <v>4</v>
      </c>
      <c r="C2027" s="7" t="s">
        <v>5</v>
      </c>
      <c r="D2027" s="7"/>
      <c r="E2027" s="7"/>
      <c r="F2027" s="7"/>
      <c r="G2027" s="52">
        <v>1255.0899999999999</v>
      </c>
    </row>
    <row r="2028" spans="1:9" ht="15.75" x14ac:dyDescent="0.25">
      <c r="A2028" s="5">
        <v>45672</v>
      </c>
      <c r="B2028" s="6" t="s">
        <v>4</v>
      </c>
      <c r="C2028" s="7" t="s">
        <v>61</v>
      </c>
      <c r="D2028" s="7"/>
      <c r="E2028" s="7"/>
      <c r="F2028" s="7"/>
      <c r="G2028" s="52">
        <v>1138.6500000000001</v>
      </c>
    </row>
    <row r="2029" spans="1:9" ht="15.75" x14ac:dyDescent="0.25">
      <c r="A2029" s="5">
        <v>45674</v>
      </c>
      <c r="B2029" s="6" t="s">
        <v>4</v>
      </c>
      <c r="C2029" s="7" t="s">
        <v>9</v>
      </c>
      <c r="D2029" s="7"/>
      <c r="E2029" s="7"/>
      <c r="F2029" s="7"/>
      <c r="G2029" s="52">
        <v>347.02</v>
      </c>
    </row>
    <row r="2030" spans="1:9" ht="15.75" x14ac:dyDescent="0.25">
      <c r="A2030" s="5">
        <v>45677</v>
      </c>
      <c r="B2030" s="6" t="s">
        <v>4</v>
      </c>
      <c r="C2030" s="7" t="s">
        <v>47</v>
      </c>
      <c r="D2030" s="7"/>
      <c r="E2030" s="7"/>
      <c r="F2030" s="7"/>
      <c r="G2030" s="52">
        <v>210.64000000000001</v>
      </c>
    </row>
    <row r="2031" spans="1:9" ht="15.75" x14ac:dyDescent="0.25">
      <c r="A2031" s="5">
        <v>45628</v>
      </c>
      <c r="B2031" s="6" t="s">
        <v>4</v>
      </c>
      <c r="C2031" s="7" t="s">
        <v>322</v>
      </c>
      <c r="D2031" s="7"/>
      <c r="E2031" s="7"/>
      <c r="F2031" s="7"/>
      <c r="G2031" s="52">
        <v>458</v>
      </c>
    </row>
    <row r="2032" spans="1:9" ht="15.75" x14ac:dyDescent="0.25">
      <c r="A2032" s="5">
        <v>45652</v>
      </c>
      <c r="B2032" s="6" t="s">
        <v>4</v>
      </c>
      <c r="C2032" s="7" t="s">
        <v>333</v>
      </c>
      <c r="D2032" s="7"/>
      <c r="E2032" s="7"/>
      <c r="F2032" s="7"/>
      <c r="G2032" s="52">
        <v>14</v>
      </c>
    </row>
    <row r="2033" spans="1:7" ht="15.75" x14ac:dyDescent="0.25">
      <c r="A2033" s="5">
        <v>45638</v>
      </c>
      <c r="B2033" s="6" t="s">
        <v>4</v>
      </c>
      <c r="C2033" s="7" t="s">
        <v>334</v>
      </c>
      <c r="D2033" s="7"/>
      <c r="E2033" s="7"/>
      <c r="F2033" s="7"/>
      <c r="G2033" s="52">
        <v>236.7</v>
      </c>
    </row>
    <row r="2034" spans="1:7" ht="15.75" x14ac:dyDescent="0.25">
      <c r="A2034" s="5">
        <v>45652</v>
      </c>
      <c r="B2034" s="6" t="s">
        <v>4</v>
      </c>
      <c r="C2034" s="7" t="s">
        <v>181</v>
      </c>
      <c r="D2034" s="7"/>
      <c r="E2034" s="7"/>
      <c r="F2034" s="7"/>
      <c r="G2034" s="52">
        <v>224.68</v>
      </c>
    </row>
    <row r="2035" spans="1:7" ht="15.75" x14ac:dyDescent="0.25">
      <c r="A2035" s="8">
        <v>45685</v>
      </c>
      <c r="B2035" s="6" t="s">
        <v>4</v>
      </c>
      <c r="C2035" s="7" t="s">
        <v>14</v>
      </c>
      <c r="D2035" s="7"/>
      <c r="E2035" s="7"/>
      <c r="F2035" s="7"/>
      <c r="G2035" s="52">
        <v>141</v>
      </c>
    </row>
    <row r="2036" spans="1:7" ht="15.75" customHeight="1" x14ac:dyDescent="0.25">
      <c r="A2036" s="8">
        <v>45659</v>
      </c>
      <c r="B2036" s="54" t="s">
        <v>4</v>
      </c>
      <c r="C2036" s="32" t="s">
        <v>15</v>
      </c>
      <c r="D2036" s="67"/>
      <c r="E2036" s="67"/>
      <c r="F2036" s="68"/>
      <c r="G2036" s="52">
        <v>65</v>
      </c>
    </row>
    <row r="2037" spans="1:7" ht="21" x14ac:dyDescent="0.35">
      <c r="A2037" s="9" t="s">
        <v>16</v>
      </c>
      <c r="B2037" s="10"/>
      <c r="C2037" s="11"/>
      <c r="D2037" s="11"/>
      <c r="E2037" s="11"/>
      <c r="F2037" s="11"/>
      <c r="G2037" s="12">
        <f>SUM(G2027:G2036)</f>
        <v>4090.7799999999993</v>
      </c>
    </row>
    <row r="2038" spans="1:7" ht="21" x14ac:dyDescent="0.35">
      <c r="A2038" s="13" t="s">
        <v>17</v>
      </c>
      <c r="B2038" s="11"/>
      <c r="C2038" s="11"/>
      <c r="D2038" s="11"/>
      <c r="E2038" s="11"/>
      <c r="F2038" s="11"/>
      <c r="G2038" s="14">
        <f>ROUND(G2037/14,2)</f>
        <v>292.2</v>
      </c>
    </row>
    <row r="2039" spans="1:7" ht="21" x14ac:dyDescent="0.35">
      <c r="A2039" s="13" t="s">
        <v>74</v>
      </c>
      <c r="B2039" s="11"/>
      <c r="C2039" s="11"/>
      <c r="D2039" s="11"/>
      <c r="E2039" s="11"/>
      <c r="F2039" s="11"/>
      <c r="G2039" s="14">
        <f>ROUND(G2038/13,2)</f>
        <v>22.48</v>
      </c>
    </row>
    <row r="2040" spans="1:7" ht="21" x14ac:dyDescent="0.35">
      <c r="A2040" s="13" t="s">
        <v>196</v>
      </c>
      <c r="B2040" s="11"/>
      <c r="C2040" s="11"/>
      <c r="D2040" s="11"/>
      <c r="E2040" s="11"/>
      <c r="F2040" s="11"/>
      <c r="G2040" s="14">
        <v>150</v>
      </c>
    </row>
    <row r="2041" spans="1:7" ht="21" x14ac:dyDescent="0.35">
      <c r="A2041" s="13" t="s">
        <v>19</v>
      </c>
      <c r="B2041" s="11"/>
      <c r="C2041" s="11"/>
      <c r="D2041" s="11"/>
      <c r="E2041" s="11"/>
      <c r="F2041" s="11"/>
      <c r="G2041" s="12">
        <f>G2038+G2039+G2040</f>
        <v>464.68</v>
      </c>
    </row>
    <row r="2050" spans="1:7" ht="21" x14ac:dyDescent="0.35">
      <c r="A2050" s="88" t="s">
        <v>20</v>
      </c>
      <c r="B2050" s="89"/>
      <c r="C2050" s="89"/>
      <c r="D2050" s="89"/>
      <c r="E2050" s="89"/>
      <c r="F2050" s="89"/>
      <c r="G2050" s="90"/>
    </row>
    <row r="2051" spans="1:7" ht="18.75" x14ac:dyDescent="0.25">
      <c r="A2051" s="19" t="s">
        <v>336</v>
      </c>
      <c r="B2051" s="15"/>
      <c r="C2051" s="15"/>
      <c r="D2051" s="15"/>
      <c r="E2051" s="15"/>
      <c r="F2051" s="15"/>
      <c r="G2051" s="16"/>
    </row>
    <row r="2052" spans="1:7" ht="15.75" x14ac:dyDescent="0.25">
      <c r="A2052" s="17"/>
      <c r="B2052" s="18"/>
      <c r="C2052" s="18"/>
      <c r="D2052" s="18"/>
      <c r="E2052" s="18"/>
      <c r="F2052" s="18"/>
      <c r="G2052" s="18"/>
    </row>
    <row r="2053" spans="1:7" ht="15.75" x14ac:dyDescent="0.25">
      <c r="A2053" s="17"/>
      <c r="B2053" s="18"/>
      <c r="C2053" s="18"/>
      <c r="D2053" s="18"/>
      <c r="E2053" s="18"/>
      <c r="F2053" s="18"/>
      <c r="G2053" s="18"/>
    </row>
    <row r="2054" spans="1:7" ht="15.75" x14ac:dyDescent="0.25">
      <c r="A2054" s="20" t="s">
        <v>22</v>
      </c>
      <c r="B2054" s="21" t="s">
        <v>23</v>
      </c>
      <c r="C2054" s="22"/>
      <c r="D2054" s="21" t="s">
        <v>24</v>
      </c>
      <c r="E2054" s="22"/>
      <c r="F2054" s="59" t="s">
        <v>25</v>
      </c>
      <c r="G2054" s="60" t="s">
        <v>26</v>
      </c>
    </row>
    <row r="2055" spans="1:7" ht="15.75" x14ac:dyDescent="0.25">
      <c r="A2055" s="23" t="s">
        <v>27</v>
      </c>
      <c r="B2055" s="24" t="s">
        <v>28</v>
      </c>
      <c r="C2055" s="24" t="s">
        <v>29</v>
      </c>
      <c r="D2055" s="24" t="s">
        <v>28</v>
      </c>
      <c r="E2055" s="24" t="s">
        <v>30</v>
      </c>
      <c r="F2055" s="58" t="s">
        <v>31</v>
      </c>
      <c r="G2055" s="61" t="s">
        <v>31</v>
      </c>
    </row>
    <row r="2056" spans="1:7" ht="15.75" x14ac:dyDescent="0.25">
      <c r="A2056" s="25" t="s">
        <v>32</v>
      </c>
      <c r="B2056" s="26">
        <v>2.4868995751603507E-14</v>
      </c>
      <c r="C2056" s="27">
        <v>0</v>
      </c>
      <c r="D2056" s="28">
        <v>0</v>
      </c>
      <c r="E2056" s="27">
        <v>0</v>
      </c>
      <c r="F2056" s="29">
        <v>0</v>
      </c>
      <c r="G2056" s="27">
        <v>0</v>
      </c>
    </row>
    <row r="2057" spans="1:7" ht="15.75" x14ac:dyDescent="0.25">
      <c r="A2057" s="30">
        <v>201</v>
      </c>
      <c r="B2057" s="26">
        <v>19.934999999999999</v>
      </c>
      <c r="C2057" s="27">
        <v>197.02</v>
      </c>
      <c r="D2057" s="31">
        <v>5.8999999999999997E-2</v>
      </c>
      <c r="E2057" s="27">
        <v>2.0499999999999998</v>
      </c>
      <c r="F2057" s="27">
        <v>464.68</v>
      </c>
      <c r="G2057" s="27">
        <v>664</v>
      </c>
    </row>
    <row r="2058" spans="1:7" ht="15.75" x14ac:dyDescent="0.25">
      <c r="A2058" s="30">
        <v>202</v>
      </c>
      <c r="B2058" s="26">
        <v>46.366</v>
      </c>
      <c r="C2058" s="27">
        <v>366.97</v>
      </c>
      <c r="D2058" s="28">
        <v>4.8220000000000001</v>
      </c>
      <c r="E2058" s="27">
        <v>167.44</v>
      </c>
      <c r="F2058" s="27">
        <v>464.68</v>
      </c>
      <c r="G2058" s="27">
        <v>1000</v>
      </c>
    </row>
    <row r="2059" spans="1:7" ht="15.75" x14ac:dyDescent="0.25">
      <c r="A2059" s="30">
        <v>301</v>
      </c>
      <c r="B2059" s="26">
        <v>18.869</v>
      </c>
      <c r="C2059" s="27">
        <v>190.16</v>
      </c>
      <c r="D2059" s="28">
        <v>2.8210000000000002</v>
      </c>
      <c r="E2059" s="27">
        <v>97.96</v>
      </c>
      <c r="F2059" s="27">
        <v>464.68</v>
      </c>
      <c r="G2059" s="27">
        <v>753</v>
      </c>
    </row>
    <row r="2060" spans="1:7" ht="15.75" x14ac:dyDescent="0.25">
      <c r="A2060" s="30">
        <v>302</v>
      </c>
      <c r="B2060" s="26">
        <v>26.527999999999999</v>
      </c>
      <c r="C2060" s="27">
        <v>239.41</v>
      </c>
      <c r="D2060" s="28">
        <v>2.694</v>
      </c>
      <c r="E2060" s="27">
        <v>93.55</v>
      </c>
      <c r="F2060" s="27">
        <v>464.68</v>
      </c>
      <c r="G2060" s="27">
        <v>798</v>
      </c>
    </row>
    <row r="2061" spans="1:7" ht="15.75" x14ac:dyDescent="0.25">
      <c r="A2061" s="30">
        <v>401</v>
      </c>
      <c r="B2061" s="26">
        <v>22.443999999999999</v>
      </c>
      <c r="C2061" s="27">
        <v>213.15</v>
      </c>
      <c r="D2061" s="28">
        <v>1.768</v>
      </c>
      <c r="E2061" s="27">
        <v>61.39</v>
      </c>
      <c r="F2061" s="27">
        <v>464.68</v>
      </c>
      <c r="G2061" s="27">
        <v>740</v>
      </c>
    </row>
    <row r="2062" spans="1:7" ht="15.75" x14ac:dyDescent="0.25">
      <c r="A2062" s="30">
        <v>402</v>
      </c>
      <c r="B2062" s="26">
        <v>22.527000000000001</v>
      </c>
      <c r="C2062" s="27">
        <v>213.68</v>
      </c>
      <c r="D2062" s="28">
        <v>3.93</v>
      </c>
      <c r="E2062" s="27">
        <v>136.47</v>
      </c>
      <c r="F2062" s="27">
        <v>464.68</v>
      </c>
      <c r="G2062" s="27">
        <v>815</v>
      </c>
    </row>
    <row r="2063" spans="1:7" ht="15.75" x14ac:dyDescent="0.25">
      <c r="A2063" s="30">
        <v>501</v>
      </c>
      <c r="B2063" s="26">
        <v>15.032</v>
      </c>
      <c r="C2063" s="27">
        <v>165.49</v>
      </c>
      <c r="D2063" s="28">
        <v>0.76900000000000002</v>
      </c>
      <c r="E2063" s="27">
        <v>26.7</v>
      </c>
      <c r="F2063" s="27">
        <v>464.68</v>
      </c>
      <c r="G2063" s="27">
        <v>657</v>
      </c>
    </row>
    <row r="2064" spans="1:7" ht="15.75" x14ac:dyDescent="0.25">
      <c r="A2064" s="30">
        <v>502</v>
      </c>
      <c r="B2064" s="26">
        <v>14.396000000000001</v>
      </c>
      <c r="C2064" s="27">
        <v>161.4</v>
      </c>
      <c r="D2064" s="28">
        <v>1.4750000000000001</v>
      </c>
      <c r="E2064" s="27">
        <v>51.22</v>
      </c>
      <c r="F2064" s="27">
        <v>464.68</v>
      </c>
      <c r="G2064" s="27">
        <v>678</v>
      </c>
    </row>
    <row r="2065" spans="1:7" ht="15.75" x14ac:dyDescent="0.25">
      <c r="A2065" s="30">
        <v>601</v>
      </c>
      <c r="B2065" s="26">
        <v>7.0940000000000003</v>
      </c>
      <c r="C2065" s="27">
        <v>114.45</v>
      </c>
      <c r="D2065" s="28">
        <v>0.85599999999999998</v>
      </c>
      <c r="E2065" s="27">
        <v>29.72</v>
      </c>
      <c r="F2065" s="27">
        <v>464.68</v>
      </c>
      <c r="G2065" s="27">
        <v>609</v>
      </c>
    </row>
    <row r="2066" spans="1:7" ht="15.75" x14ac:dyDescent="0.25">
      <c r="A2066" s="30">
        <v>602</v>
      </c>
      <c r="B2066" s="26">
        <v>3.9350000000000001</v>
      </c>
      <c r="C2066" s="27">
        <v>94.14</v>
      </c>
      <c r="D2066" s="28">
        <v>1.8180000000000001</v>
      </c>
      <c r="E2066" s="27">
        <v>63.13</v>
      </c>
      <c r="F2066" s="27">
        <v>464.68</v>
      </c>
      <c r="G2066" s="27">
        <v>622</v>
      </c>
    </row>
    <row r="2067" spans="1:7" ht="15.75" x14ac:dyDescent="0.25">
      <c r="A2067" s="30">
        <v>701</v>
      </c>
      <c r="B2067" s="26">
        <v>9.9450000000000003</v>
      </c>
      <c r="C2067" s="27">
        <v>132.78</v>
      </c>
      <c r="D2067" s="28">
        <v>0.42599999999999999</v>
      </c>
      <c r="E2067" s="27">
        <v>14.79</v>
      </c>
      <c r="F2067" s="27">
        <v>464.68</v>
      </c>
      <c r="G2067" s="27">
        <v>613</v>
      </c>
    </row>
    <row r="2068" spans="1:7" ht="15.75" x14ac:dyDescent="0.25">
      <c r="A2068" s="30">
        <v>702</v>
      </c>
      <c r="B2068" s="26">
        <v>3.6539999999999999</v>
      </c>
      <c r="C2068" s="27">
        <v>92.33</v>
      </c>
      <c r="D2068" s="28">
        <v>1.4850000000000001</v>
      </c>
      <c r="E2068" s="27">
        <v>51.57</v>
      </c>
      <c r="F2068" s="27">
        <v>464.68</v>
      </c>
      <c r="G2068" s="27">
        <v>609</v>
      </c>
    </row>
    <row r="2069" spans="1:7" ht="15.75" x14ac:dyDescent="0.25">
      <c r="A2069" s="30">
        <v>801</v>
      </c>
      <c r="B2069" s="26">
        <v>7.2590000000000003</v>
      </c>
      <c r="C2069" s="27">
        <v>115.51</v>
      </c>
      <c r="D2069" s="28">
        <v>0</v>
      </c>
      <c r="E2069" s="27">
        <v>0</v>
      </c>
      <c r="F2069" s="27">
        <v>464.68</v>
      </c>
      <c r="G2069" s="27">
        <v>581</v>
      </c>
    </row>
    <row r="2070" spans="1:7" ht="15.75" x14ac:dyDescent="0.25">
      <c r="A2070" s="30">
        <v>802</v>
      </c>
      <c r="B2070" s="26">
        <v>11.718999999999999</v>
      </c>
      <c r="C2070" s="27">
        <v>144.19</v>
      </c>
      <c r="D2070" s="28">
        <v>1.4690000000000001</v>
      </c>
      <c r="E2070" s="27">
        <v>51.01</v>
      </c>
      <c r="F2070" s="63">
        <v>464.68</v>
      </c>
      <c r="G2070" s="63">
        <v>660</v>
      </c>
    </row>
    <row r="2072" spans="1:7" x14ac:dyDescent="0.25">
      <c r="A2072" s="32"/>
      <c r="B2072" s="7"/>
      <c r="C2072" s="7"/>
      <c r="D2072" s="7"/>
      <c r="E2072" s="7"/>
      <c r="F2072" s="7"/>
      <c r="G2072" s="33"/>
    </row>
    <row r="2073" spans="1:7" x14ac:dyDescent="0.25">
      <c r="A2073" s="32"/>
      <c r="B2073" s="7"/>
      <c r="C2073" s="7"/>
      <c r="D2073" s="7"/>
      <c r="E2073" s="7"/>
      <c r="F2073" s="7"/>
      <c r="G2073" s="33"/>
    </row>
    <row r="2074" spans="1:7" x14ac:dyDescent="0.25">
      <c r="A2074" s="32"/>
      <c r="B2074" s="7"/>
      <c r="C2074" s="7"/>
      <c r="D2074" s="7"/>
      <c r="E2074" s="7"/>
      <c r="F2074" s="7"/>
      <c r="G2074" s="33"/>
    </row>
    <row r="2076" spans="1:7" ht="15.75" x14ac:dyDescent="0.25">
      <c r="A2076" s="34" t="s">
        <v>337</v>
      </c>
      <c r="B2076" s="35"/>
      <c r="C2076" s="35"/>
      <c r="D2076" s="35"/>
      <c r="E2076" s="35"/>
      <c r="F2076" s="36"/>
      <c r="G2076" s="72">
        <v>25469.659999999996</v>
      </c>
    </row>
    <row r="2077" spans="1:7" ht="15.75" x14ac:dyDescent="0.25">
      <c r="A2077" s="37" t="s">
        <v>338</v>
      </c>
      <c r="B2077" s="38"/>
      <c r="C2077" s="38"/>
      <c r="D2077" s="38"/>
      <c r="E2077" s="38"/>
      <c r="F2077" s="39"/>
      <c r="G2077" s="72">
        <v>4200</v>
      </c>
    </row>
    <row r="2078" spans="1:7" ht="15.75" x14ac:dyDescent="0.25">
      <c r="A2078" s="37" t="s">
        <v>325</v>
      </c>
      <c r="B2078" s="38"/>
      <c r="C2078" s="38"/>
      <c r="D2078" s="38"/>
      <c r="E2078" s="38"/>
      <c r="F2078" s="39"/>
      <c r="G2078" s="72">
        <v>-1790.44</v>
      </c>
    </row>
    <row r="2079" spans="1:7" ht="15.75" x14ac:dyDescent="0.25">
      <c r="A2079" s="34" t="s">
        <v>339</v>
      </c>
      <c r="B2079" s="35"/>
      <c r="C2079" s="35"/>
      <c r="D2079" s="35"/>
      <c r="E2079" s="35"/>
      <c r="F2079" s="36"/>
      <c r="G2079" s="72">
        <f>SUM(G2076:G2078)</f>
        <v>27879.219999999998</v>
      </c>
    </row>
    <row r="2080" spans="1:7" ht="18.75" x14ac:dyDescent="0.3">
      <c r="A2080" s="40"/>
      <c r="B2080" s="40"/>
      <c r="C2080" s="40"/>
      <c r="D2080" s="40"/>
      <c r="E2080" s="40"/>
      <c r="F2080" s="40"/>
      <c r="G2080" s="40"/>
    </row>
    <row r="2081" spans="1:9" ht="31.5" customHeight="1" x14ac:dyDescent="0.25">
      <c r="A2081" s="85" t="s">
        <v>54</v>
      </c>
      <c r="B2081" s="86"/>
      <c r="C2081" s="86"/>
      <c r="D2081" s="86"/>
      <c r="E2081" s="86"/>
      <c r="F2081" s="86"/>
      <c r="G2081" s="87"/>
    </row>
    <row r="2082" spans="1:9" ht="15.75" x14ac:dyDescent="0.25">
      <c r="A2082" s="41" t="s">
        <v>36</v>
      </c>
      <c r="B2082" s="42"/>
      <c r="C2082" s="42"/>
      <c r="D2082" s="42"/>
      <c r="E2082" s="42"/>
      <c r="F2082" s="42"/>
      <c r="G2082" s="43"/>
    </row>
    <row r="2083" spans="1:9" ht="15.75" x14ac:dyDescent="0.25">
      <c r="A2083" s="44" t="s">
        <v>37</v>
      </c>
      <c r="B2083" s="45"/>
      <c r="C2083" s="45"/>
      <c r="D2083" s="45"/>
      <c r="E2083" s="45"/>
      <c r="F2083" s="45"/>
      <c r="G2083" s="46"/>
    </row>
    <row r="2084" spans="1:9" ht="15.75" x14ac:dyDescent="0.25">
      <c r="A2084" s="47"/>
      <c r="B2084" s="47"/>
      <c r="C2084" s="47"/>
      <c r="D2084" s="47"/>
      <c r="E2084" s="47"/>
      <c r="F2084" s="47"/>
      <c r="G2084" s="47"/>
    </row>
    <row r="2085" spans="1:9" ht="15.75" x14ac:dyDescent="0.25">
      <c r="A2085" s="48" t="s">
        <v>50</v>
      </c>
      <c r="B2085" s="49"/>
      <c r="C2085" s="49"/>
      <c r="D2085" s="49"/>
      <c r="E2085" s="49"/>
      <c r="F2085" s="49"/>
      <c r="G2085" s="50"/>
    </row>
    <row r="2086" spans="1:9" ht="15.75" x14ac:dyDescent="0.25">
      <c r="A2086" s="47"/>
      <c r="B2086" s="47"/>
      <c r="C2086" s="47"/>
      <c r="D2086" s="47"/>
      <c r="E2086" s="47"/>
      <c r="F2086" s="47"/>
      <c r="G2086" s="47"/>
    </row>
    <row r="2087" spans="1:9" ht="15.75" x14ac:dyDescent="0.25">
      <c r="A2087" s="47"/>
      <c r="B2087" s="47"/>
      <c r="C2087" s="47"/>
      <c r="D2087" s="47"/>
      <c r="E2087" s="47"/>
      <c r="F2087" s="47"/>
      <c r="G2087" s="47"/>
    </row>
    <row r="2088" spans="1:9" ht="15.75" x14ac:dyDescent="0.25">
      <c r="A2088" s="47"/>
      <c r="B2088" s="47"/>
      <c r="C2088" s="47"/>
      <c r="D2088" s="47"/>
      <c r="E2088" s="47"/>
      <c r="F2088" s="47"/>
      <c r="G2088" s="47"/>
    </row>
    <row r="2096" spans="1:9" ht="21" x14ac:dyDescent="0.35">
      <c r="A2096" s="88" t="s">
        <v>20</v>
      </c>
      <c r="B2096" s="89"/>
      <c r="C2096" s="89"/>
      <c r="D2096" s="89"/>
      <c r="E2096" s="89"/>
      <c r="F2096" s="89"/>
      <c r="G2096" s="90"/>
      <c r="H2096" s="56"/>
      <c r="I2096" s="56"/>
    </row>
    <row r="2098" spans="1:9" ht="17.25" x14ac:dyDescent="0.3">
      <c r="A2098" s="51" t="s">
        <v>340</v>
      </c>
      <c r="B2098" s="51"/>
      <c r="C2098" s="51"/>
      <c r="D2098" s="51"/>
      <c r="E2098" s="51"/>
      <c r="F2098" s="51"/>
      <c r="G2098" s="51"/>
      <c r="H2098" s="51"/>
      <c r="I2098" s="51"/>
    </row>
    <row r="2099" spans="1:9" ht="17.25" x14ac:dyDescent="0.3">
      <c r="A2099" s="51"/>
      <c r="B2099" s="51"/>
      <c r="C2099" s="51"/>
      <c r="D2099" s="51"/>
      <c r="E2099" s="51"/>
      <c r="F2099" s="51"/>
      <c r="G2099" s="51"/>
      <c r="H2099" s="51"/>
      <c r="I2099" s="51"/>
    </row>
    <row r="2100" spans="1:9" ht="17.25" x14ac:dyDescent="0.3">
      <c r="A2100" s="51" t="s">
        <v>341</v>
      </c>
      <c r="B2100" s="51"/>
      <c r="C2100" s="51"/>
      <c r="D2100" s="51"/>
      <c r="E2100" s="51"/>
      <c r="F2100" s="51"/>
      <c r="G2100" s="51"/>
      <c r="H2100" s="51"/>
      <c r="I2100" s="51"/>
    </row>
    <row r="2101" spans="1:9" ht="17.25" x14ac:dyDescent="0.3">
      <c r="A2101" s="51"/>
      <c r="B2101" s="51"/>
      <c r="C2101" s="51"/>
      <c r="D2101" s="51"/>
      <c r="E2101" s="51"/>
      <c r="F2101" s="51"/>
      <c r="G2101" s="51"/>
      <c r="H2101" s="51"/>
      <c r="I2101" s="51"/>
    </row>
    <row r="2102" spans="1:9" ht="17.25" x14ac:dyDescent="0.3">
      <c r="A2102" s="51" t="s">
        <v>342</v>
      </c>
      <c r="B2102" s="51"/>
      <c r="C2102" s="51"/>
      <c r="D2102" s="51"/>
      <c r="E2102" s="51"/>
      <c r="F2102" s="51"/>
      <c r="G2102" s="51"/>
      <c r="H2102" s="51"/>
      <c r="I2102" s="51"/>
    </row>
    <row r="2103" spans="1:9" ht="17.25" x14ac:dyDescent="0.3">
      <c r="A2103" s="51"/>
      <c r="B2103" s="51"/>
      <c r="C2103" s="51"/>
      <c r="D2103" s="51"/>
      <c r="E2103" s="51"/>
      <c r="F2103" s="51"/>
      <c r="G2103" s="51"/>
      <c r="H2103" s="51"/>
      <c r="I2103" s="51"/>
    </row>
    <row r="2104" spans="1:9" ht="17.25" x14ac:dyDescent="0.3">
      <c r="A2104" s="51" t="s">
        <v>40</v>
      </c>
      <c r="B2104" s="51"/>
      <c r="C2104" s="51"/>
      <c r="D2104" s="51"/>
      <c r="E2104" s="51"/>
      <c r="F2104" s="51"/>
      <c r="G2104" s="51"/>
      <c r="H2104" s="51"/>
      <c r="I2104" s="51"/>
    </row>
    <row r="2105" spans="1:9" ht="17.25" x14ac:dyDescent="0.3">
      <c r="A2105" s="51"/>
      <c r="B2105" s="51"/>
      <c r="C2105" s="51"/>
      <c r="D2105" s="51"/>
      <c r="E2105" s="51"/>
      <c r="F2105" s="51"/>
      <c r="G2105" s="51"/>
      <c r="H2105" s="51"/>
      <c r="I2105" s="51"/>
    </row>
    <row r="2106" spans="1:9" ht="33" customHeight="1" x14ac:dyDescent="0.3">
      <c r="A2106" s="91" t="s">
        <v>343</v>
      </c>
      <c r="B2106" s="91"/>
      <c r="C2106" s="91"/>
      <c r="D2106" s="91"/>
      <c r="E2106" s="91"/>
      <c r="F2106" s="91"/>
      <c r="G2106" s="91"/>
      <c r="H2106" s="55"/>
      <c r="I2106" s="55"/>
    </row>
    <row r="2107" spans="1:9" ht="17.25" x14ac:dyDescent="0.3">
      <c r="A2107" s="51"/>
      <c r="B2107" s="51"/>
      <c r="C2107" s="51"/>
      <c r="D2107" s="51"/>
      <c r="E2107" s="51"/>
      <c r="F2107" s="51"/>
      <c r="G2107" s="51"/>
      <c r="H2107" s="51"/>
      <c r="I2107" s="51"/>
    </row>
    <row r="2108" spans="1:9" ht="33" customHeight="1" x14ac:dyDescent="0.3">
      <c r="A2108" s="91" t="s">
        <v>344</v>
      </c>
      <c r="B2108" s="91"/>
      <c r="C2108" s="91"/>
      <c r="D2108" s="91"/>
      <c r="E2108" s="91"/>
      <c r="F2108" s="91"/>
      <c r="G2108" s="91"/>
      <c r="H2108" s="55"/>
      <c r="I2108" s="55"/>
    </row>
    <row r="2109" spans="1:9" ht="17.25" x14ac:dyDescent="0.3">
      <c r="A2109" s="51"/>
      <c r="B2109" s="51"/>
      <c r="C2109" s="51"/>
      <c r="D2109" s="51"/>
      <c r="E2109" s="51"/>
      <c r="F2109" s="51"/>
      <c r="G2109" s="51"/>
      <c r="H2109" s="51"/>
      <c r="I2109" s="51"/>
    </row>
    <row r="2110" spans="1:9" ht="33" customHeight="1" x14ac:dyDescent="0.3">
      <c r="A2110" s="91" t="s">
        <v>345</v>
      </c>
      <c r="B2110" s="91"/>
      <c r="C2110" s="91"/>
      <c r="D2110" s="91"/>
      <c r="E2110" s="91"/>
      <c r="F2110" s="91"/>
      <c r="G2110" s="91"/>
      <c r="H2110" s="55"/>
      <c r="I2110" s="55"/>
    </row>
    <row r="2112" spans="1:9" ht="18.75" x14ac:dyDescent="0.3">
      <c r="A2112" s="1" t="s">
        <v>346</v>
      </c>
      <c r="B2112" s="2"/>
      <c r="C2112" s="2"/>
      <c r="D2112" s="2"/>
      <c r="E2112" s="2"/>
      <c r="F2112" s="2"/>
      <c r="G2112" s="53"/>
    </row>
    <row r="2113" spans="1:7" ht="15.75" x14ac:dyDescent="0.25">
      <c r="A2113" s="3" t="s">
        <v>1</v>
      </c>
      <c r="B2113" s="3" t="s">
        <v>2</v>
      </c>
      <c r="C2113" s="4" t="s">
        <v>3</v>
      </c>
      <c r="D2113" s="4"/>
      <c r="E2113" s="4"/>
      <c r="F2113" s="4"/>
      <c r="G2113" s="62" t="s">
        <v>30</v>
      </c>
    </row>
    <row r="2114" spans="1:7" ht="15.75" x14ac:dyDescent="0.25">
      <c r="A2114" s="5">
        <v>45698</v>
      </c>
      <c r="B2114" s="6" t="s">
        <v>4</v>
      </c>
      <c r="C2114" s="7" t="s">
        <v>5</v>
      </c>
      <c r="D2114" s="7"/>
      <c r="E2114" s="7"/>
      <c r="F2114" s="7"/>
      <c r="G2114" s="52">
        <v>1342.9463000000001</v>
      </c>
    </row>
    <row r="2115" spans="1:7" ht="15.75" x14ac:dyDescent="0.25">
      <c r="A2115" s="5">
        <v>45705</v>
      </c>
      <c r="B2115" s="6" t="s">
        <v>4</v>
      </c>
      <c r="C2115" s="7" t="s">
        <v>61</v>
      </c>
      <c r="D2115" s="7"/>
      <c r="E2115" s="7"/>
      <c r="F2115" s="7"/>
      <c r="G2115" s="52">
        <v>1138.6500000000001</v>
      </c>
    </row>
    <row r="2116" spans="1:7" ht="15.75" x14ac:dyDescent="0.25">
      <c r="A2116" s="5">
        <v>45705</v>
      </c>
      <c r="B2116" s="6" t="s">
        <v>4</v>
      </c>
      <c r="C2116" s="7" t="s">
        <v>8</v>
      </c>
      <c r="D2116" s="7"/>
      <c r="E2116" s="7"/>
      <c r="F2116" s="7"/>
      <c r="G2116" s="52">
        <v>380.55999999999995</v>
      </c>
    </row>
    <row r="2117" spans="1:7" ht="15.75" x14ac:dyDescent="0.25">
      <c r="A2117" s="5">
        <v>45705</v>
      </c>
      <c r="B2117" s="6" t="s">
        <v>4</v>
      </c>
      <c r="C2117" s="7" t="s">
        <v>9</v>
      </c>
      <c r="D2117" s="7"/>
      <c r="E2117" s="7"/>
      <c r="F2117" s="7"/>
      <c r="G2117" s="52">
        <v>366.15</v>
      </c>
    </row>
    <row r="2118" spans="1:7" ht="15.75" x14ac:dyDescent="0.25">
      <c r="A2118" s="5">
        <v>45708</v>
      </c>
      <c r="B2118" s="6" t="s">
        <v>4</v>
      </c>
      <c r="C2118" s="7" t="s">
        <v>47</v>
      </c>
      <c r="D2118" s="7"/>
      <c r="E2118" s="7"/>
      <c r="F2118" s="7"/>
      <c r="G2118" s="52">
        <v>210.64000000000001</v>
      </c>
    </row>
    <row r="2119" spans="1:7" ht="15.75" x14ac:dyDescent="0.25">
      <c r="A2119" s="5">
        <v>45688</v>
      </c>
      <c r="B2119" s="6" t="s">
        <v>4</v>
      </c>
      <c r="C2119" s="7" t="s">
        <v>348</v>
      </c>
      <c r="D2119" s="7"/>
      <c r="E2119" s="7"/>
      <c r="F2119" s="7"/>
      <c r="G2119" s="52">
        <v>85.8</v>
      </c>
    </row>
    <row r="2120" spans="1:7" ht="15.75" x14ac:dyDescent="0.25">
      <c r="A2120" s="5">
        <v>45684</v>
      </c>
      <c r="B2120" s="6" t="s">
        <v>4</v>
      </c>
      <c r="C2120" s="7" t="s">
        <v>12</v>
      </c>
      <c r="D2120" s="7"/>
      <c r="E2120" s="7"/>
      <c r="F2120" s="7"/>
      <c r="G2120" s="52">
        <v>224.69</v>
      </c>
    </row>
    <row r="2121" spans="1:7" ht="15.75" x14ac:dyDescent="0.25">
      <c r="A2121" s="5">
        <v>45716</v>
      </c>
      <c r="B2121" s="6" t="s">
        <v>4</v>
      </c>
      <c r="C2121" s="7" t="s">
        <v>14</v>
      </c>
      <c r="D2121" s="7"/>
      <c r="E2121" s="7"/>
      <c r="F2121" s="7"/>
      <c r="G2121" s="52">
        <v>141</v>
      </c>
    </row>
    <row r="2122" spans="1:7" ht="15.75" customHeight="1" x14ac:dyDescent="0.25">
      <c r="A2122" s="8">
        <v>45691</v>
      </c>
      <c r="B2122" s="54" t="s">
        <v>4</v>
      </c>
      <c r="C2122" s="32" t="s">
        <v>15</v>
      </c>
      <c r="D2122" s="67"/>
      <c r="E2122" s="67"/>
      <c r="F2122" s="68"/>
      <c r="G2122" s="52">
        <v>65</v>
      </c>
    </row>
    <row r="2123" spans="1:7" ht="21" x14ac:dyDescent="0.35">
      <c r="A2123" s="9" t="s">
        <v>16</v>
      </c>
      <c r="B2123" s="10"/>
      <c r="C2123" s="11"/>
      <c r="D2123" s="11"/>
      <c r="E2123" s="11"/>
      <c r="F2123" s="11"/>
      <c r="G2123" s="12">
        <f>SUM(G2114:G2122)</f>
        <v>3955.4363000000003</v>
      </c>
    </row>
    <row r="2124" spans="1:7" ht="21" x14ac:dyDescent="0.35">
      <c r="A2124" s="13" t="s">
        <v>17</v>
      </c>
      <c r="B2124" s="11"/>
      <c r="C2124" s="11"/>
      <c r="D2124" s="11"/>
      <c r="E2124" s="11"/>
      <c r="F2124" s="11"/>
      <c r="G2124" s="14">
        <f>ROUND(G2123/14,2)</f>
        <v>282.52999999999997</v>
      </c>
    </row>
    <row r="2125" spans="1:7" ht="21" x14ac:dyDescent="0.35">
      <c r="A2125" s="13" t="s">
        <v>74</v>
      </c>
      <c r="B2125" s="11"/>
      <c r="C2125" s="11"/>
      <c r="D2125" s="11"/>
      <c r="E2125" s="11"/>
      <c r="F2125" s="11"/>
      <c r="G2125" s="14">
        <f>ROUND(G2124/13,2)</f>
        <v>21.73</v>
      </c>
    </row>
    <row r="2126" spans="1:7" ht="21" x14ac:dyDescent="0.35">
      <c r="A2126" s="13" t="s">
        <v>196</v>
      </c>
      <c r="B2126" s="11"/>
      <c r="C2126" s="11"/>
      <c r="D2126" s="11"/>
      <c r="E2126" s="11"/>
      <c r="F2126" s="11"/>
      <c r="G2126" s="14">
        <v>150</v>
      </c>
    </row>
    <row r="2127" spans="1:7" ht="21" x14ac:dyDescent="0.35">
      <c r="A2127" s="13" t="s">
        <v>19</v>
      </c>
      <c r="B2127" s="11"/>
      <c r="C2127" s="11"/>
      <c r="D2127" s="11"/>
      <c r="E2127" s="11"/>
      <c r="F2127" s="11"/>
      <c r="G2127" s="12">
        <f>G2124+G2125+G2126</f>
        <v>454.26</v>
      </c>
    </row>
    <row r="2137" spans="1:7" ht="21" x14ac:dyDescent="0.35">
      <c r="A2137" s="88" t="s">
        <v>20</v>
      </c>
      <c r="B2137" s="89"/>
      <c r="C2137" s="89"/>
      <c r="D2137" s="89"/>
      <c r="E2137" s="89"/>
      <c r="F2137" s="89"/>
      <c r="G2137" s="90"/>
    </row>
    <row r="2138" spans="1:7" ht="18.75" x14ac:dyDescent="0.25">
      <c r="A2138" s="19" t="s">
        <v>347</v>
      </c>
      <c r="B2138" s="15"/>
      <c r="C2138" s="15"/>
      <c r="D2138" s="15"/>
      <c r="E2138" s="15"/>
      <c r="F2138" s="15"/>
      <c r="G2138" s="16"/>
    </row>
    <row r="2139" spans="1:7" ht="15.75" x14ac:dyDescent="0.25">
      <c r="A2139" s="17"/>
      <c r="B2139" s="18"/>
      <c r="C2139" s="18"/>
      <c r="D2139" s="18"/>
      <c r="E2139" s="18"/>
      <c r="F2139" s="18"/>
      <c r="G2139" s="18"/>
    </row>
    <row r="2140" spans="1:7" ht="15.75" x14ac:dyDescent="0.25">
      <c r="A2140" s="17"/>
      <c r="B2140" s="18"/>
      <c r="C2140" s="18"/>
      <c r="D2140" s="18"/>
      <c r="E2140" s="18"/>
      <c r="F2140" s="18"/>
      <c r="G2140" s="18"/>
    </row>
    <row r="2141" spans="1:7" ht="15.75" x14ac:dyDescent="0.25">
      <c r="A2141" s="20" t="s">
        <v>22</v>
      </c>
      <c r="B2141" s="21" t="s">
        <v>23</v>
      </c>
      <c r="C2141" s="22"/>
      <c r="D2141" s="21" t="s">
        <v>24</v>
      </c>
      <c r="E2141" s="22"/>
      <c r="F2141" s="59" t="s">
        <v>25</v>
      </c>
      <c r="G2141" s="60" t="s">
        <v>26</v>
      </c>
    </row>
    <row r="2142" spans="1:7" ht="15.75" x14ac:dyDescent="0.25">
      <c r="A2142" s="23" t="s">
        <v>27</v>
      </c>
      <c r="B2142" s="24" t="s">
        <v>28</v>
      </c>
      <c r="C2142" s="24" t="s">
        <v>29</v>
      </c>
      <c r="D2142" s="24" t="s">
        <v>28</v>
      </c>
      <c r="E2142" s="24" t="s">
        <v>30</v>
      </c>
      <c r="F2142" s="58" t="s">
        <v>31</v>
      </c>
      <c r="G2142" s="61" t="s">
        <v>31</v>
      </c>
    </row>
    <row r="2143" spans="1:7" ht="15.75" x14ac:dyDescent="0.25">
      <c r="A2143" s="25" t="s">
        <v>32</v>
      </c>
      <c r="B2143" s="26">
        <v>35.003000000000043</v>
      </c>
      <c r="C2143" s="27">
        <v>380.55999999999995</v>
      </c>
      <c r="D2143" s="28">
        <v>0</v>
      </c>
      <c r="E2143" s="27">
        <v>0</v>
      </c>
      <c r="F2143" s="29">
        <v>0</v>
      </c>
      <c r="G2143" s="27">
        <v>0</v>
      </c>
    </row>
    <row r="2144" spans="1:7" ht="15.75" x14ac:dyDescent="0.25">
      <c r="A2144" s="30">
        <v>201</v>
      </c>
      <c r="B2144" s="26">
        <v>18.268999999999998</v>
      </c>
      <c r="C2144" s="27">
        <v>251.3</v>
      </c>
      <c r="D2144" s="31">
        <v>4.4999999999999998E-2</v>
      </c>
      <c r="E2144" s="27">
        <v>1.56</v>
      </c>
      <c r="F2144" s="27">
        <v>454.26</v>
      </c>
      <c r="G2144" s="27">
        <v>708</v>
      </c>
    </row>
    <row r="2145" spans="1:7" ht="15.75" x14ac:dyDescent="0.25">
      <c r="A2145" s="30">
        <v>202</v>
      </c>
      <c r="B2145" s="26">
        <v>47.747</v>
      </c>
      <c r="C2145" s="27">
        <v>478.87</v>
      </c>
      <c r="D2145" s="28">
        <v>4.3310000000000004</v>
      </c>
      <c r="E2145" s="27">
        <v>150.38999999999999</v>
      </c>
      <c r="F2145" s="27">
        <v>454.26</v>
      </c>
      <c r="G2145" s="27">
        <v>1084</v>
      </c>
    </row>
    <row r="2146" spans="1:7" ht="15.75" x14ac:dyDescent="0.25">
      <c r="A2146" s="30">
        <v>301</v>
      </c>
      <c r="B2146" s="26">
        <v>15.131</v>
      </c>
      <c r="C2146" s="27">
        <v>227.08</v>
      </c>
      <c r="D2146" s="28">
        <v>2.08</v>
      </c>
      <c r="E2146" s="27">
        <v>72.23</v>
      </c>
      <c r="F2146" s="27">
        <v>454.26</v>
      </c>
      <c r="G2146" s="27">
        <v>754</v>
      </c>
    </row>
    <row r="2147" spans="1:7" ht="15.75" x14ac:dyDescent="0.25">
      <c r="A2147" s="30">
        <v>302</v>
      </c>
      <c r="B2147" s="26">
        <v>28.949000000000002</v>
      </c>
      <c r="C2147" s="27">
        <v>333.75</v>
      </c>
      <c r="D2147" s="28">
        <v>3.5880000000000001</v>
      </c>
      <c r="E2147" s="27">
        <v>124.59</v>
      </c>
      <c r="F2147" s="27">
        <v>454.26</v>
      </c>
      <c r="G2147" s="27">
        <v>913</v>
      </c>
    </row>
    <row r="2148" spans="1:7" ht="15.75" x14ac:dyDescent="0.25">
      <c r="A2148" s="30">
        <v>401</v>
      </c>
      <c r="B2148" s="26">
        <v>21.466000000000001</v>
      </c>
      <c r="C2148" s="27">
        <v>275.98</v>
      </c>
      <c r="D2148" s="28">
        <v>2.1749999999999998</v>
      </c>
      <c r="E2148" s="27">
        <v>75.53</v>
      </c>
      <c r="F2148" s="27">
        <v>454.26</v>
      </c>
      <c r="G2148" s="27">
        <v>806</v>
      </c>
    </row>
    <row r="2149" spans="1:7" ht="15.75" x14ac:dyDescent="0.25">
      <c r="A2149" s="30">
        <v>402</v>
      </c>
      <c r="B2149" s="26">
        <v>27.97</v>
      </c>
      <c r="C2149" s="27">
        <v>326.19</v>
      </c>
      <c r="D2149" s="28">
        <v>4.7220000000000004</v>
      </c>
      <c r="E2149" s="27">
        <v>163.97</v>
      </c>
      <c r="F2149" s="27">
        <v>454.26</v>
      </c>
      <c r="G2149" s="27">
        <v>945</v>
      </c>
    </row>
    <row r="2150" spans="1:7" ht="15.75" x14ac:dyDescent="0.25">
      <c r="A2150" s="30">
        <v>501</v>
      </c>
      <c r="B2150" s="26">
        <v>16.7</v>
      </c>
      <c r="C2150" s="27">
        <v>239.19</v>
      </c>
      <c r="D2150" s="28">
        <v>0.88400000000000001</v>
      </c>
      <c r="E2150" s="27">
        <v>30.7</v>
      </c>
      <c r="F2150" s="27">
        <v>454.26</v>
      </c>
      <c r="G2150" s="27">
        <v>725</v>
      </c>
    </row>
    <row r="2151" spans="1:7" ht="15.75" x14ac:dyDescent="0.25">
      <c r="A2151" s="30">
        <v>502</v>
      </c>
      <c r="B2151" s="26">
        <v>15.891999999999999</v>
      </c>
      <c r="C2151" s="27">
        <v>232.95</v>
      </c>
      <c r="D2151" s="28">
        <v>1.877</v>
      </c>
      <c r="E2151" s="27">
        <v>65.180000000000007</v>
      </c>
      <c r="F2151" s="27">
        <v>454.26</v>
      </c>
      <c r="G2151" s="27">
        <v>753</v>
      </c>
    </row>
    <row r="2152" spans="1:7" ht="15.75" x14ac:dyDescent="0.25">
      <c r="A2152" s="30">
        <v>601</v>
      </c>
      <c r="B2152" s="26">
        <v>4.8170000000000002</v>
      </c>
      <c r="C2152" s="27">
        <v>147.44999999999999</v>
      </c>
      <c r="D2152" s="28">
        <v>0.628</v>
      </c>
      <c r="E2152" s="27">
        <v>21.81</v>
      </c>
      <c r="F2152" s="27">
        <v>454.26</v>
      </c>
      <c r="G2152" s="27">
        <v>624</v>
      </c>
    </row>
    <row r="2153" spans="1:7" ht="15.75" x14ac:dyDescent="0.25">
      <c r="A2153" s="30">
        <v>602</v>
      </c>
      <c r="B2153" s="26">
        <v>22.35</v>
      </c>
      <c r="C2153" s="27">
        <v>282.81</v>
      </c>
      <c r="D2153" s="28">
        <v>3.415</v>
      </c>
      <c r="E2153" s="27">
        <v>118.59</v>
      </c>
      <c r="F2153" s="27">
        <v>454.26</v>
      </c>
      <c r="G2153" s="27">
        <v>856</v>
      </c>
    </row>
    <row r="2154" spans="1:7" ht="15.75" x14ac:dyDescent="0.25">
      <c r="A2154" s="30">
        <v>701</v>
      </c>
      <c r="B2154" s="26">
        <v>14.845000000000001</v>
      </c>
      <c r="C2154" s="27">
        <v>224.87</v>
      </c>
      <c r="D2154" s="28">
        <v>1.103</v>
      </c>
      <c r="E2154" s="27">
        <v>38.299999999999997</v>
      </c>
      <c r="F2154" s="27">
        <v>454.26</v>
      </c>
      <c r="G2154" s="27">
        <v>718</v>
      </c>
    </row>
    <row r="2155" spans="1:7" ht="15.75" x14ac:dyDescent="0.25">
      <c r="A2155" s="30">
        <v>702</v>
      </c>
      <c r="B2155" s="26">
        <v>5.3150000000000004</v>
      </c>
      <c r="C2155" s="27">
        <v>151.30000000000001</v>
      </c>
      <c r="D2155" s="28">
        <v>2.4689999999999999</v>
      </c>
      <c r="E2155" s="27">
        <v>85.74</v>
      </c>
      <c r="F2155" s="27">
        <v>454.26</v>
      </c>
      <c r="G2155" s="27">
        <v>692</v>
      </c>
    </row>
    <row r="2156" spans="1:7" ht="15.75" x14ac:dyDescent="0.25">
      <c r="A2156" s="30">
        <v>801</v>
      </c>
      <c r="B2156" s="26">
        <v>4.718</v>
      </c>
      <c r="C2156" s="27">
        <v>146.69</v>
      </c>
      <c r="D2156" s="28">
        <v>0.109</v>
      </c>
      <c r="E2156" s="27">
        <v>3.79</v>
      </c>
      <c r="F2156" s="27">
        <v>454.26</v>
      </c>
      <c r="G2156" s="27">
        <v>605</v>
      </c>
    </row>
    <row r="2157" spans="1:7" ht="15.75" x14ac:dyDescent="0.25">
      <c r="A2157" s="30">
        <v>802</v>
      </c>
      <c r="B2157" s="26">
        <v>12.827999999999999</v>
      </c>
      <c r="C2157" s="27">
        <v>209.3</v>
      </c>
      <c r="D2157" s="28">
        <v>1.756</v>
      </c>
      <c r="E2157" s="27">
        <v>60.98</v>
      </c>
      <c r="F2157" s="63">
        <v>454.26</v>
      </c>
      <c r="G2157" s="63">
        <v>725</v>
      </c>
    </row>
    <row r="2159" spans="1:7" x14ac:dyDescent="0.25">
      <c r="A2159" s="32"/>
      <c r="B2159" s="7"/>
      <c r="C2159" s="7"/>
      <c r="D2159" s="7"/>
      <c r="E2159" s="7"/>
      <c r="F2159" s="7"/>
      <c r="G2159" s="33"/>
    </row>
    <row r="2160" spans="1:7" x14ac:dyDescent="0.25">
      <c r="A2160" s="32"/>
      <c r="B2160" s="7"/>
      <c r="C2160" s="7"/>
      <c r="D2160" s="7"/>
      <c r="E2160" s="7"/>
      <c r="F2160" s="7"/>
      <c r="G2160" s="33"/>
    </row>
    <row r="2161" spans="1:7" x14ac:dyDescent="0.25">
      <c r="A2161" s="32"/>
      <c r="B2161" s="7"/>
      <c r="C2161" s="7"/>
      <c r="D2161" s="7"/>
      <c r="E2161" s="7"/>
      <c r="F2161" s="7"/>
      <c r="G2161" s="33"/>
    </row>
    <row r="2163" spans="1:7" ht="15.75" x14ac:dyDescent="0.25">
      <c r="A2163" s="34" t="s">
        <v>349</v>
      </c>
      <c r="B2163" s="35"/>
      <c r="C2163" s="35"/>
      <c r="D2163" s="35"/>
      <c r="E2163" s="35"/>
      <c r="F2163" s="36"/>
      <c r="G2163" s="72">
        <v>27879.219999999998</v>
      </c>
    </row>
    <row r="2164" spans="1:7" ht="15.75" x14ac:dyDescent="0.25">
      <c r="A2164" s="37" t="s">
        <v>350</v>
      </c>
      <c r="B2164" s="38"/>
      <c r="C2164" s="38"/>
      <c r="D2164" s="38"/>
      <c r="E2164" s="38"/>
      <c r="F2164" s="39"/>
      <c r="G2164" s="72">
        <v>2100</v>
      </c>
    </row>
    <row r="2165" spans="1:7" ht="15.75" x14ac:dyDescent="0.25">
      <c r="A2165" s="37"/>
      <c r="B2165" s="38"/>
      <c r="C2165" s="38"/>
      <c r="D2165" s="38"/>
      <c r="E2165" s="38"/>
      <c r="F2165" s="39"/>
      <c r="G2165" s="72"/>
    </row>
    <row r="2166" spans="1:7" ht="15.75" x14ac:dyDescent="0.25">
      <c r="A2166" s="34" t="s">
        <v>351</v>
      </c>
      <c r="B2166" s="35"/>
      <c r="C2166" s="35"/>
      <c r="D2166" s="35"/>
      <c r="E2166" s="35"/>
      <c r="F2166" s="36"/>
      <c r="G2166" s="72">
        <f>SUM(G2163:G2165)</f>
        <v>29979.219999999998</v>
      </c>
    </row>
    <row r="2167" spans="1:7" ht="18.75" x14ac:dyDescent="0.3">
      <c r="A2167" s="40"/>
      <c r="B2167" s="40"/>
      <c r="C2167" s="40"/>
      <c r="D2167" s="40"/>
      <c r="E2167" s="40"/>
      <c r="F2167" s="40"/>
      <c r="G2167" s="40"/>
    </row>
    <row r="2168" spans="1:7" ht="31.5" customHeight="1" x14ac:dyDescent="0.25">
      <c r="A2168" s="85" t="s">
        <v>54</v>
      </c>
      <c r="B2168" s="86"/>
      <c r="C2168" s="86"/>
      <c r="D2168" s="86"/>
      <c r="E2168" s="86"/>
      <c r="F2168" s="86"/>
      <c r="G2168" s="87"/>
    </row>
    <row r="2169" spans="1:7" ht="15.75" x14ac:dyDescent="0.25">
      <c r="A2169" s="41" t="s">
        <v>36</v>
      </c>
      <c r="B2169" s="42"/>
      <c r="C2169" s="42"/>
      <c r="D2169" s="42"/>
      <c r="E2169" s="42"/>
      <c r="F2169" s="42"/>
      <c r="G2169" s="43"/>
    </row>
    <row r="2170" spans="1:7" ht="15.75" x14ac:dyDescent="0.25">
      <c r="A2170" s="44" t="s">
        <v>37</v>
      </c>
      <c r="B2170" s="45"/>
      <c r="C2170" s="45"/>
      <c r="D2170" s="45"/>
      <c r="E2170" s="45"/>
      <c r="F2170" s="45"/>
      <c r="G2170" s="46"/>
    </row>
    <row r="2171" spans="1:7" ht="15.75" x14ac:dyDescent="0.25">
      <c r="A2171" s="47"/>
      <c r="B2171" s="47"/>
      <c r="C2171" s="47"/>
      <c r="D2171" s="47"/>
      <c r="E2171" s="47"/>
      <c r="F2171" s="47"/>
      <c r="G2171" s="47"/>
    </row>
    <row r="2172" spans="1:7" ht="15.75" x14ac:dyDescent="0.25">
      <c r="A2172" s="48" t="s">
        <v>50</v>
      </c>
      <c r="B2172" s="49"/>
      <c r="C2172" s="49"/>
      <c r="D2172" s="49"/>
      <c r="E2172" s="49"/>
      <c r="F2172" s="49"/>
      <c r="G2172" s="50"/>
    </row>
    <row r="2173" spans="1:7" ht="15.75" x14ac:dyDescent="0.25">
      <c r="A2173" s="47"/>
      <c r="B2173" s="47"/>
      <c r="C2173" s="47"/>
      <c r="D2173" s="47"/>
      <c r="E2173" s="47"/>
      <c r="F2173" s="47"/>
      <c r="G2173" s="47"/>
    </row>
    <row r="2174" spans="1:7" ht="15.75" x14ac:dyDescent="0.25">
      <c r="A2174" s="47"/>
      <c r="B2174" s="47"/>
      <c r="C2174" s="47"/>
      <c r="D2174" s="47"/>
      <c r="E2174" s="47"/>
      <c r="F2174" s="47"/>
      <c r="G2174" s="47"/>
    </row>
    <row r="2175" spans="1:7" ht="15.75" x14ac:dyDescent="0.25">
      <c r="A2175" s="47"/>
      <c r="B2175" s="47"/>
      <c r="C2175" s="47"/>
      <c r="D2175" s="47"/>
      <c r="E2175" s="47"/>
      <c r="F2175" s="47"/>
      <c r="G2175" s="47"/>
    </row>
    <row r="2183" spans="1:9" ht="21" x14ac:dyDescent="0.35">
      <c r="A2183" s="88" t="s">
        <v>20</v>
      </c>
      <c r="B2183" s="89"/>
      <c r="C2183" s="89"/>
      <c r="D2183" s="89"/>
      <c r="E2183" s="89"/>
      <c r="F2183" s="89"/>
      <c r="G2183" s="90"/>
      <c r="H2183" s="56"/>
      <c r="I2183" s="56"/>
    </row>
    <row r="2185" spans="1:9" ht="17.25" x14ac:dyDescent="0.3">
      <c r="A2185" s="51" t="s">
        <v>352</v>
      </c>
      <c r="B2185" s="51"/>
      <c r="C2185" s="51"/>
      <c r="D2185" s="51"/>
      <c r="E2185" s="51"/>
      <c r="F2185" s="51"/>
      <c r="G2185" s="51"/>
      <c r="H2185" s="51"/>
      <c r="I2185" s="51"/>
    </row>
    <row r="2186" spans="1:9" ht="17.25" x14ac:dyDescent="0.3">
      <c r="A2186" s="51"/>
      <c r="B2186" s="51"/>
      <c r="C2186" s="51"/>
      <c r="D2186" s="51"/>
      <c r="E2186" s="51"/>
      <c r="F2186" s="51"/>
      <c r="G2186" s="51"/>
      <c r="H2186" s="51"/>
      <c r="I2186" s="51"/>
    </row>
    <row r="2187" spans="1:9" ht="17.25" x14ac:dyDescent="0.3">
      <c r="A2187" s="51" t="s">
        <v>353</v>
      </c>
      <c r="B2187" s="51"/>
      <c r="C2187" s="51"/>
      <c r="D2187" s="51"/>
      <c r="E2187" s="51"/>
      <c r="F2187" s="51"/>
      <c r="G2187" s="51"/>
      <c r="H2187" s="51"/>
      <c r="I2187" s="51"/>
    </row>
    <row r="2188" spans="1:9" ht="17.25" x14ac:dyDescent="0.3">
      <c r="A2188" s="51"/>
      <c r="B2188" s="51"/>
      <c r="C2188" s="51"/>
      <c r="D2188" s="51"/>
      <c r="E2188" s="51"/>
      <c r="F2188" s="51"/>
      <c r="G2188" s="51"/>
      <c r="H2188" s="51"/>
      <c r="I2188" s="51"/>
    </row>
    <row r="2189" spans="1:9" ht="17.25" x14ac:dyDescent="0.3">
      <c r="A2189" s="51" t="s">
        <v>354</v>
      </c>
      <c r="B2189" s="51"/>
      <c r="C2189" s="51"/>
      <c r="D2189" s="51"/>
      <c r="E2189" s="51"/>
      <c r="F2189" s="51"/>
      <c r="G2189" s="51"/>
      <c r="H2189" s="51"/>
      <c r="I2189" s="51"/>
    </row>
    <row r="2190" spans="1:9" ht="17.25" x14ac:dyDescent="0.3">
      <c r="A2190" s="51"/>
      <c r="B2190" s="51"/>
      <c r="C2190" s="51"/>
      <c r="D2190" s="51"/>
      <c r="E2190" s="51"/>
      <c r="F2190" s="51"/>
      <c r="G2190" s="51"/>
      <c r="H2190" s="51"/>
      <c r="I2190" s="51"/>
    </row>
    <row r="2191" spans="1:9" ht="17.25" x14ac:dyDescent="0.3">
      <c r="A2191" s="51" t="s">
        <v>40</v>
      </c>
      <c r="B2191" s="51"/>
      <c r="C2191" s="51"/>
      <c r="D2191" s="51"/>
      <c r="E2191" s="51"/>
      <c r="F2191" s="51"/>
      <c r="G2191" s="51"/>
      <c r="H2191" s="51"/>
      <c r="I2191" s="51"/>
    </row>
    <row r="2192" spans="1:9" ht="17.25" x14ac:dyDescent="0.3">
      <c r="A2192" s="51"/>
      <c r="B2192" s="51"/>
      <c r="C2192" s="51"/>
      <c r="D2192" s="51"/>
      <c r="E2192" s="51"/>
      <c r="F2192" s="51"/>
      <c r="G2192" s="51"/>
      <c r="H2192" s="51"/>
      <c r="I2192" s="51"/>
    </row>
    <row r="2193" spans="1:9" ht="33" customHeight="1" x14ac:dyDescent="0.3">
      <c r="A2193" s="91" t="s">
        <v>355</v>
      </c>
      <c r="B2193" s="91"/>
      <c r="C2193" s="91"/>
      <c r="D2193" s="91"/>
      <c r="E2193" s="91"/>
      <c r="F2193" s="91"/>
      <c r="G2193" s="91"/>
      <c r="H2193" s="55"/>
      <c r="I2193" s="55"/>
    </row>
    <row r="2194" spans="1:9" ht="17.25" x14ac:dyDescent="0.3">
      <c r="A2194" s="51"/>
      <c r="B2194" s="51"/>
      <c r="C2194" s="51"/>
      <c r="D2194" s="51"/>
      <c r="E2194" s="51"/>
      <c r="F2194" s="51"/>
      <c r="G2194" s="51"/>
      <c r="H2194" s="51"/>
      <c r="I2194" s="51"/>
    </row>
    <row r="2195" spans="1:9" ht="33" customHeight="1" x14ac:dyDescent="0.3">
      <c r="A2195" s="91" t="s">
        <v>356</v>
      </c>
      <c r="B2195" s="91"/>
      <c r="C2195" s="91"/>
      <c r="D2195" s="91"/>
      <c r="E2195" s="91"/>
      <c r="F2195" s="91"/>
      <c r="G2195" s="91"/>
      <c r="H2195" s="55"/>
      <c r="I2195" s="55"/>
    </row>
    <row r="2196" spans="1:9" ht="17.25" x14ac:dyDescent="0.3">
      <c r="A2196" s="51"/>
      <c r="B2196" s="51"/>
      <c r="C2196" s="51"/>
      <c r="D2196" s="51"/>
      <c r="E2196" s="51"/>
      <c r="F2196" s="51"/>
      <c r="G2196" s="51"/>
      <c r="H2196" s="51"/>
      <c r="I2196" s="51"/>
    </row>
    <row r="2197" spans="1:9" ht="33" customHeight="1" x14ac:dyDescent="0.3">
      <c r="A2197" s="91" t="s">
        <v>357</v>
      </c>
      <c r="B2197" s="91"/>
      <c r="C2197" s="91"/>
      <c r="D2197" s="91"/>
      <c r="E2197" s="91"/>
      <c r="F2197" s="91"/>
      <c r="G2197" s="91"/>
      <c r="H2197" s="55"/>
      <c r="I2197" s="55"/>
    </row>
    <row r="2199" spans="1:9" ht="18.75" x14ac:dyDescent="0.3">
      <c r="A2199" s="1" t="s">
        <v>358</v>
      </c>
      <c r="B2199" s="2"/>
      <c r="C2199" s="2"/>
      <c r="D2199" s="2"/>
      <c r="E2199" s="2"/>
      <c r="F2199" s="2"/>
      <c r="G2199" s="53"/>
    </row>
    <row r="2200" spans="1:9" ht="15.75" x14ac:dyDescent="0.25">
      <c r="A2200" s="3" t="s">
        <v>1</v>
      </c>
      <c r="B2200" s="3" t="s">
        <v>2</v>
      </c>
      <c r="C2200" s="4" t="s">
        <v>3</v>
      </c>
      <c r="D2200" s="4"/>
      <c r="E2200" s="4"/>
      <c r="F2200" s="4"/>
      <c r="G2200" s="62" t="s">
        <v>30</v>
      </c>
    </row>
    <row r="2201" spans="1:9" ht="15.75" x14ac:dyDescent="0.25">
      <c r="A2201" s="5">
        <v>45726</v>
      </c>
      <c r="B2201" s="6" t="s">
        <v>4</v>
      </c>
      <c r="C2201" s="7" t="s">
        <v>5</v>
      </c>
      <c r="D2201" s="7"/>
      <c r="E2201" s="7"/>
      <c r="F2201" s="7"/>
      <c r="G2201" s="52">
        <v>1342.94</v>
      </c>
    </row>
    <row r="2202" spans="1:9" ht="15.75" x14ac:dyDescent="0.25">
      <c r="A2202" s="5">
        <v>45733</v>
      </c>
      <c r="B2202" s="6" t="s">
        <v>4</v>
      </c>
      <c r="C2202" s="7" t="s">
        <v>61</v>
      </c>
      <c r="D2202" s="7"/>
      <c r="E2202" s="7"/>
      <c r="F2202" s="7"/>
      <c r="G2202" s="52">
        <v>1138.6500000000001</v>
      </c>
    </row>
    <row r="2203" spans="1:9" ht="15.75" x14ac:dyDescent="0.25">
      <c r="A2203" s="5">
        <v>45733</v>
      </c>
      <c r="B2203" s="6" t="s">
        <v>4</v>
      </c>
      <c r="C2203" s="7" t="s">
        <v>8</v>
      </c>
      <c r="D2203" s="7"/>
      <c r="E2203" s="7"/>
      <c r="F2203" s="7"/>
      <c r="G2203" s="52">
        <v>199.05000000000018</v>
      </c>
    </row>
    <row r="2204" spans="1:9" ht="15.75" x14ac:dyDescent="0.25">
      <c r="A2204" s="5">
        <v>45733</v>
      </c>
      <c r="B2204" s="6" t="s">
        <v>4</v>
      </c>
      <c r="C2204" s="7" t="s">
        <v>9</v>
      </c>
      <c r="D2204" s="7"/>
      <c r="E2204" s="7"/>
      <c r="F2204" s="7"/>
      <c r="G2204" s="52">
        <v>310.20999999999998</v>
      </c>
    </row>
    <row r="2205" spans="1:9" ht="15.75" x14ac:dyDescent="0.25">
      <c r="A2205" s="5">
        <v>45736</v>
      </c>
      <c r="B2205" s="6" t="s">
        <v>4</v>
      </c>
      <c r="C2205" s="7" t="s">
        <v>47</v>
      </c>
      <c r="D2205" s="7"/>
      <c r="E2205" s="7"/>
      <c r="F2205" s="7"/>
      <c r="G2205" s="52">
        <v>221.5</v>
      </c>
    </row>
    <row r="2206" spans="1:9" ht="15.75" x14ac:dyDescent="0.25">
      <c r="A2206" s="5">
        <v>45692</v>
      </c>
      <c r="B2206" s="6" t="s">
        <v>4</v>
      </c>
      <c r="C2206" s="7" t="s">
        <v>76</v>
      </c>
      <c r="D2206" s="7"/>
      <c r="E2206" s="7"/>
      <c r="F2206" s="7"/>
      <c r="G2206" s="52">
        <v>55.9</v>
      </c>
    </row>
    <row r="2207" spans="1:9" ht="15.75" x14ac:dyDescent="0.25">
      <c r="A2207" s="5">
        <v>45713</v>
      </c>
      <c r="B2207" s="6" t="s">
        <v>4</v>
      </c>
      <c r="C2207" s="7" t="s">
        <v>13</v>
      </c>
      <c r="D2207" s="7"/>
      <c r="E2207" s="7"/>
      <c r="F2207" s="7"/>
      <c r="G2207" s="52">
        <v>224.69</v>
      </c>
    </row>
    <row r="2208" spans="1:9" ht="15.75" x14ac:dyDescent="0.25">
      <c r="A2208" s="5">
        <v>45744</v>
      </c>
      <c r="B2208" s="6" t="s">
        <v>4</v>
      </c>
      <c r="C2208" s="7" t="s">
        <v>14</v>
      </c>
      <c r="D2208" s="7"/>
      <c r="E2208" s="7"/>
      <c r="F2208" s="7"/>
      <c r="G2208" s="52">
        <v>151.6</v>
      </c>
    </row>
    <row r="2209" spans="1:7" ht="15.75" customHeight="1" x14ac:dyDescent="0.25">
      <c r="A2209" s="8">
        <v>45719</v>
      </c>
      <c r="B2209" s="54" t="s">
        <v>4</v>
      </c>
      <c r="C2209" s="32" t="s">
        <v>15</v>
      </c>
      <c r="D2209" s="67"/>
      <c r="E2209" s="67"/>
      <c r="F2209" s="68"/>
      <c r="G2209" s="52">
        <v>65</v>
      </c>
    </row>
    <row r="2210" spans="1:7" ht="21" x14ac:dyDescent="0.35">
      <c r="A2210" s="9" t="s">
        <v>16</v>
      </c>
      <c r="B2210" s="10"/>
      <c r="C2210" s="11"/>
      <c r="D2210" s="11"/>
      <c r="E2210" s="11"/>
      <c r="F2210" s="11"/>
      <c r="G2210" s="12">
        <f>SUM(G2201:G2209)</f>
        <v>3709.5400000000004</v>
      </c>
    </row>
    <row r="2211" spans="1:7" ht="21" x14ac:dyDescent="0.35">
      <c r="A2211" s="13" t="s">
        <v>17</v>
      </c>
      <c r="B2211" s="11"/>
      <c r="C2211" s="11"/>
      <c r="D2211" s="11"/>
      <c r="E2211" s="11"/>
      <c r="F2211" s="11"/>
      <c r="G2211" s="14">
        <f>ROUND(G2210/14,2)</f>
        <v>264.97000000000003</v>
      </c>
    </row>
    <row r="2212" spans="1:7" ht="21" x14ac:dyDescent="0.35">
      <c r="A2212" s="13" t="s">
        <v>74</v>
      </c>
      <c r="B2212" s="11"/>
      <c r="C2212" s="11"/>
      <c r="D2212" s="11"/>
      <c r="E2212" s="11"/>
      <c r="F2212" s="11"/>
      <c r="G2212" s="14">
        <f>ROUND(G2211/13,2)</f>
        <v>20.38</v>
      </c>
    </row>
    <row r="2213" spans="1:7" ht="21" x14ac:dyDescent="0.35">
      <c r="A2213" s="13" t="s">
        <v>196</v>
      </c>
      <c r="B2213" s="11"/>
      <c r="C2213" s="11"/>
      <c r="D2213" s="11"/>
      <c r="E2213" s="11"/>
      <c r="F2213" s="11"/>
      <c r="G2213" s="14">
        <v>150</v>
      </c>
    </row>
    <row r="2214" spans="1:7" ht="21" x14ac:dyDescent="0.35">
      <c r="A2214" s="13" t="s">
        <v>19</v>
      </c>
      <c r="B2214" s="11"/>
      <c r="C2214" s="11"/>
      <c r="D2214" s="11"/>
      <c r="E2214" s="11"/>
      <c r="F2214" s="11"/>
      <c r="G2214" s="12">
        <f>G2211+G2212+G2213</f>
        <v>435.35</v>
      </c>
    </row>
    <row r="2224" spans="1:7" ht="21" x14ac:dyDescent="0.35">
      <c r="A2224" s="88" t="s">
        <v>20</v>
      </c>
      <c r="B2224" s="89"/>
      <c r="C2224" s="89"/>
      <c r="D2224" s="89"/>
      <c r="E2224" s="89"/>
      <c r="F2224" s="89"/>
      <c r="G2224" s="90"/>
    </row>
    <row r="2225" spans="1:7" ht="18.75" x14ac:dyDescent="0.25">
      <c r="A2225" s="19" t="s">
        <v>359</v>
      </c>
      <c r="B2225" s="15"/>
      <c r="C2225" s="15"/>
      <c r="D2225" s="15"/>
      <c r="E2225" s="15"/>
      <c r="F2225" s="15"/>
      <c r="G2225" s="16"/>
    </row>
    <row r="2226" spans="1:7" ht="15.75" x14ac:dyDescent="0.25">
      <c r="A2226" s="17"/>
      <c r="B2226" s="18"/>
      <c r="C2226" s="18"/>
      <c r="D2226" s="18"/>
      <c r="E2226" s="18"/>
      <c r="F2226" s="18"/>
      <c r="G2226" s="18"/>
    </row>
    <row r="2227" spans="1:7" ht="15.75" x14ac:dyDescent="0.25">
      <c r="A2227" s="17"/>
      <c r="B2227" s="18"/>
      <c r="C2227" s="18"/>
      <c r="D2227" s="18"/>
      <c r="E2227" s="18"/>
      <c r="F2227" s="18"/>
      <c r="G2227" s="18"/>
    </row>
    <row r="2228" spans="1:7" ht="15.75" x14ac:dyDescent="0.25">
      <c r="A2228" s="20" t="s">
        <v>22</v>
      </c>
      <c r="B2228" s="21" t="s">
        <v>23</v>
      </c>
      <c r="C2228" s="22"/>
      <c r="D2228" s="21" t="s">
        <v>24</v>
      </c>
      <c r="E2228" s="22"/>
      <c r="F2228" s="59" t="s">
        <v>25</v>
      </c>
      <c r="G2228" s="60" t="s">
        <v>26</v>
      </c>
    </row>
    <row r="2229" spans="1:7" ht="15.75" x14ac:dyDescent="0.25">
      <c r="A2229" s="23" t="s">
        <v>27</v>
      </c>
      <c r="B2229" s="24" t="s">
        <v>28</v>
      </c>
      <c r="C2229" s="24" t="s">
        <v>29</v>
      </c>
      <c r="D2229" s="24" t="s">
        <v>28</v>
      </c>
      <c r="E2229" s="24" t="s">
        <v>30</v>
      </c>
      <c r="F2229" s="58" t="s">
        <v>31</v>
      </c>
      <c r="G2229" s="61" t="s">
        <v>31</v>
      </c>
    </row>
    <row r="2230" spans="1:7" ht="15.75" x14ac:dyDescent="0.25">
      <c r="A2230" s="25" t="s">
        <v>32</v>
      </c>
      <c r="B2230" s="26">
        <v>13.543999999999983</v>
      </c>
      <c r="C2230" s="27">
        <v>199.05000000000018</v>
      </c>
      <c r="D2230" s="28">
        <v>0</v>
      </c>
      <c r="E2230" s="27">
        <v>0</v>
      </c>
      <c r="F2230" s="29">
        <v>0</v>
      </c>
      <c r="G2230" s="27">
        <v>0</v>
      </c>
    </row>
    <row r="2231" spans="1:7" ht="15.75" x14ac:dyDescent="0.25">
      <c r="A2231" s="30">
        <v>201</v>
      </c>
      <c r="B2231" s="26">
        <v>17.187000000000001</v>
      </c>
      <c r="C2231" s="27">
        <v>225.1</v>
      </c>
      <c r="D2231" s="31">
        <v>2.0999999999997243E-2</v>
      </c>
      <c r="E2231" s="27">
        <v>0.73</v>
      </c>
      <c r="F2231" s="27">
        <v>435.35</v>
      </c>
      <c r="G2231" s="27">
        <v>662</v>
      </c>
    </row>
    <row r="2232" spans="1:7" ht="15.75" x14ac:dyDescent="0.25">
      <c r="A2232" s="30">
        <v>202</v>
      </c>
      <c r="B2232" s="26">
        <v>42.165999999999997</v>
      </c>
      <c r="C2232" s="27">
        <v>411.19</v>
      </c>
      <c r="D2232" s="28">
        <v>4.5890000000000555</v>
      </c>
      <c r="E2232" s="27">
        <v>159.35</v>
      </c>
      <c r="F2232" s="27">
        <v>435.35</v>
      </c>
      <c r="G2232" s="27">
        <v>1006</v>
      </c>
    </row>
    <row r="2233" spans="1:7" ht="15.75" x14ac:dyDescent="0.25">
      <c r="A2233" s="30">
        <v>301</v>
      </c>
      <c r="B2233" s="26">
        <v>22.03</v>
      </c>
      <c r="C2233" s="27">
        <v>261.18</v>
      </c>
      <c r="D2233" s="28">
        <v>3.0349999999999682</v>
      </c>
      <c r="E2233" s="27">
        <v>105.39</v>
      </c>
      <c r="F2233" s="27">
        <v>435.35</v>
      </c>
      <c r="G2233" s="27">
        <v>802</v>
      </c>
    </row>
    <row r="2234" spans="1:7" ht="15.75" x14ac:dyDescent="0.25">
      <c r="A2234" s="30">
        <v>302</v>
      </c>
      <c r="B2234" s="26">
        <v>24.905000000000001</v>
      </c>
      <c r="C2234" s="27">
        <v>282.60000000000002</v>
      </c>
      <c r="D2234" s="28">
        <v>2.125</v>
      </c>
      <c r="E2234" s="27">
        <v>73.790000000000006</v>
      </c>
      <c r="F2234" s="27">
        <v>435.35</v>
      </c>
      <c r="G2234" s="27">
        <v>792</v>
      </c>
    </row>
    <row r="2235" spans="1:7" ht="15.75" x14ac:dyDescent="0.25">
      <c r="A2235" s="30">
        <v>401</v>
      </c>
      <c r="B2235" s="26">
        <v>21.457999999999998</v>
      </c>
      <c r="C2235" s="27">
        <v>256.92</v>
      </c>
      <c r="D2235" s="28">
        <v>1.4689999999999941</v>
      </c>
      <c r="E2235" s="27">
        <v>51.01</v>
      </c>
      <c r="F2235" s="27">
        <v>435.35</v>
      </c>
      <c r="G2235" s="27">
        <v>744</v>
      </c>
    </row>
    <row r="2236" spans="1:7" ht="15.75" x14ac:dyDescent="0.25">
      <c r="A2236" s="30">
        <v>402</v>
      </c>
      <c r="B2236" s="26">
        <v>32.417000000000002</v>
      </c>
      <c r="C2236" s="27">
        <v>338.56</v>
      </c>
      <c r="D2236" s="28">
        <v>4.8810000000000855</v>
      </c>
      <c r="E2236" s="27">
        <v>169.49</v>
      </c>
      <c r="F2236" s="27">
        <v>435.35</v>
      </c>
      <c r="G2236" s="27">
        <v>944</v>
      </c>
    </row>
    <row r="2237" spans="1:7" ht="15.75" x14ac:dyDescent="0.25">
      <c r="A2237" s="30">
        <v>501</v>
      </c>
      <c r="B2237" s="26">
        <v>17.044</v>
      </c>
      <c r="C2237" s="27">
        <v>224.03</v>
      </c>
      <c r="D2237" s="28">
        <v>1.8240000000000123</v>
      </c>
      <c r="E2237" s="27">
        <v>63.34</v>
      </c>
      <c r="F2237" s="27">
        <v>435.35</v>
      </c>
      <c r="G2237" s="27">
        <v>723</v>
      </c>
    </row>
    <row r="2238" spans="1:7" ht="15.75" x14ac:dyDescent="0.25">
      <c r="A2238" s="30">
        <v>502</v>
      </c>
      <c r="B2238" s="26">
        <v>14.147</v>
      </c>
      <c r="C2238" s="27">
        <v>202.45</v>
      </c>
      <c r="D2238" s="28">
        <v>1.6110000000000468</v>
      </c>
      <c r="E2238" s="27">
        <v>55.94</v>
      </c>
      <c r="F2238" s="27">
        <v>435.35</v>
      </c>
      <c r="G2238" s="27">
        <v>694</v>
      </c>
    </row>
    <row r="2239" spans="1:7" ht="15.75" x14ac:dyDescent="0.25">
      <c r="A2239" s="30">
        <v>601</v>
      </c>
      <c r="B2239" s="26">
        <v>3.875</v>
      </c>
      <c r="C2239" s="27">
        <v>125.92</v>
      </c>
      <c r="D2239" s="28">
        <v>0.41899999999998272</v>
      </c>
      <c r="E2239" s="27">
        <v>14.55</v>
      </c>
      <c r="F2239" s="27">
        <v>435.35</v>
      </c>
      <c r="G2239" s="27">
        <v>576</v>
      </c>
    </row>
    <row r="2240" spans="1:7" ht="15.75" x14ac:dyDescent="0.25">
      <c r="A2240" s="30">
        <v>602</v>
      </c>
      <c r="B2240" s="26">
        <v>23.277999999999999</v>
      </c>
      <c r="C2240" s="27">
        <v>270.48</v>
      </c>
      <c r="D2240" s="28">
        <v>2.5930000000000177</v>
      </c>
      <c r="E2240" s="27">
        <v>90.04</v>
      </c>
      <c r="F2240" s="27">
        <v>435.35</v>
      </c>
      <c r="G2240" s="27">
        <v>796</v>
      </c>
    </row>
    <row r="2241" spans="1:7" ht="15.75" x14ac:dyDescent="0.25">
      <c r="A2241" s="30">
        <v>701</v>
      </c>
      <c r="B2241" s="26">
        <v>12.837</v>
      </c>
      <c r="C2241" s="27">
        <v>192.69</v>
      </c>
      <c r="D2241" s="28">
        <v>0.57299999999997908</v>
      </c>
      <c r="E2241" s="27">
        <v>19.899999999999999</v>
      </c>
      <c r="F2241" s="27">
        <v>435.35</v>
      </c>
      <c r="G2241" s="27">
        <v>648</v>
      </c>
    </row>
    <row r="2242" spans="1:7" ht="15.75" x14ac:dyDescent="0.25">
      <c r="A2242" s="30">
        <v>702</v>
      </c>
      <c r="B2242" s="26">
        <v>6.008</v>
      </c>
      <c r="C2242" s="27">
        <v>141.81</v>
      </c>
      <c r="D2242" s="28">
        <v>3.4270000000000209</v>
      </c>
      <c r="E2242" s="27">
        <v>119</v>
      </c>
      <c r="F2242" s="27">
        <v>435.35</v>
      </c>
      <c r="G2242" s="27">
        <v>697</v>
      </c>
    </row>
    <row r="2243" spans="1:7" ht="15.75" x14ac:dyDescent="0.25">
      <c r="A2243" s="30">
        <v>801</v>
      </c>
      <c r="B2243" s="26">
        <v>2.6909999999999998</v>
      </c>
      <c r="C2243" s="27">
        <v>117.1</v>
      </c>
      <c r="D2243" s="28">
        <v>0</v>
      </c>
      <c r="E2243" s="27">
        <v>0</v>
      </c>
      <c r="F2243" s="27">
        <v>435.35</v>
      </c>
      <c r="G2243" s="27">
        <v>553</v>
      </c>
    </row>
    <row r="2244" spans="1:7" ht="15.75" x14ac:dyDescent="0.25">
      <c r="A2244" s="30">
        <v>802</v>
      </c>
      <c r="B2244" s="26">
        <v>12.413</v>
      </c>
      <c r="C2244" s="27">
        <v>189.53</v>
      </c>
      <c r="D2244" s="28">
        <v>2.2529999999999859</v>
      </c>
      <c r="E2244" s="27">
        <v>78.239999999999995</v>
      </c>
      <c r="F2244" s="63">
        <v>435.35</v>
      </c>
      <c r="G2244" s="63">
        <v>704</v>
      </c>
    </row>
    <row r="2246" spans="1:7" x14ac:dyDescent="0.25">
      <c r="A2246" s="32"/>
      <c r="B2246" s="7"/>
      <c r="C2246" s="7"/>
      <c r="D2246" s="7"/>
      <c r="E2246" s="7"/>
      <c r="F2246" s="7"/>
      <c r="G2246" s="33"/>
    </row>
    <row r="2247" spans="1:7" x14ac:dyDescent="0.25">
      <c r="A2247" s="32"/>
      <c r="B2247" s="7"/>
      <c r="C2247" s="7"/>
      <c r="D2247" s="7"/>
      <c r="E2247" s="7"/>
      <c r="F2247" s="7"/>
      <c r="G2247" s="33"/>
    </row>
    <row r="2248" spans="1:7" x14ac:dyDescent="0.25">
      <c r="A2248" s="32"/>
      <c r="B2248" s="7"/>
      <c r="C2248" s="7"/>
      <c r="D2248" s="7"/>
      <c r="E2248" s="7"/>
      <c r="F2248" s="7"/>
      <c r="G2248" s="33"/>
    </row>
    <row r="2250" spans="1:7" ht="15.75" x14ac:dyDescent="0.25">
      <c r="A2250" s="34" t="s">
        <v>360</v>
      </c>
      <c r="B2250" s="35"/>
      <c r="C2250" s="35"/>
      <c r="D2250" s="35"/>
      <c r="E2250" s="35"/>
      <c r="F2250" s="36"/>
      <c r="G2250" s="72">
        <v>29979.219999999998</v>
      </c>
    </row>
    <row r="2251" spans="1:7" ht="15.75" x14ac:dyDescent="0.25">
      <c r="A2251" s="37" t="s">
        <v>361</v>
      </c>
      <c r="B2251" s="38"/>
      <c r="C2251" s="38"/>
      <c r="D2251" s="38"/>
      <c r="E2251" s="38"/>
      <c r="F2251" s="39"/>
      <c r="G2251" s="72">
        <v>2100</v>
      </c>
    </row>
    <row r="2252" spans="1:7" ht="15.75" x14ac:dyDescent="0.25">
      <c r="A2252" s="37"/>
      <c r="B2252" s="38"/>
      <c r="C2252" s="38"/>
      <c r="D2252" s="38"/>
      <c r="E2252" s="38"/>
      <c r="F2252" s="39"/>
      <c r="G2252" s="72"/>
    </row>
    <row r="2253" spans="1:7" ht="15.75" x14ac:dyDescent="0.25">
      <c r="A2253" s="34" t="s">
        <v>362</v>
      </c>
      <c r="B2253" s="35"/>
      <c r="C2253" s="35"/>
      <c r="D2253" s="35"/>
      <c r="E2253" s="35"/>
      <c r="F2253" s="36"/>
      <c r="G2253" s="72">
        <f>SUM(G2250:G2252)</f>
        <v>32079.219999999998</v>
      </c>
    </row>
    <row r="2254" spans="1:7" ht="18.75" x14ac:dyDescent="0.3">
      <c r="A2254" s="40"/>
      <c r="B2254" s="40"/>
      <c r="C2254" s="40"/>
      <c r="D2254" s="40"/>
      <c r="E2254" s="40"/>
      <c r="F2254" s="40"/>
      <c r="G2254" s="40"/>
    </row>
    <row r="2255" spans="1:7" ht="31.5" customHeight="1" x14ac:dyDescent="0.25">
      <c r="A2255" s="85" t="s">
        <v>54</v>
      </c>
      <c r="B2255" s="86"/>
      <c r="C2255" s="86"/>
      <c r="D2255" s="86"/>
      <c r="E2255" s="86"/>
      <c r="F2255" s="86"/>
      <c r="G2255" s="87"/>
    </row>
    <row r="2256" spans="1:7" ht="15.75" x14ac:dyDescent="0.25">
      <c r="A2256" s="41" t="s">
        <v>36</v>
      </c>
      <c r="B2256" s="42"/>
      <c r="C2256" s="42"/>
      <c r="D2256" s="42"/>
      <c r="E2256" s="42"/>
      <c r="F2256" s="42"/>
      <c r="G2256" s="43"/>
    </row>
    <row r="2257" spans="1:9" ht="15.75" x14ac:dyDescent="0.25">
      <c r="A2257" s="44" t="s">
        <v>37</v>
      </c>
      <c r="B2257" s="45"/>
      <c r="C2257" s="45"/>
      <c r="D2257" s="45"/>
      <c r="E2257" s="45"/>
      <c r="F2257" s="45"/>
      <c r="G2257" s="46"/>
    </row>
    <row r="2258" spans="1:9" ht="15.75" x14ac:dyDescent="0.25">
      <c r="A2258" s="47"/>
      <c r="B2258" s="47"/>
      <c r="C2258" s="47"/>
      <c r="D2258" s="47"/>
      <c r="E2258" s="47"/>
      <c r="F2258" s="47"/>
      <c r="G2258" s="47"/>
    </row>
    <row r="2259" spans="1:9" ht="15.75" x14ac:dyDescent="0.25">
      <c r="A2259" s="48" t="s">
        <v>50</v>
      </c>
      <c r="B2259" s="49"/>
      <c r="C2259" s="49"/>
      <c r="D2259" s="49"/>
      <c r="E2259" s="49"/>
      <c r="F2259" s="49"/>
      <c r="G2259" s="50"/>
    </row>
    <row r="2260" spans="1:9" ht="15.75" x14ac:dyDescent="0.25">
      <c r="A2260" s="47"/>
      <c r="B2260" s="47"/>
      <c r="C2260" s="47"/>
      <c r="D2260" s="47"/>
      <c r="E2260" s="47"/>
      <c r="F2260" s="47"/>
      <c r="G2260" s="47"/>
    </row>
    <row r="2261" spans="1:9" ht="15.75" x14ac:dyDescent="0.25">
      <c r="A2261" s="47"/>
      <c r="B2261" s="47"/>
      <c r="C2261" s="47"/>
      <c r="D2261" s="47"/>
      <c r="E2261" s="47"/>
      <c r="F2261" s="47"/>
      <c r="G2261" s="47"/>
    </row>
    <row r="2262" spans="1:9" ht="15.75" x14ac:dyDescent="0.25">
      <c r="A2262" s="47"/>
      <c r="B2262" s="47"/>
      <c r="C2262" s="47"/>
      <c r="D2262" s="47"/>
      <c r="E2262" s="47"/>
      <c r="F2262" s="47"/>
      <c r="G2262" s="47"/>
    </row>
    <row r="2270" spans="1:9" ht="21" x14ac:dyDescent="0.35">
      <c r="A2270" s="88" t="s">
        <v>20</v>
      </c>
      <c r="B2270" s="89"/>
      <c r="C2270" s="89"/>
      <c r="D2270" s="89"/>
      <c r="E2270" s="89"/>
      <c r="F2270" s="89"/>
      <c r="G2270" s="90"/>
      <c r="H2270" s="56"/>
      <c r="I2270" s="56"/>
    </row>
    <row r="2272" spans="1:9" ht="17.25" x14ac:dyDescent="0.3">
      <c r="A2272" s="51" t="s">
        <v>363</v>
      </c>
      <c r="B2272" s="51"/>
      <c r="C2272" s="51"/>
      <c r="D2272" s="51"/>
      <c r="E2272" s="51"/>
      <c r="F2272" s="51"/>
      <c r="G2272" s="51"/>
      <c r="H2272" s="51"/>
      <c r="I2272" s="51"/>
    </row>
    <row r="2273" spans="1:9" ht="17.25" x14ac:dyDescent="0.3">
      <c r="A2273" s="51"/>
      <c r="B2273" s="51"/>
      <c r="C2273" s="51"/>
      <c r="D2273" s="51"/>
      <c r="E2273" s="51"/>
      <c r="F2273" s="51"/>
      <c r="G2273" s="51"/>
      <c r="H2273" s="51"/>
      <c r="I2273" s="51"/>
    </row>
    <row r="2274" spans="1:9" ht="17.25" x14ac:dyDescent="0.3">
      <c r="A2274" s="51" t="s">
        <v>364</v>
      </c>
      <c r="B2274" s="51"/>
      <c r="C2274" s="51"/>
      <c r="D2274" s="51"/>
      <c r="E2274" s="51"/>
      <c r="F2274" s="51"/>
      <c r="G2274" s="51"/>
      <c r="H2274" s="51"/>
      <c r="I2274" s="51"/>
    </row>
    <row r="2275" spans="1:9" ht="17.25" x14ac:dyDescent="0.3">
      <c r="A2275" s="51"/>
      <c r="B2275" s="51"/>
      <c r="C2275" s="51"/>
      <c r="D2275" s="51"/>
      <c r="E2275" s="51"/>
      <c r="F2275" s="51"/>
      <c r="G2275" s="51"/>
      <c r="H2275" s="51"/>
      <c r="I2275" s="51"/>
    </row>
    <row r="2276" spans="1:9" ht="17.25" x14ac:dyDescent="0.3">
      <c r="A2276" s="51" t="s">
        <v>365</v>
      </c>
      <c r="B2276" s="51"/>
      <c r="C2276" s="51"/>
      <c r="D2276" s="51"/>
      <c r="E2276" s="51"/>
      <c r="F2276" s="51"/>
      <c r="G2276" s="51"/>
      <c r="H2276" s="51"/>
      <c r="I2276" s="51"/>
    </row>
    <row r="2277" spans="1:9" ht="17.25" x14ac:dyDescent="0.3">
      <c r="A2277" s="51"/>
      <c r="B2277" s="51"/>
      <c r="C2277" s="51"/>
      <c r="D2277" s="51"/>
      <c r="E2277" s="51"/>
      <c r="F2277" s="51"/>
      <c r="G2277" s="51"/>
      <c r="H2277" s="51"/>
      <c r="I2277" s="51"/>
    </row>
    <row r="2278" spans="1:9" ht="17.25" x14ac:dyDescent="0.3">
      <c r="A2278" s="51" t="s">
        <v>40</v>
      </c>
      <c r="B2278" s="51"/>
      <c r="C2278" s="51"/>
      <c r="D2278" s="51"/>
      <c r="E2278" s="51"/>
      <c r="F2278" s="51"/>
      <c r="G2278" s="51"/>
      <c r="H2278" s="51"/>
      <c r="I2278" s="51"/>
    </row>
    <row r="2279" spans="1:9" ht="17.25" x14ac:dyDescent="0.3">
      <c r="A2279" s="51"/>
      <c r="B2279" s="51"/>
      <c r="C2279" s="51"/>
      <c r="D2279" s="51"/>
      <c r="E2279" s="51"/>
      <c r="F2279" s="51"/>
      <c r="G2279" s="51"/>
      <c r="H2279" s="51"/>
      <c r="I2279" s="51"/>
    </row>
    <row r="2280" spans="1:9" ht="33" customHeight="1" x14ac:dyDescent="0.3">
      <c r="A2280" s="91" t="s">
        <v>366</v>
      </c>
      <c r="B2280" s="91"/>
      <c r="C2280" s="91"/>
      <c r="D2280" s="91"/>
      <c r="E2280" s="91"/>
      <c r="F2280" s="91"/>
      <c r="G2280" s="91"/>
      <c r="H2280" s="55"/>
      <c r="I2280" s="55"/>
    </row>
    <row r="2281" spans="1:9" ht="17.25" x14ac:dyDescent="0.3">
      <c r="A2281" s="51"/>
      <c r="B2281" s="51"/>
      <c r="C2281" s="51"/>
      <c r="D2281" s="51"/>
      <c r="E2281" s="51"/>
      <c r="F2281" s="51"/>
      <c r="G2281" s="51"/>
      <c r="H2281" s="51"/>
      <c r="I2281" s="51"/>
    </row>
    <row r="2282" spans="1:9" ht="33" customHeight="1" x14ac:dyDescent="0.3">
      <c r="A2282" s="91" t="s">
        <v>367</v>
      </c>
      <c r="B2282" s="91"/>
      <c r="C2282" s="91"/>
      <c r="D2282" s="91"/>
      <c r="E2282" s="91"/>
      <c r="F2282" s="91"/>
      <c r="G2282" s="91"/>
      <c r="H2282" s="55"/>
      <c r="I2282" s="55"/>
    </row>
    <row r="2283" spans="1:9" ht="17.25" x14ac:dyDescent="0.3">
      <c r="A2283" s="51"/>
      <c r="B2283" s="51"/>
      <c r="C2283" s="51"/>
      <c r="D2283" s="51"/>
      <c r="E2283" s="51"/>
      <c r="F2283" s="51"/>
      <c r="G2283" s="51"/>
      <c r="H2283" s="51"/>
      <c r="I2283" s="51"/>
    </row>
    <row r="2284" spans="1:9" ht="33" customHeight="1" x14ac:dyDescent="0.3">
      <c r="A2284" s="91" t="s">
        <v>368</v>
      </c>
      <c r="B2284" s="91"/>
      <c r="C2284" s="91"/>
      <c r="D2284" s="91"/>
      <c r="E2284" s="91"/>
      <c r="F2284" s="91"/>
      <c r="G2284" s="91"/>
      <c r="H2284" s="55"/>
      <c r="I2284" s="55"/>
    </row>
    <row r="2286" spans="1:9" ht="18.75" x14ac:dyDescent="0.3">
      <c r="A2286" s="1" t="s">
        <v>369</v>
      </c>
      <c r="B2286" s="2"/>
      <c r="C2286" s="2"/>
      <c r="D2286" s="2"/>
      <c r="E2286" s="2"/>
      <c r="F2286" s="2"/>
      <c r="G2286" s="53"/>
    </row>
    <row r="2287" spans="1:9" ht="15.75" x14ac:dyDescent="0.25">
      <c r="A2287" s="3" t="s">
        <v>1</v>
      </c>
      <c r="B2287" s="3" t="s">
        <v>2</v>
      </c>
      <c r="C2287" s="4" t="s">
        <v>3</v>
      </c>
      <c r="D2287" s="4"/>
      <c r="E2287" s="4"/>
      <c r="F2287" s="4"/>
      <c r="G2287" s="62" t="s">
        <v>30</v>
      </c>
    </row>
    <row r="2288" spans="1:9" ht="15.75" x14ac:dyDescent="0.25">
      <c r="A2288" s="5">
        <v>45757</v>
      </c>
      <c r="B2288" s="6" t="s">
        <v>4</v>
      </c>
      <c r="C2288" s="7" t="s">
        <v>5</v>
      </c>
      <c r="D2288" s="7"/>
      <c r="E2288" s="7"/>
      <c r="F2288" s="7"/>
      <c r="G2288" s="52">
        <v>1342.94</v>
      </c>
    </row>
    <row r="2289" spans="1:7" ht="15.75" x14ac:dyDescent="0.25">
      <c r="A2289" s="5">
        <v>45762</v>
      </c>
      <c r="B2289" s="6" t="s">
        <v>4</v>
      </c>
      <c r="C2289" s="7" t="s">
        <v>61</v>
      </c>
      <c r="D2289" s="7"/>
      <c r="E2289" s="7"/>
      <c r="F2289" s="7"/>
      <c r="G2289" s="52">
        <v>1138.6500000000001</v>
      </c>
    </row>
    <row r="2290" spans="1:7" ht="15.75" x14ac:dyDescent="0.25">
      <c r="A2290" s="5">
        <v>45762</v>
      </c>
      <c r="B2290" s="6" t="s">
        <v>4</v>
      </c>
      <c r="C2290" s="7" t="s">
        <v>8</v>
      </c>
      <c r="D2290" s="7"/>
      <c r="E2290" s="7"/>
      <c r="F2290" s="7"/>
      <c r="G2290" s="52">
        <v>460.22000000000025</v>
      </c>
    </row>
    <row r="2291" spans="1:7" ht="15.75" x14ac:dyDescent="0.25">
      <c r="A2291" s="5">
        <v>45764</v>
      </c>
      <c r="B2291" s="6" t="s">
        <v>4</v>
      </c>
      <c r="C2291" s="7" t="s">
        <v>9</v>
      </c>
      <c r="D2291" s="7"/>
      <c r="E2291" s="7"/>
      <c r="F2291" s="7"/>
      <c r="G2291" s="52">
        <v>362.99</v>
      </c>
    </row>
    <row r="2292" spans="1:7" ht="15.75" x14ac:dyDescent="0.25">
      <c r="A2292" s="5">
        <v>45765</v>
      </c>
      <c r="B2292" s="6" t="s">
        <v>4</v>
      </c>
      <c r="C2292" s="7" t="s">
        <v>47</v>
      </c>
      <c r="D2292" s="7"/>
      <c r="E2292" s="7"/>
      <c r="F2292" s="7"/>
      <c r="G2292" s="52">
        <v>221.5</v>
      </c>
    </row>
    <row r="2293" spans="1:7" ht="15.75" x14ac:dyDescent="0.25">
      <c r="A2293" s="5">
        <v>45741</v>
      </c>
      <c r="B2293" s="6" t="s">
        <v>4</v>
      </c>
      <c r="C2293" s="7" t="s">
        <v>48</v>
      </c>
      <c r="D2293" s="7"/>
      <c r="E2293" s="7"/>
      <c r="F2293" s="7"/>
      <c r="G2293" s="52">
        <v>224.69</v>
      </c>
    </row>
    <row r="2294" spans="1:7" ht="15.75" x14ac:dyDescent="0.25">
      <c r="A2294" s="5">
        <v>45775</v>
      </c>
      <c r="B2294" s="6" t="s">
        <v>4</v>
      </c>
      <c r="C2294" s="7" t="s">
        <v>14</v>
      </c>
      <c r="D2294" s="7"/>
      <c r="E2294" s="7"/>
      <c r="F2294" s="7"/>
      <c r="G2294" s="52">
        <v>151.6</v>
      </c>
    </row>
    <row r="2295" spans="1:7" ht="15.75" customHeight="1" x14ac:dyDescent="0.25">
      <c r="A2295" s="8">
        <v>45748</v>
      </c>
      <c r="B2295" s="54" t="s">
        <v>4</v>
      </c>
      <c r="C2295" s="32" t="s">
        <v>15</v>
      </c>
      <c r="D2295" s="67"/>
      <c r="E2295" s="67"/>
      <c r="F2295" s="68"/>
      <c r="G2295" s="52">
        <v>65</v>
      </c>
    </row>
    <row r="2296" spans="1:7" ht="21" x14ac:dyDescent="0.35">
      <c r="A2296" s="9" t="s">
        <v>16</v>
      </c>
      <c r="B2296" s="10"/>
      <c r="C2296" s="11"/>
      <c r="D2296" s="11"/>
      <c r="E2296" s="11"/>
      <c r="F2296" s="11"/>
      <c r="G2296" s="12">
        <f>SUM(G2288:G2295)</f>
        <v>3967.59</v>
      </c>
    </row>
    <row r="2297" spans="1:7" ht="21" x14ac:dyDescent="0.35">
      <c r="A2297" s="13" t="s">
        <v>17</v>
      </c>
      <c r="B2297" s="11"/>
      <c r="C2297" s="11"/>
      <c r="D2297" s="11"/>
      <c r="E2297" s="11"/>
      <c r="F2297" s="11"/>
      <c r="G2297" s="14">
        <f>ROUND(G2296/14,2)</f>
        <v>283.39999999999998</v>
      </c>
    </row>
    <row r="2298" spans="1:7" ht="21" x14ac:dyDescent="0.35">
      <c r="A2298" s="13" t="s">
        <v>74</v>
      </c>
      <c r="B2298" s="11"/>
      <c r="C2298" s="11"/>
      <c r="D2298" s="11"/>
      <c r="E2298" s="11"/>
      <c r="F2298" s="11"/>
      <c r="G2298" s="14">
        <f>ROUND(G2297/13,2)</f>
        <v>21.8</v>
      </c>
    </row>
    <row r="2299" spans="1:7" ht="21" x14ac:dyDescent="0.35">
      <c r="A2299" s="13" t="s">
        <v>196</v>
      </c>
      <c r="B2299" s="11"/>
      <c r="C2299" s="11"/>
      <c r="D2299" s="11"/>
      <c r="E2299" s="11"/>
      <c r="F2299" s="11"/>
      <c r="G2299" s="14">
        <v>150</v>
      </c>
    </row>
    <row r="2300" spans="1:7" ht="21" x14ac:dyDescent="0.35">
      <c r="A2300" s="13" t="s">
        <v>19</v>
      </c>
      <c r="B2300" s="11"/>
      <c r="C2300" s="11"/>
      <c r="D2300" s="11"/>
      <c r="E2300" s="11"/>
      <c r="F2300" s="11"/>
      <c r="G2300" s="12">
        <f>G2297+G2298+G2299</f>
        <v>455.2</v>
      </c>
    </row>
    <row r="2311" spans="1:7" ht="21" x14ac:dyDescent="0.35">
      <c r="A2311" s="88" t="s">
        <v>20</v>
      </c>
      <c r="B2311" s="89"/>
      <c r="C2311" s="89"/>
      <c r="D2311" s="89"/>
      <c r="E2311" s="89"/>
      <c r="F2311" s="89"/>
      <c r="G2311" s="90"/>
    </row>
    <row r="2312" spans="1:7" ht="18.75" x14ac:dyDescent="0.25">
      <c r="A2312" s="19" t="s">
        <v>370</v>
      </c>
      <c r="B2312" s="15"/>
      <c r="C2312" s="15"/>
      <c r="D2312" s="15"/>
      <c r="E2312" s="15"/>
      <c r="F2312" s="15"/>
      <c r="G2312" s="16"/>
    </row>
    <row r="2313" spans="1:7" ht="15.75" x14ac:dyDescent="0.25">
      <c r="A2313" s="17"/>
      <c r="B2313" s="18"/>
      <c r="C2313" s="18"/>
      <c r="D2313" s="18"/>
      <c r="E2313" s="18"/>
      <c r="F2313" s="18"/>
      <c r="G2313" s="18"/>
    </row>
    <row r="2314" spans="1:7" ht="15.75" x14ac:dyDescent="0.25">
      <c r="A2314" s="17"/>
      <c r="B2314" s="18"/>
      <c r="C2314" s="18"/>
      <c r="D2314" s="18"/>
      <c r="E2314" s="18"/>
      <c r="F2314" s="18"/>
      <c r="G2314" s="18"/>
    </row>
    <row r="2315" spans="1:7" ht="15.75" x14ac:dyDescent="0.25">
      <c r="A2315" s="20" t="s">
        <v>22</v>
      </c>
      <c r="B2315" s="21" t="s">
        <v>23</v>
      </c>
      <c r="C2315" s="22"/>
      <c r="D2315" s="21" t="s">
        <v>24</v>
      </c>
      <c r="E2315" s="22"/>
      <c r="F2315" s="59" t="s">
        <v>25</v>
      </c>
      <c r="G2315" s="60" t="s">
        <v>26</v>
      </c>
    </row>
    <row r="2316" spans="1:7" ht="15.75" x14ac:dyDescent="0.25">
      <c r="A2316" s="23" t="s">
        <v>27</v>
      </c>
      <c r="B2316" s="24" t="s">
        <v>28</v>
      </c>
      <c r="C2316" s="24" t="s">
        <v>29</v>
      </c>
      <c r="D2316" s="24" t="s">
        <v>28</v>
      </c>
      <c r="E2316" s="24" t="s">
        <v>30</v>
      </c>
      <c r="F2316" s="58" t="s">
        <v>31</v>
      </c>
      <c r="G2316" s="61" t="s">
        <v>31</v>
      </c>
    </row>
    <row r="2317" spans="1:7" ht="15.75" x14ac:dyDescent="0.25">
      <c r="A2317" s="25" t="s">
        <v>32</v>
      </c>
      <c r="B2317" s="26">
        <v>44.748000000000019</v>
      </c>
      <c r="C2317" s="27">
        <v>460.22000000000025</v>
      </c>
      <c r="D2317" s="28">
        <v>0</v>
      </c>
      <c r="E2317" s="27">
        <v>0</v>
      </c>
      <c r="F2317" s="29">
        <v>0</v>
      </c>
      <c r="G2317" s="27">
        <v>0</v>
      </c>
    </row>
    <row r="2318" spans="1:7" ht="15.75" x14ac:dyDescent="0.25">
      <c r="A2318" s="30">
        <v>201</v>
      </c>
      <c r="B2318" s="26">
        <v>19.033000000000001</v>
      </c>
      <c r="C2318" s="27">
        <v>259.27999999999997</v>
      </c>
      <c r="D2318" s="31">
        <v>3.6999999999999998E-2</v>
      </c>
      <c r="E2318" s="27">
        <v>1.28</v>
      </c>
      <c r="F2318" s="27">
        <v>455.2</v>
      </c>
      <c r="G2318" s="27">
        <v>716</v>
      </c>
    </row>
    <row r="2319" spans="1:7" ht="15.75" x14ac:dyDescent="0.25">
      <c r="A2319" s="30">
        <v>202</v>
      </c>
      <c r="B2319" s="26">
        <v>41.719000000000001</v>
      </c>
      <c r="C2319" s="27">
        <v>436.69</v>
      </c>
      <c r="D2319" s="28">
        <v>4.4089999999999998</v>
      </c>
      <c r="E2319" s="27">
        <v>153.1</v>
      </c>
      <c r="F2319" s="27">
        <v>455.2</v>
      </c>
      <c r="G2319" s="27">
        <v>1045</v>
      </c>
    </row>
    <row r="2320" spans="1:7" ht="15.75" x14ac:dyDescent="0.25">
      <c r="A2320" s="30">
        <v>301</v>
      </c>
      <c r="B2320" s="26">
        <v>18.783999999999999</v>
      </c>
      <c r="C2320" s="27">
        <v>257.33999999999997</v>
      </c>
      <c r="D2320" s="28">
        <v>2.734</v>
      </c>
      <c r="E2320" s="27">
        <v>94.94</v>
      </c>
      <c r="F2320" s="27">
        <v>455.2</v>
      </c>
      <c r="G2320" s="27">
        <v>808</v>
      </c>
    </row>
    <row r="2321" spans="1:7" ht="15.75" x14ac:dyDescent="0.25">
      <c r="A2321" s="30">
        <v>302</v>
      </c>
      <c r="B2321" s="26">
        <v>27.808</v>
      </c>
      <c r="C2321" s="27">
        <v>327.9</v>
      </c>
      <c r="D2321" s="28">
        <v>2.4740000000000002</v>
      </c>
      <c r="E2321" s="27">
        <v>85.91</v>
      </c>
      <c r="F2321" s="27">
        <v>455.2</v>
      </c>
      <c r="G2321" s="27">
        <v>870</v>
      </c>
    </row>
    <row r="2322" spans="1:7" ht="15.75" x14ac:dyDescent="0.25">
      <c r="A2322" s="30">
        <v>401</v>
      </c>
      <c r="B2322" s="26">
        <v>17.75</v>
      </c>
      <c r="C2322" s="27">
        <v>249.25</v>
      </c>
      <c r="D2322" s="28">
        <v>1.72</v>
      </c>
      <c r="E2322" s="27">
        <v>59.73</v>
      </c>
      <c r="F2322" s="27">
        <v>455.2</v>
      </c>
      <c r="G2322" s="27">
        <v>765</v>
      </c>
    </row>
    <row r="2323" spans="1:7" ht="15.75" x14ac:dyDescent="0.25">
      <c r="A2323" s="30">
        <v>402</v>
      </c>
      <c r="B2323" s="26">
        <v>33.94</v>
      </c>
      <c r="C2323" s="27">
        <v>375.86</v>
      </c>
      <c r="D2323" s="28">
        <v>4.7110000000000003</v>
      </c>
      <c r="E2323" s="27">
        <v>163.59</v>
      </c>
      <c r="F2323" s="27">
        <v>455.2</v>
      </c>
      <c r="G2323" s="27">
        <v>995</v>
      </c>
    </row>
    <row r="2324" spans="1:7" ht="15.75" x14ac:dyDescent="0.25">
      <c r="A2324" s="30">
        <v>501</v>
      </c>
      <c r="B2324" s="26">
        <v>15.064</v>
      </c>
      <c r="C2324" s="27">
        <v>228.25</v>
      </c>
      <c r="D2324" s="28">
        <v>0.92100000000000004</v>
      </c>
      <c r="E2324" s="27">
        <v>31.98</v>
      </c>
      <c r="F2324" s="27">
        <v>455.2</v>
      </c>
      <c r="G2324" s="27">
        <v>716</v>
      </c>
    </row>
    <row r="2325" spans="1:7" ht="15.75" x14ac:dyDescent="0.25">
      <c r="A2325" s="30">
        <v>502</v>
      </c>
      <c r="B2325" s="26">
        <v>10.61</v>
      </c>
      <c r="C2325" s="27">
        <v>193.42</v>
      </c>
      <c r="D2325" s="28">
        <v>0.79900000000000004</v>
      </c>
      <c r="E2325" s="27">
        <v>27.75</v>
      </c>
      <c r="F2325" s="27">
        <v>455.2</v>
      </c>
      <c r="G2325" s="27">
        <v>677</v>
      </c>
    </row>
    <row r="2326" spans="1:7" ht="15.75" x14ac:dyDescent="0.25">
      <c r="A2326" s="30">
        <v>601</v>
      </c>
      <c r="B2326" s="26">
        <v>3.673</v>
      </c>
      <c r="C2326" s="27">
        <v>139.16999999999999</v>
      </c>
      <c r="D2326" s="28">
        <v>0.151</v>
      </c>
      <c r="E2326" s="27">
        <v>5.24</v>
      </c>
      <c r="F2326" s="27">
        <v>455.2</v>
      </c>
      <c r="G2326" s="27">
        <v>600</v>
      </c>
    </row>
    <row r="2327" spans="1:7" ht="15.75" x14ac:dyDescent="0.25">
      <c r="A2327" s="30">
        <v>602</v>
      </c>
      <c r="B2327" s="26">
        <v>22.021000000000001</v>
      </c>
      <c r="C2327" s="27">
        <v>282.64999999999998</v>
      </c>
      <c r="D2327" s="28">
        <v>2.0329999999999999</v>
      </c>
      <c r="E2327" s="27">
        <v>70.599999999999994</v>
      </c>
      <c r="F2327" s="27">
        <v>455.2</v>
      </c>
      <c r="G2327" s="27">
        <v>809</v>
      </c>
    </row>
    <row r="2328" spans="1:7" ht="15.75" x14ac:dyDescent="0.25">
      <c r="A2328" s="30">
        <v>701</v>
      </c>
      <c r="B2328" s="26">
        <v>12.250999999999999</v>
      </c>
      <c r="C2328" s="27">
        <v>206.25</v>
      </c>
      <c r="D2328" s="28">
        <v>0.503</v>
      </c>
      <c r="E2328" s="27">
        <v>17.47</v>
      </c>
      <c r="F2328" s="27">
        <v>455.2</v>
      </c>
      <c r="G2328" s="27">
        <v>679</v>
      </c>
    </row>
    <row r="2329" spans="1:7" ht="15.75" x14ac:dyDescent="0.25">
      <c r="A2329" s="30">
        <v>702</v>
      </c>
      <c r="B2329" s="26">
        <v>5.976</v>
      </c>
      <c r="C2329" s="27">
        <v>157.18</v>
      </c>
      <c r="D2329" s="28">
        <v>3.1440000000000001</v>
      </c>
      <c r="E2329" s="27">
        <v>109.18</v>
      </c>
      <c r="F2329" s="27">
        <v>455.2</v>
      </c>
      <c r="G2329" s="27">
        <v>722</v>
      </c>
    </row>
    <row r="2330" spans="1:7" ht="15.75" x14ac:dyDescent="0.25">
      <c r="A2330" s="30">
        <v>801</v>
      </c>
      <c r="B2330" s="26">
        <v>3.976</v>
      </c>
      <c r="C2330" s="27">
        <v>141.54</v>
      </c>
      <c r="D2330" s="28">
        <v>0</v>
      </c>
      <c r="E2330" s="27">
        <v>0</v>
      </c>
      <c r="F2330" s="27">
        <v>455.2</v>
      </c>
      <c r="G2330" s="27">
        <v>597</v>
      </c>
    </row>
    <row r="2331" spans="1:7" ht="15.75" x14ac:dyDescent="0.25">
      <c r="A2331" s="30">
        <v>802</v>
      </c>
      <c r="B2331" s="26">
        <v>11.647</v>
      </c>
      <c r="C2331" s="27">
        <v>201.52</v>
      </c>
      <c r="D2331" s="28">
        <v>1.6839999999999999</v>
      </c>
      <c r="E2331" s="27">
        <v>58.48</v>
      </c>
      <c r="F2331" s="63">
        <v>455.2</v>
      </c>
      <c r="G2331" s="63">
        <v>716</v>
      </c>
    </row>
    <row r="2333" spans="1:7" x14ac:dyDescent="0.25">
      <c r="A2333" s="32"/>
      <c r="B2333" s="7"/>
      <c r="C2333" s="7"/>
      <c r="D2333" s="7"/>
      <c r="E2333" s="7"/>
      <c r="F2333" s="7"/>
      <c r="G2333" s="33"/>
    </row>
    <row r="2334" spans="1:7" x14ac:dyDescent="0.25">
      <c r="A2334" s="32"/>
      <c r="B2334" s="7"/>
      <c r="C2334" s="7"/>
      <c r="D2334" s="7"/>
      <c r="E2334" s="7"/>
      <c r="F2334" s="7"/>
      <c r="G2334" s="33"/>
    </row>
    <row r="2335" spans="1:7" x14ac:dyDescent="0.25">
      <c r="A2335" s="32"/>
      <c r="B2335" s="7"/>
      <c r="C2335" s="7"/>
      <c r="D2335" s="7"/>
      <c r="E2335" s="7"/>
      <c r="F2335" s="7"/>
      <c r="G2335" s="33"/>
    </row>
    <row r="2337" spans="1:7" ht="15.75" x14ac:dyDescent="0.25">
      <c r="A2337" s="34" t="s">
        <v>371</v>
      </c>
      <c r="B2337" s="35"/>
      <c r="C2337" s="35"/>
      <c r="D2337" s="35"/>
      <c r="E2337" s="35"/>
      <c r="F2337" s="36"/>
      <c r="G2337" s="72">
        <v>32079.219999999998</v>
      </c>
    </row>
    <row r="2338" spans="1:7" ht="15.75" x14ac:dyDescent="0.25">
      <c r="A2338" s="37" t="s">
        <v>372</v>
      </c>
      <c r="B2338" s="38"/>
      <c r="C2338" s="38"/>
      <c r="D2338" s="38"/>
      <c r="E2338" s="38"/>
      <c r="F2338" s="39"/>
      <c r="G2338" s="72">
        <v>2100</v>
      </c>
    </row>
    <row r="2339" spans="1:7" ht="15.75" x14ac:dyDescent="0.25">
      <c r="A2339" s="37"/>
      <c r="B2339" s="38"/>
      <c r="C2339" s="38"/>
      <c r="D2339" s="38"/>
      <c r="E2339" s="38"/>
      <c r="F2339" s="39"/>
      <c r="G2339" s="72"/>
    </row>
    <row r="2340" spans="1:7" ht="15.75" x14ac:dyDescent="0.25">
      <c r="A2340" s="34" t="s">
        <v>373</v>
      </c>
      <c r="B2340" s="35"/>
      <c r="C2340" s="35"/>
      <c r="D2340" s="35"/>
      <c r="E2340" s="35"/>
      <c r="F2340" s="36"/>
      <c r="G2340" s="72">
        <f>SUM(G2337:G2339)</f>
        <v>34179.22</v>
      </c>
    </row>
    <row r="2341" spans="1:7" ht="18.75" x14ac:dyDescent="0.3">
      <c r="A2341" s="40"/>
      <c r="B2341" s="40"/>
      <c r="C2341" s="40"/>
      <c r="D2341" s="40"/>
      <c r="E2341" s="40"/>
      <c r="F2341" s="40"/>
      <c r="G2341" s="40"/>
    </row>
    <row r="2342" spans="1:7" ht="31.5" customHeight="1" x14ac:dyDescent="0.25">
      <c r="A2342" s="85" t="s">
        <v>54</v>
      </c>
      <c r="B2342" s="86"/>
      <c r="C2342" s="86"/>
      <c r="D2342" s="86"/>
      <c r="E2342" s="86"/>
      <c r="F2342" s="86"/>
      <c r="G2342" s="87"/>
    </row>
    <row r="2343" spans="1:7" ht="15.75" x14ac:dyDescent="0.25">
      <c r="A2343" s="41" t="s">
        <v>36</v>
      </c>
      <c r="B2343" s="42"/>
      <c r="C2343" s="42"/>
      <c r="D2343" s="42"/>
      <c r="E2343" s="42"/>
      <c r="F2343" s="42"/>
      <c r="G2343" s="43"/>
    </row>
    <row r="2344" spans="1:7" ht="15.75" x14ac:dyDescent="0.25">
      <c r="A2344" s="44" t="s">
        <v>37</v>
      </c>
      <c r="B2344" s="45"/>
      <c r="C2344" s="45"/>
      <c r="D2344" s="45"/>
      <c r="E2344" s="45"/>
      <c r="F2344" s="45"/>
      <c r="G2344" s="46"/>
    </row>
    <row r="2345" spans="1:7" ht="15.75" x14ac:dyDescent="0.25">
      <c r="A2345" s="47"/>
      <c r="B2345" s="47"/>
      <c r="C2345" s="47"/>
      <c r="D2345" s="47"/>
      <c r="E2345" s="47"/>
      <c r="F2345" s="47"/>
      <c r="G2345" s="47"/>
    </row>
    <row r="2346" spans="1:7" ht="15.75" x14ac:dyDescent="0.25">
      <c r="A2346" s="48" t="s">
        <v>50</v>
      </c>
      <c r="B2346" s="49"/>
      <c r="C2346" s="49"/>
      <c r="D2346" s="49"/>
      <c r="E2346" s="49"/>
      <c r="F2346" s="49"/>
      <c r="G2346" s="50"/>
    </row>
    <row r="2347" spans="1:7" ht="15.75" x14ac:dyDescent="0.25">
      <c r="A2347" s="47"/>
      <c r="B2347" s="47"/>
      <c r="C2347" s="47"/>
      <c r="D2347" s="47"/>
      <c r="E2347" s="47"/>
      <c r="F2347" s="47"/>
      <c r="G2347" s="47"/>
    </row>
    <row r="2348" spans="1:7" ht="15.75" x14ac:dyDescent="0.25">
      <c r="A2348" s="47"/>
      <c r="B2348" s="47"/>
      <c r="C2348" s="47"/>
      <c r="D2348" s="47"/>
      <c r="E2348" s="47"/>
      <c r="F2348" s="47"/>
      <c r="G2348" s="47"/>
    </row>
    <row r="2349" spans="1:7" ht="15.75" x14ac:dyDescent="0.25">
      <c r="A2349" s="47"/>
      <c r="B2349" s="47"/>
      <c r="C2349" s="47"/>
      <c r="D2349" s="47"/>
      <c r="E2349" s="47"/>
      <c r="F2349" s="47"/>
      <c r="G2349" s="47"/>
    </row>
    <row r="2357" spans="1:9" ht="21" x14ac:dyDescent="0.35">
      <c r="A2357" s="88" t="s">
        <v>20</v>
      </c>
      <c r="B2357" s="89"/>
      <c r="C2357" s="89"/>
      <c r="D2357" s="89"/>
      <c r="E2357" s="89"/>
      <c r="F2357" s="89"/>
      <c r="G2357" s="90"/>
      <c r="H2357" s="56"/>
      <c r="I2357" s="56"/>
    </row>
    <row r="2359" spans="1:9" ht="17.25" x14ac:dyDescent="0.3">
      <c r="A2359" s="51" t="s">
        <v>374</v>
      </c>
      <c r="B2359" s="51"/>
      <c r="C2359" s="51"/>
      <c r="D2359" s="51"/>
      <c r="E2359" s="51"/>
      <c r="F2359" s="51"/>
      <c r="G2359" s="51"/>
      <c r="H2359" s="51"/>
      <c r="I2359" s="51"/>
    </row>
    <row r="2360" spans="1:9" ht="17.25" x14ac:dyDescent="0.3">
      <c r="A2360" s="51"/>
      <c r="B2360" s="51"/>
      <c r="C2360" s="51"/>
      <c r="D2360" s="51"/>
      <c r="E2360" s="51"/>
      <c r="F2360" s="51"/>
      <c r="G2360" s="51"/>
      <c r="H2360" s="51"/>
      <c r="I2360" s="51"/>
    </row>
    <row r="2361" spans="1:9" ht="17.25" x14ac:dyDescent="0.3">
      <c r="A2361" s="51" t="s">
        <v>375</v>
      </c>
      <c r="B2361" s="51"/>
      <c r="C2361" s="51"/>
      <c r="D2361" s="51"/>
      <c r="E2361" s="51"/>
      <c r="F2361" s="51"/>
      <c r="G2361" s="51"/>
      <c r="H2361" s="51"/>
      <c r="I2361" s="51"/>
    </row>
    <row r="2362" spans="1:9" ht="17.25" x14ac:dyDescent="0.3">
      <c r="A2362" s="51"/>
      <c r="B2362" s="51"/>
      <c r="C2362" s="51"/>
      <c r="D2362" s="51"/>
      <c r="E2362" s="51"/>
      <c r="F2362" s="51"/>
      <c r="G2362" s="51"/>
      <c r="H2362" s="51"/>
      <c r="I2362" s="51"/>
    </row>
    <row r="2363" spans="1:9" ht="17.25" x14ac:dyDescent="0.3">
      <c r="A2363" s="51" t="s">
        <v>376</v>
      </c>
      <c r="B2363" s="51"/>
      <c r="C2363" s="51"/>
      <c r="D2363" s="51"/>
      <c r="E2363" s="51"/>
      <c r="F2363" s="51"/>
      <c r="G2363" s="51"/>
      <c r="H2363" s="51"/>
      <c r="I2363" s="51"/>
    </row>
    <row r="2364" spans="1:9" ht="17.25" x14ac:dyDescent="0.3">
      <c r="A2364" s="51"/>
      <c r="B2364" s="51"/>
      <c r="C2364" s="51"/>
      <c r="D2364" s="51"/>
      <c r="E2364" s="51"/>
      <c r="F2364" s="51"/>
      <c r="G2364" s="51"/>
      <c r="H2364" s="51"/>
      <c r="I2364" s="51"/>
    </row>
    <row r="2365" spans="1:9" ht="17.25" x14ac:dyDescent="0.3">
      <c r="A2365" s="51" t="s">
        <v>40</v>
      </c>
      <c r="B2365" s="51"/>
      <c r="C2365" s="51"/>
      <c r="D2365" s="51"/>
      <c r="E2365" s="51"/>
      <c r="F2365" s="51"/>
      <c r="G2365" s="51"/>
      <c r="H2365" s="51"/>
      <c r="I2365" s="51"/>
    </row>
    <row r="2366" spans="1:9" ht="17.25" x14ac:dyDescent="0.3">
      <c r="A2366" s="51"/>
      <c r="B2366" s="51"/>
      <c r="C2366" s="51"/>
      <c r="D2366" s="51"/>
      <c r="E2366" s="51"/>
      <c r="F2366" s="51"/>
      <c r="G2366" s="51"/>
      <c r="H2366" s="51"/>
      <c r="I2366" s="51"/>
    </row>
    <row r="2367" spans="1:9" ht="33" customHeight="1" x14ac:dyDescent="0.3">
      <c r="A2367" s="91" t="s">
        <v>377</v>
      </c>
      <c r="B2367" s="91"/>
      <c r="C2367" s="91"/>
      <c r="D2367" s="91"/>
      <c r="E2367" s="91"/>
      <c r="F2367" s="91"/>
      <c r="G2367" s="91"/>
      <c r="H2367" s="55"/>
      <c r="I2367" s="55"/>
    </row>
    <row r="2368" spans="1:9" ht="17.25" x14ac:dyDescent="0.3">
      <c r="A2368" s="51"/>
      <c r="B2368" s="51"/>
      <c r="C2368" s="51"/>
      <c r="D2368" s="51"/>
      <c r="E2368" s="51"/>
      <c r="F2368" s="51"/>
      <c r="G2368" s="51"/>
      <c r="H2368" s="51"/>
      <c r="I2368" s="51"/>
    </row>
    <row r="2369" spans="1:9" ht="33" customHeight="1" x14ac:dyDescent="0.3">
      <c r="A2369" s="91" t="s">
        <v>378</v>
      </c>
      <c r="B2369" s="91"/>
      <c r="C2369" s="91"/>
      <c r="D2369" s="91"/>
      <c r="E2369" s="91"/>
      <c r="F2369" s="91"/>
      <c r="G2369" s="91"/>
      <c r="H2369" s="55"/>
      <c r="I2369" s="55"/>
    </row>
    <row r="2370" spans="1:9" ht="17.25" x14ac:dyDescent="0.3">
      <c r="A2370" s="51"/>
      <c r="B2370" s="51"/>
      <c r="C2370" s="51"/>
      <c r="D2370" s="51"/>
      <c r="E2370" s="51"/>
      <c r="F2370" s="51"/>
      <c r="G2370" s="51"/>
      <c r="H2370" s="51"/>
      <c r="I2370" s="51"/>
    </row>
    <row r="2371" spans="1:9" ht="33" customHeight="1" x14ac:dyDescent="0.3">
      <c r="A2371" s="91" t="s">
        <v>379</v>
      </c>
      <c r="B2371" s="91"/>
      <c r="C2371" s="91"/>
      <c r="D2371" s="91"/>
      <c r="E2371" s="91"/>
      <c r="F2371" s="91"/>
      <c r="G2371" s="91"/>
      <c r="H2371" s="55"/>
      <c r="I2371" s="55"/>
    </row>
    <row r="2373" spans="1:9" ht="18.75" x14ac:dyDescent="0.3">
      <c r="A2373" s="1" t="s">
        <v>380</v>
      </c>
      <c r="B2373" s="2"/>
      <c r="C2373" s="2"/>
      <c r="D2373" s="2"/>
      <c r="E2373" s="2"/>
      <c r="F2373" s="2"/>
      <c r="G2373" s="53"/>
    </row>
    <row r="2374" spans="1:9" ht="15.75" x14ac:dyDescent="0.25">
      <c r="A2374" s="3" t="s">
        <v>1</v>
      </c>
      <c r="B2374" s="3" t="s">
        <v>2</v>
      </c>
      <c r="C2374" s="4" t="s">
        <v>3</v>
      </c>
      <c r="D2374" s="4"/>
      <c r="E2374" s="4"/>
      <c r="F2374" s="4"/>
      <c r="G2374" s="62" t="s">
        <v>30</v>
      </c>
    </row>
    <row r="2375" spans="1:9" ht="15.75" x14ac:dyDescent="0.25">
      <c r="A2375" s="5">
        <v>45789</v>
      </c>
      <c r="B2375" s="6" t="s">
        <v>4</v>
      </c>
      <c r="C2375" s="7" t="s">
        <v>5</v>
      </c>
      <c r="D2375" s="7"/>
      <c r="E2375" s="7"/>
      <c r="F2375" s="7"/>
      <c r="G2375" s="52">
        <v>1342.94</v>
      </c>
    </row>
    <row r="2376" spans="1:9" ht="15.75" x14ac:dyDescent="0.25">
      <c r="A2376" s="5">
        <v>45792</v>
      </c>
      <c r="B2376" s="6" t="s">
        <v>4</v>
      </c>
      <c r="C2376" s="7" t="s">
        <v>61</v>
      </c>
      <c r="D2376" s="7"/>
      <c r="E2376" s="7"/>
      <c r="F2376" s="7"/>
      <c r="G2376" s="52">
        <v>1138.6500000000001</v>
      </c>
    </row>
    <row r="2377" spans="1:9" ht="15.75" x14ac:dyDescent="0.25">
      <c r="A2377" s="5">
        <v>45796</v>
      </c>
      <c r="B2377" s="6" t="s">
        <v>4</v>
      </c>
      <c r="C2377" s="7" t="s">
        <v>9</v>
      </c>
      <c r="D2377" s="7"/>
      <c r="E2377" s="7"/>
      <c r="F2377" s="7"/>
      <c r="G2377" s="52">
        <v>311.36</v>
      </c>
    </row>
    <row r="2378" spans="1:9" ht="15.75" x14ac:dyDescent="0.25">
      <c r="A2378" s="5">
        <v>45797</v>
      </c>
      <c r="B2378" s="6" t="s">
        <v>4</v>
      </c>
      <c r="C2378" s="7" t="s">
        <v>47</v>
      </c>
      <c r="D2378" s="7"/>
      <c r="E2378" s="7"/>
      <c r="F2378" s="7"/>
      <c r="G2378" s="52">
        <v>221.5</v>
      </c>
    </row>
    <row r="2379" spans="1:9" ht="15.75" x14ac:dyDescent="0.25">
      <c r="A2379" s="5">
        <v>45772</v>
      </c>
      <c r="B2379" s="6" t="s">
        <v>4</v>
      </c>
      <c r="C2379" s="7" t="s">
        <v>62</v>
      </c>
      <c r="D2379" s="7"/>
      <c r="E2379" s="7"/>
      <c r="F2379" s="7"/>
      <c r="G2379" s="52">
        <v>224.69</v>
      </c>
    </row>
    <row r="2380" spans="1:9" ht="15.75" x14ac:dyDescent="0.25">
      <c r="A2380" s="5">
        <v>45789</v>
      </c>
      <c r="B2380" s="6" t="s">
        <v>4</v>
      </c>
      <c r="C2380" s="7" t="s">
        <v>78</v>
      </c>
      <c r="D2380" s="7"/>
      <c r="E2380" s="7"/>
      <c r="F2380" s="7"/>
      <c r="G2380" s="52">
        <v>608</v>
      </c>
    </row>
    <row r="2381" spans="1:9" ht="15.75" x14ac:dyDescent="0.25">
      <c r="A2381" s="5">
        <v>45805</v>
      </c>
      <c r="B2381" s="6" t="s">
        <v>4</v>
      </c>
      <c r="C2381" s="7" t="s">
        <v>14</v>
      </c>
      <c r="D2381" s="7"/>
      <c r="E2381" s="7"/>
      <c r="F2381" s="7"/>
      <c r="G2381" s="52">
        <v>151.6</v>
      </c>
    </row>
    <row r="2382" spans="1:9" ht="15.75" customHeight="1" x14ac:dyDescent="0.25">
      <c r="A2382" s="8">
        <v>45778</v>
      </c>
      <c r="B2382" s="54" t="s">
        <v>4</v>
      </c>
      <c r="C2382" s="32" t="s">
        <v>15</v>
      </c>
      <c r="D2382" s="67"/>
      <c r="E2382" s="67"/>
      <c r="F2382" s="68"/>
      <c r="G2382" s="52">
        <v>65</v>
      </c>
    </row>
    <row r="2383" spans="1:9" ht="21" x14ac:dyDescent="0.35">
      <c r="A2383" s="9" t="s">
        <v>16</v>
      </c>
      <c r="B2383" s="10"/>
      <c r="C2383" s="11"/>
      <c r="D2383" s="11"/>
      <c r="E2383" s="11"/>
      <c r="F2383" s="11"/>
      <c r="G2383" s="12">
        <f>SUM(G2375:G2382)</f>
        <v>4063.7400000000002</v>
      </c>
    </row>
    <row r="2384" spans="1:9" ht="21" x14ac:dyDescent="0.35">
      <c r="A2384" s="13" t="s">
        <v>17</v>
      </c>
      <c r="B2384" s="11"/>
      <c r="C2384" s="11"/>
      <c r="D2384" s="11"/>
      <c r="E2384" s="11"/>
      <c r="F2384" s="11"/>
      <c r="G2384" s="14">
        <f>ROUND(G2383/14,2)</f>
        <v>290.27</v>
      </c>
    </row>
    <row r="2385" spans="1:7" ht="21" x14ac:dyDescent="0.35">
      <c r="A2385" s="13" t="s">
        <v>74</v>
      </c>
      <c r="B2385" s="11"/>
      <c r="C2385" s="11"/>
      <c r="D2385" s="11"/>
      <c r="E2385" s="11"/>
      <c r="F2385" s="11"/>
      <c r="G2385" s="14">
        <f>ROUND(G2384/13,2)</f>
        <v>22.33</v>
      </c>
    </row>
    <row r="2386" spans="1:7" ht="21" x14ac:dyDescent="0.35">
      <c r="A2386" s="13" t="s">
        <v>196</v>
      </c>
      <c r="B2386" s="11"/>
      <c r="C2386" s="11"/>
      <c r="D2386" s="11"/>
      <c r="E2386" s="11"/>
      <c r="F2386" s="11"/>
      <c r="G2386" s="14">
        <v>150</v>
      </c>
    </row>
    <row r="2387" spans="1:7" ht="21" x14ac:dyDescent="0.35">
      <c r="A2387" s="13" t="s">
        <v>19</v>
      </c>
      <c r="B2387" s="11"/>
      <c r="C2387" s="11"/>
      <c r="D2387" s="11"/>
      <c r="E2387" s="11"/>
      <c r="F2387" s="11"/>
      <c r="G2387" s="12">
        <f>G2384+G2385+G2386</f>
        <v>462.59999999999997</v>
      </c>
    </row>
    <row r="2398" spans="1:7" ht="21" x14ac:dyDescent="0.35">
      <c r="A2398" s="88" t="s">
        <v>20</v>
      </c>
      <c r="B2398" s="89"/>
      <c r="C2398" s="89"/>
      <c r="D2398" s="89"/>
      <c r="E2398" s="89"/>
      <c r="F2398" s="89"/>
      <c r="G2398" s="90"/>
    </row>
    <row r="2399" spans="1:7" ht="18.75" x14ac:dyDescent="0.25">
      <c r="A2399" s="19" t="s">
        <v>381</v>
      </c>
      <c r="B2399" s="15"/>
      <c r="C2399" s="15"/>
      <c r="D2399" s="15"/>
      <c r="E2399" s="15"/>
      <c r="F2399" s="15"/>
      <c r="G2399" s="16"/>
    </row>
    <row r="2400" spans="1:7" ht="15.75" x14ac:dyDescent="0.25">
      <c r="A2400" s="17"/>
      <c r="B2400" s="18"/>
      <c r="C2400" s="18"/>
      <c r="D2400" s="18"/>
      <c r="E2400" s="18"/>
      <c r="F2400" s="18"/>
      <c r="G2400" s="18"/>
    </row>
    <row r="2401" spans="1:7" ht="15.75" x14ac:dyDescent="0.25">
      <c r="A2401" s="17"/>
      <c r="B2401" s="18"/>
      <c r="C2401" s="18"/>
      <c r="D2401" s="18"/>
      <c r="E2401" s="18"/>
      <c r="F2401" s="18"/>
      <c r="G2401" s="18"/>
    </row>
    <row r="2402" spans="1:7" ht="15.75" x14ac:dyDescent="0.25">
      <c r="A2402" s="20" t="s">
        <v>22</v>
      </c>
      <c r="B2402" s="21" t="s">
        <v>23</v>
      </c>
      <c r="C2402" s="22"/>
      <c r="D2402" s="21" t="s">
        <v>24</v>
      </c>
      <c r="E2402" s="22"/>
      <c r="F2402" s="59" t="s">
        <v>25</v>
      </c>
      <c r="G2402" s="60" t="s">
        <v>26</v>
      </c>
    </row>
    <row r="2403" spans="1:7" ht="15.75" x14ac:dyDescent="0.25">
      <c r="A2403" s="23" t="s">
        <v>27</v>
      </c>
      <c r="B2403" s="24" t="s">
        <v>28</v>
      </c>
      <c r="C2403" s="24" t="s">
        <v>29</v>
      </c>
      <c r="D2403" s="24" t="s">
        <v>28</v>
      </c>
      <c r="E2403" s="24" t="s">
        <v>30</v>
      </c>
      <c r="F2403" s="58" t="s">
        <v>31</v>
      </c>
      <c r="G2403" s="61" t="s">
        <v>31</v>
      </c>
    </row>
    <row r="2404" spans="1:7" ht="15.75" x14ac:dyDescent="0.25">
      <c r="A2404" s="25" t="s">
        <v>32</v>
      </c>
      <c r="B2404" s="26">
        <v>0</v>
      </c>
      <c r="C2404" s="27">
        <v>0</v>
      </c>
      <c r="D2404" s="28">
        <v>0</v>
      </c>
      <c r="E2404" s="27">
        <v>0</v>
      </c>
      <c r="F2404" s="29">
        <v>0</v>
      </c>
      <c r="G2404" s="27">
        <v>0</v>
      </c>
    </row>
    <row r="2405" spans="1:7" ht="15.75" x14ac:dyDescent="0.25">
      <c r="A2405" s="30">
        <v>201</v>
      </c>
      <c r="B2405" s="26">
        <v>23.72</v>
      </c>
      <c r="C2405" s="27">
        <v>256.5</v>
      </c>
      <c r="D2405" s="31">
        <v>6.4000000000000001E-2</v>
      </c>
      <c r="E2405" s="27">
        <v>2.2200000000000002</v>
      </c>
      <c r="F2405" s="27">
        <v>462.59999999999997</v>
      </c>
      <c r="G2405" s="27">
        <v>722</v>
      </c>
    </row>
    <row r="2406" spans="1:7" ht="15.75" x14ac:dyDescent="0.25">
      <c r="A2406" s="30">
        <v>202</v>
      </c>
      <c r="B2406" s="26">
        <v>42.058</v>
      </c>
      <c r="C2406" s="27">
        <v>388.53</v>
      </c>
      <c r="D2406" s="28">
        <v>4.0579999999999998</v>
      </c>
      <c r="E2406" s="27">
        <v>140.91</v>
      </c>
      <c r="F2406" s="27">
        <v>462.59999999999997</v>
      </c>
      <c r="G2406" s="27">
        <v>993</v>
      </c>
    </row>
    <row r="2407" spans="1:7" ht="15.75" x14ac:dyDescent="0.25">
      <c r="A2407" s="30">
        <v>301</v>
      </c>
      <c r="B2407" s="26">
        <v>20.332999999999998</v>
      </c>
      <c r="C2407" s="27">
        <v>232.11</v>
      </c>
      <c r="D2407" s="28">
        <v>4.0720000000000001</v>
      </c>
      <c r="E2407" s="27">
        <v>141.4</v>
      </c>
      <c r="F2407" s="27">
        <v>462.59999999999997</v>
      </c>
      <c r="G2407" s="27">
        <v>837</v>
      </c>
    </row>
    <row r="2408" spans="1:7" ht="15.75" x14ac:dyDescent="0.25">
      <c r="A2408" s="30">
        <v>302</v>
      </c>
      <c r="B2408" s="26">
        <v>27.45</v>
      </c>
      <c r="C2408" s="27">
        <v>283.36</v>
      </c>
      <c r="D2408" s="28">
        <v>2.8690000000000002</v>
      </c>
      <c r="E2408" s="27">
        <v>99.63</v>
      </c>
      <c r="F2408" s="27">
        <v>462.59999999999997</v>
      </c>
      <c r="G2408" s="27">
        <v>846</v>
      </c>
    </row>
    <row r="2409" spans="1:7" ht="15.75" x14ac:dyDescent="0.25">
      <c r="A2409" s="30">
        <v>401</v>
      </c>
      <c r="B2409" s="26">
        <v>20.201000000000001</v>
      </c>
      <c r="C2409" s="27">
        <v>231.16</v>
      </c>
      <c r="D2409" s="28">
        <v>1.5660000000000001</v>
      </c>
      <c r="E2409" s="27">
        <v>54.38</v>
      </c>
      <c r="F2409" s="27">
        <v>462.59999999999997</v>
      </c>
      <c r="G2409" s="27">
        <v>749</v>
      </c>
    </row>
    <row r="2410" spans="1:7" ht="15.75" x14ac:dyDescent="0.25">
      <c r="A2410" s="30">
        <v>402</v>
      </c>
      <c r="B2410" s="26">
        <v>32.951000000000001</v>
      </c>
      <c r="C2410" s="27">
        <v>322.95999999999998</v>
      </c>
      <c r="D2410" s="28">
        <v>4.6449999999999996</v>
      </c>
      <c r="E2410" s="27">
        <v>161.30000000000001</v>
      </c>
      <c r="F2410" s="27">
        <v>462.59999999999997</v>
      </c>
      <c r="G2410" s="27">
        <v>947</v>
      </c>
    </row>
    <row r="2411" spans="1:7" ht="15.75" x14ac:dyDescent="0.25">
      <c r="A2411" s="30">
        <v>501</v>
      </c>
      <c r="B2411" s="26">
        <v>15.228</v>
      </c>
      <c r="C2411" s="27">
        <v>195.36</v>
      </c>
      <c r="D2411" s="28">
        <v>1.127</v>
      </c>
      <c r="E2411" s="27">
        <v>39.14</v>
      </c>
      <c r="F2411" s="27">
        <v>462.59999999999997</v>
      </c>
      <c r="G2411" s="27">
        <v>698</v>
      </c>
    </row>
    <row r="2412" spans="1:7" ht="15.75" x14ac:dyDescent="0.25">
      <c r="A2412" s="30">
        <v>502</v>
      </c>
      <c r="B2412" s="26">
        <v>12.144</v>
      </c>
      <c r="C2412" s="27">
        <v>173.15</v>
      </c>
      <c r="D2412" s="28">
        <v>1.2030000000000001</v>
      </c>
      <c r="E2412" s="27">
        <v>41.77</v>
      </c>
      <c r="F2412" s="27">
        <v>462.59999999999997</v>
      </c>
      <c r="G2412" s="27">
        <v>678</v>
      </c>
    </row>
    <row r="2413" spans="1:7" ht="15.75" x14ac:dyDescent="0.25">
      <c r="A2413" s="30">
        <v>601</v>
      </c>
      <c r="B2413" s="26">
        <v>7.4189999999999996</v>
      </c>
      <c r="C2413" s="27">
        <v>139.13</v>
      </c>
      <c r="D2413" s="28">
        <v>0.222</v>
      </c>
      <c r="E2413" s="27">
        <v>7.71</v>
      </c>
      <c r="F2413" s="27">
        <v>462.59999999999997</v>
      </c>
      <c r="G2413" s="27">
        <v>610</v>
      </c>
    </row>
    <row r="2414" spans="1:7" ht="15.75" x14ac:dyDescent="0.25">
      <c r="A2414" s="30">
        <v>602</v>
      </c>
      <c r="B2414" s="26">
        <v>22.797999999999998</v>
      </c>
      <c r="C2414" s="27">
        <v>249.86</v>
      </c>
      <c r="D2414" s="28">
        <v>1.9490000000000001</v>
      </c>
      <c r="E2414" s="27">
        <v>67.680000000000007</v>
      </c>
      <c r="F2414" s="27">
        <v>462.59999999999997</v>
      </c>
      <c r="G2414" s="27">
        <v>781</v>
      </c>
    </row>
    <row r="2415" spans="1:7" ht="15.75" x14ac:dyDescent="0.25">
      <c r="A2415" s="30">
        <v>701</v>
      </c>
      <c r="B2415" s="26">
        <v>15.958</v>
      </c>
      <c r="C2415" s="27">
        <v>200.61</v>
      </c>
      <c r="D2415" s="28">
        <v>0.85899999999999999</v>
      </c>
      <c r="E2415" s="27">
        <v>29.83</v>
      </c>
      <c r="F2415" s="27">
        <v>462.59999999999997</v>
      </c>
      <c r="G2415" s="27">
        <v>694</v>
      </c>
    </row>
    <row r="2416" spans="1:7" ht="15.75" x14ac:dyDescent="0.25">
      <c r="A2416" s="30">
        <v>702</v>
      </c>
      <c r="B2416" s="26">
        <v>6.8940000000000001</v>
      </c>
      <c r="C2416" s="27">
        <v>135.35</v>
      </c>
      <c r="D2416" s="28">
        <v>3.3380000000000001</v>
      </c>
      <c r="E2416" s="27">
        <v>115.91</v>
      </c>
      <c r="F2416" s="27">
        <v>462.59999999999997</v>
      </c>
      <c r="G2416" s="27">
        <v>714</v>
      </c>
    </row>
    <row r="2417" spans="1:7" ht="15.75" x14ac:dyDescent="0.25">
      <c r="A2417" s="30">
        <v>801</v>
      </c>
      <c r="B2417" s="26">
        <v>5.9980000000000002</v>
      </c>
      <c r="C2417" s="27">
        <v>128.9</v>
      </c>
      <c r="D2417" s="28">
        <v>3.0000000000000001E-3</v>
      </c>
      <c r="E2417" s="27">
        <v>0.1</v>
      </c>
      <c r="F2417" s="27">
        <v>462.59999999999997</v>
      </c>
      <c r="G2417" s="27">
        <v>592</v>
      </c>
    </row>
    <row r="2418" spans="1:7" ht="15.75" x14ac:dyDescent="0.25">
      <c r="A2418" s="30">
        <v>802</v>
      </c>
      <c r="B2418" s="26">
        <v>15.122</v>
      </c>
      <c r="C2418" s="27">
        <v>194.59</v>
      </c>
      <c r="D2418" s="28">
        <v>1.7150000000000001</v>
      </c>
      <c r="E2418" s="27">
        <v>59.55</v>
      </c>
      <c r="F2418" s="63">
        <v>462.59999999999997</v>
      </c>
      <c r="G2418" s="63">
        <v>717</v>
      </c>
    </row>
    <row r="2420" spans="1:7" x14ac:dyDescent="0.25">
      <c r="A2420" s="32"/>
      <c r="B2420" s="7"/>
      <c r="C2420" s="7"/>
      <c r="D2420" s="7"/>
      <c r="E2420" s="7"/>
      <c r="F2420" s="7"/>
      <c r="G2420" s="33"/>
    </row>
    <row r="2421" spans="1:7" x14ac:dyDescent="0.25">
      <c r="A2421" s="32"/>
      <c r="B2421" s="7"/>
      <c r="C2421" s="7"/>
      <c r="D2421" s="7"/>
      <c r="E2421" s="7"/>
      <c r="F2421" s="7"/>
      <c r="G2421" s="33"/>
    </row>
    <row r="2422" spans="1:7" x14ac:dyDescent="0.25">
      <c r="A2422" s="32"/>
      <c r="B2422" s="7"/>
      <c r="C2422" s="7"/>
      <c r="D2422" s="7"/>
      <c r="E2422" s="7"/>
      <c r="F2422" s="7"/>
      <c r="G2422" s="33"/>
    </row>
    <row r="2424" spans="1:7" ht="15.75" x14ac:dyDescent="0.25">
      <c r="A2424" s="34" t="s">
        <v>382</v>
      </c>
      <c r="B2424" s="35"/>
      <c r="C2424" s="35"/>
      <c r="D2424" s="35"/>
      <c r="E2424" s="35"/>
      <c r="F2424" s="36"/>
      <c r="G2424" s="72">
        <v>34179.22</v>
      </c>
    </row>
    <row r="2425" spans="1:7" ht="15.75" x14ac:dyDescent="0.25">
      <c r="A2425" s="37" t="s">
        <v>383</v>
      </c>
      <c r="B2425" s="38"/>
      <c r="C2425" s="38"/>
      <c r="D2425" s="38"/>
      <c r="E2425" s="38"/>
      <c r="F2425" s="39"/>
      <c r="G2425" s="72">
        <v>2100</v>
      </c>
    </row>
    <row r="2426" spans="1:7" ht="15.75" x14ac:dyDescent="0.25">
      <c r="A2426" s="37"/>
      <c r="B2426" s="38"/>
      <c r="C2426" s="38"/>
      <c r="D2426" s="38"/>
      <c r="E2426" s="38"/>
      <c r="F2426" s="39"/>
      <c r="G2426" s="72"/>
    </row>
    <row r="2427" spans="1:7" ht="15.75" x14ac:dyDescent="0.25">
      <c r="A2427" s="34" t="s">
        <v>384</v>
      </c>
      <c r="B2427" s="35"/>
      <c r="C2427" s="35"/>
      <c r="D2427" s="35"/>
      <c r="E2427" s="35"/>
      <c r="F2427" s="36"/>
      <c r="G2427" s="72">
        <f>SUM(G2424:G2426)</f>
        <v>36279.22</v>
      </c>
    </row>
    <row r="2428" spans="1:7" ht="18.75" x14ac:dyDescent="0.3">
      <c r="A2428" s="40"/>
      <c r="B2428" s="40"/>
      <c r="C2428" s="40"/>
      <c r="D2428" s="40"/>
      <c r="E2428" s="40"/>
      <c r="F2428" s="40"/>
      <c r="G2428" s="40"/>
    </row>
    <row r="2429" spans="1:7" ht="31.5" customHeight="1" x14ac:dyDescent="0.25">
      <c r="A2429" s="85" t="s">
        <v>54</v>
      </c>
      <c r="B2429" s="86"/>
      <c r="C2429" s="86"/>
      <c r="D2429" s="86"/>
      <c r="E2429" s="86"/>
      <c r="F2429" s="86"/>
      <c r="G2429" s="87"/>
    </row>
    <row r="2430" spans="1:7" ht="15.75" x14ac:dyDescent="0.25">
      <c r="A2430" s="41" t="s">
        <v>36</v>
      </c>
      <c r="B2430" s="42"/>
      <c r="C2430" s="42"/>
      <c r="D2430" s="42"/>
      <c r="E2430" s="42"/>
      <c r="F2430" s="42"/>
      <c r="G2430" s="43"/>
    </row>
    <row r="2431" spans="1:7" ht="15.75" x14ac:dyDescent="0.25">
      <c r="A2431" s="44" t="s">
        <v>37</v>
      </c>
      <c r="B2431" s="45"/>
      <c r="C2431" s="45"/>
      <c r="D2431" s="45"/>
      <c r="E2431" s="45"/>
      <c r="F2431" s="45"/>
      <c r="G2431" s="46"/>
    </row>
    <row r="2432" spans="1:7" ht="15.75" x14ac:dyDescent="0.25">
      <c r="A2432" s="47"/>
      <c r="B2432" s="47"/>
      <c r="C2432" s="47"/>
      <c r="D2432" s="47"/>
      <c r="E2432" s="47"/>
      <c r="F2432" s="47"/>
      <c r="G2432" s="47"/>
    </row>
    <row r="2433" spans="1:9" ht="15.75" x14ac:dyDescent="0.25">
      <c r="A2433" s="48" t="s">
        <v>50</v>
      </c>
      <c r="B2433" s="49"/>
      <c r="C2433" s="49"/>
      <c r="D2433" s="49"/>
      <c r="E2433" s="49"/>
      <c r="F2433" s="49"/>
      <c r="G2433" s="50"/>
    </row>
    <row r="2434" spans="1:9" ht="15.75" x14ac:dyDescent="0.25">
      <c r="A2434" s="47"/>
      <c r="B2434" s="47"/>
      <c r="C2434" s="47"/>
      <c r="D2434" s="47"/>
      <c r="E2434" s="47"/>
      <c r="F2434" s="47"/>
      <c r="G2434" s="47"/>
    </row>
    <row r="2435" spans="1:9" ht="15.75" x14ac:dyDescent="0.25">
      <c r="A2435" s="47"/>
      <c r="B2435" s="47"/>
      <c r="C2435" s="47"/>
      <c r="D2435" s="47"/>
      <c r="E2435" s="47"/>
      <c r="F2435" s="47"/>
      <c r="G2435" s="47"/>
    </row>
    <row r="2436" spans="1:9" ht="15.75" x14ac:dyDescent="0.25">
      <c r="A2436" s="47"/>
      <c r="B2436" s="47"/>
      <c r="C2436" s="47"/>
      <c r="D2436" s="47"/>
      <c r="E2436" s="47"/>
      <c r="F2436" s="47"/>
      <c r="G2436" s="47"/>
    </row>
    <row r="2444" spans="1:9" ht="21" x14ac:dyDescent="0.35">
      <c r="A2444" s="88" t="s">
        <v>20</v>
      </c>
      <c r="B2444" s="89"/>
      <c r="C2444" s="89"/>
      <c r="D2444" s="89"/>
      <c r="E2444" s="89"/>
      <c r="F2444" s="89"/>
      <c r="G2444" s="90"/>
      <c r="H2444" s="56"/>
      <c r="I2444" s="56"/>
    </row>
    <row r="2446" spans="1:9" ht="17.25" x14ac:dyDescent="0.3">
      <c r="A2446" s="51" t="s">
        <v>385</v>
      </c>
      <c r="B2446" s="51"/>
      <c r="C2446" s="51"/>
      <c r="D2446" s="51"/>
      <c r="E2446" s="51"/>
      <c r="F2446" s="51"/>
      <c r="G2446" s="51"/>
      <c r="H2446" s="51"/>
      <c r="I2446" s="51"/>
    </row>
    <row r="2447" spans="1:9" ht="17.25" x14ac:dyDescent="0.3">
      <c r="A2447" s="51"/>
      <c r="B2447" s="51"/>
      <c r="C2447" s="51"/>
      <c r="D2447" s="51"/>
      <c r="E2447" s="51"/>
      <c r="F2447" s="51"/>
      <c r="G2447" s="51"/>
      <c r="H2447" s="51"/>
      <c r="I2447" s="51"/>
    </row>
    <row r="2448" spans="1:9" ht="17.25" x14ac:dyDescent="0.3">
      <c r="A2448" s="51" t="s">
        <v>386</v>
      </c>
      <c r="B2448" s="51"/>
      <c r="C2448" s="51"/>
      <c r="D2448" s="51"/>
      <c r="E2448" s="51"/>
      <c r="F2448" s="51"/>
      <c r="G2448" s="51"/>
      <c r="H2448" s="51"/>
      <c r="I2448" s="51"/>
    </row>
    <row r="2449" spans="1:9" ht="17.25" x14ac:dyDescent="0.3">
      <c r="A2449" s="51"/>
      <c r="B2449" s="51"/>
      <c r="C2449" s="51"/>
      <c r="D2449" s="51"/>
      <c r="E2449" s="51"/>
      <c r="F2449" s="51"/>
      <c r="G2449" s="51"/>
      <c r="H2449" s="51"/>
      <c r="I2449" s="51"/>
    </row>
    <row r="2450" spans="1:9" ht="17.25" x14ac:dyDescent="0.3">
      <c r="A2450" s="51" t="s">
        <v>387</v>
      </c>
      <c r="B2450" s="51"/>
      <c r="C2450" s="51"/>
      <c r="D2450" s="51"/>
      <c r="E2450" s="51"/>
      <c r="F2450" s="51"/>
      <c r="G2450" s="51"/>
      <c r="H2450" s="51"/>
      <c r="I2450" s="51"/>
    </row>
    <row r="2451" spans="1:9" ht="17.25" x14ac:dyDescent="0.3">
      <c r="A2451" s="51"/>
      <c r="B2451" s="51"/>
      <c r="C2451" s="51"/>
      <c r="D2451" s="51"/>
      <c r="E2451" s="51"/>
      <c r="F2451" s="51"/>
      <c r="G2451" s="51"/>
      <c r="H2451" s="51"/>
      <c r="I2451" s="51"/>
    </row>
    <row r="2452" spans="1:9" ht="17.25" x14ac:dyDescent="0.3">
      <c r="A2452" s="51" t="s">
        <v>40</v>
      </c>
      <c r="B2452" s="51"/>
      <c r="C2452" s="51"/>
      <c r="D2452" s="51"/>
      <c r="E2452" s="51"/>
      <c r="F2452" s="51"/>
      <c r="G2452" s="51"/>
      <c r="H2452" s="51"/>
      <c r="I2452" s="51"/>
    </row>
    <row r="2453" spans="1:9" ht="17.25" x14ac:dyDescent="0.3">
      <c r="A2453" s="51"/>
      <c r="B2453" s="51"/>
      <c r="C2453" s="51"/>
      <c r="D2453" s="51"/>
      <c r="E2453" s="51"/>
      <c r="F2453" s="51"/>
      <c r="G2453" s="51"/>
      <c r="H2453" s="51"/>
      <c r="I2453" s="51"/>
    </row>
    <row r="2454" spans="1:9" ht="33" customHeight="1" x14ac:dyDescent="0.3">
      <c r="A2454" s="91" t="s">
        <v>388</v>
      </c>
      <c r="B2454" s="91"/>
      <c r="C2454" s="91"/>
      <c r="D2454" s="91"/>
      <c r="E2454" s="91"/>
      <c r="F2454" s="91"/>
      <c r="G2454" s="91"/>
      <c r="H2454" s="55"/>
      <c r="I2454" s="55"/>
    </row>
    <row r="2455" spans="1:9" ht="17.25" x14ac:dyDescent="0.3">
      <c r="A2455" s="51"/>
      <c r="B2455" s="51"/>
      <c r="C2455" s="51"/>
      <c r="D2455" s="51"/>
      <c r="E2455" s="51"/>
      <c r="F2455" s="51"/>
      <c r="G2455" s="51"/>
      <c r="H2455" s="51"/>
      <c r="I2455" s="51"/>
    </row>
    <row r="2456" spans="1:9" ht="33" customHeight="1" x14ac:dyDescent="0.3">
      <c r="A2456" s="91" t="s">
        <v>389</v>
      </c>
      <c r="B2456" s="91"/>
      <c r="C2456" s="91"/>
      <c r="D2456" s="91"/>
      <c r="E2456" s="91"/>
      <c r="F2456" s="91"/>
      <c r="G2456" s="91"/>
      <c r="H2456" s="55"/>
      <c r="I2456" s="55"/>
    </row>
    <row r="2457" spans="1:9" ht="17.25" x14ac:dyDescent="0.3">
      <c r="A2457" s="51"/>
      <c r="B2457" s="51"/>
      <c r="C2457" s="51"/>
      <c r="D2457" s="51"/>
      <c r="E2457" s="51"/>
      <c r="F2457" s="51"/>
      <c r="G2457" s="51"/>
      <c r="H2457" s="51"/>
      <c r="I2457" s="51"/>
    </row>
    <row r="2458" spans="1:9" ht="33" customHeight="1" x14ac:dyDescent="0.3">
      <c r="A2458" s="91" t="s">
        <v>390</v>
      </c>
      <c r="B2458" s="91"/>
      <c r="C2458" s="91"/>
      <c r="D2458" s="91"/>
      <c r="E2458" s="91"/>
      <c r="F2458" s="91"/>
      <c r="G2458" s="91"/>
      <c r="H2458" s="55"/>
      <c r="I2458" s="55"/>
    </row>
    <row r="2460" spans="1:9" ht="18.75" x14ac:dyDescent="0.3">
      <c r="A2460" s="1" t="s">
        <v>391</v>
      </c>
      <c r="B2460" s="2"/>
      <c r="C2460" s="2"/>
      <c r="D2460" s="2"/>
      <c r="E2460" s="2"/>
      <c r="F2460" s="2"/>
      <c r="G2460" s="53"/>
    </row>
    <row r="2461" spans="1:9" ht="15.75" x14ac:dyDescent="0.25">
      <c r="A2461" s="3" t="s">
        <v>1</v>
      </c>
      <c r="B2461" s="3" t="s">
        <v>2</v>
      </c>
      <c r="C2461" s="4" t="s">
        <v>3</v>
      </c>
      <c r="D2461" s="4"/>
      <c r="E2461" s="4"/>
      <c r="F2461" s="4"/>
      <c r="G2461" s="62" t="s">
        <v>30</v>
      </c>
    </row>
    <row r="2462" spans="1:9" ht="15.75" x14ac:dyDescent="0.25">
      <c r="A2462" s="5">
        <v>45818</v>
      </c>
      <c r="B2462" s="6" t="s">
        <v>4</v>
      </c>
      <c r="C2462" s="7" t="s">
        <v>5</v>
      </c>
      <c r="D2462" s="7"/>
      <c r="E2462" s="7"/>
      <c r="F2462" s="7"/>
      <c r="G2462" s="52">
        <v>1342.94</v>
      </c>
    </row>
    <row r="2463" spans="1:9" ht="15.75" x14ac:dyDescent="0.25">
      <c r="A2463" s="5">
        <v>45824</v>
      </c>
      <c r="B2463" s="6" t="s">
        <v>4</v>
      </c>
      <c r="C2463" s="7" t="s">
        <v>61</v>
      </c>
      <c r="D2463" s="7"/>
      <c r="E2463" s="7"/>
      <c r="F2463" s="7"/>
      <c r="G2463" s="52">
        <v>1334.14</v>
      </c>
    </row>
    <row r="2464" spans="1:9" ht="15.75" x14ac:dyDescent="0.25">
      <c r="A2464" s="5">
        <v>45824</v>
      </c>
      <c r="B2464" s="6" t="s">
        <v>4</v>
      </c>
      <c r="C2464" s="7" t="s">
        <v>8</v>
      </c>
      <c r="D2464" s="7"/>
      <c r="E2464" s="7"/>
      <c r="F2464" s="7"/>
      <c r="G2464" s="52">
        <v>429.47000000000116</v>
      </c>
    </row>
    <row r="2465" spans="1:7" ht="15.75" x14ac:dyDescent="0.25">
      <c r="A2465" s="5">
        <v>45825</v>
      </c>
      <c r="B2465" s="6" t="s">
        <v>4</v>
      </c>
      <c r="C2465" s="7" t="s">
        <v>9</v>
      </c>
      <c r="D2465" s="7"/>
      <c r="E2465" s="7"/>
      <c r="F2465" s="7"/>
      <c r="G2465" s="52">
        <v>333.58</v>
      </c>
    </row>
    <row r="2466" spans="1:7" ht="15.75" x14ac:dyDescent="0.25">
      <c r="A2466" s="5">
        <v>45828</v>
      </c>
      <c r="B2466" s="6" t="s">
        <v>4</v>
      </c>
      <c r="C2466" s="7" t="s">
        <v>47</v>
      </c>
      <c r="D2466" s="7"/>
      <c r="E2466" s="7"/>
      <c r="F2466" s="7"/>
      <c r="G2466" s="52">
        <v>226.01</v>
      </c>
    </row>
    <row r="2467" spans="1:7" ht="15.75" x14ac:dyDescent="0.25">
      <c r="A2467" s="5">
        <v>45803</v>
      </c>
      <c r="B2467" s="6" t="s">
        <v>4</v>
      </c>
      <c r="C2467" s="7" t="s">
        <v>77</v>
      </c>
      <c r="D2467" s="7"/>
      <c r="E2467" s="7"/>
      <c r="F2467" s="7"/>
      <c r="G2467" s="52">
        <v>224.69</v>
      </c>
    </row>
    <row r="2468" spans="1:7" ht="15.75" x14ac:dyDescent="0.25">
      <c r="A2468" s="5">
        <v>45836</v>
      </c>
      <c r="B2468" s="6" t="s">
        <v>4</v>
      </c>
      <c r="C2468" s="7" t="s">
        <v>14</v>
      </c>
      <c r="D2468" s="7"/>
      <c r="E2468" s="7"/>
      <c r="F2468" s="7"/>
      <c r="G2468" s="52">
        <v>151.6</v>
      </c>
    </row>
    <row r="2469" spans="1:7" ht="15.75" customHeight="1" x14ac:dyDescent="0.25">
      <c r="A2469" s="8">
        <v>45810</v>
      </c>
      <c r="B2469" s="54" t="s">
        <v>4</v>
      </c>
      <c r="C2469" s="32" t="s">
        <v>15</v>
      </c>
      <c r="D2469" s="67"/>
      <c r="E2469" s="67"/>
      <c r="F2469" s="68"/>
      <c r="G2469" s="52">
        <v>65</v>
      </c>
    </row>
    <row r="2470" spans="1:7" ht="21" x14ac:dyDescent="0.35">
      <c r="A2470" s="9" t="s">
        <v>16</v>
      </c>
      <c r="B2470" s="10"/>
      <c r="C2470" s="11"/>
      <c r="D2470" s="11"/>
      <c r="E2470" s="11"/>
      <c r="F2470" s="11"/>
      <c r="G2470" s="12">
        <f>SUM(G2462:G2469)</f>
        <v>4107.4300000000012</v>
      </c>
    </row>
    <row r="2471" spans="1:7" ht="21" x14ac:dyDescent="0.35">
      <c r="A2471" s="13" t="s">
        <v>17</v>
      </c>
      <c r="B2471" s="11"/>
      <c r="C2471" s="11"/>
      <c r="D2471" s="11"/>
      <c r="E2471" s="11"/>
      <c r="F2471" s="11"/>
      <c r="G2471" s="14">
        <f>ROUND(G2470/14,2)</f>
        <v>293.39</v>
      </c>
    </row>
    <row r="2472" spans="1:7" ht="21" x14ac:dyDescent="0.35">
      <c r="A2472" s="13" t="s">
        <v>74</v>
      </c>
      <c r="B2472" s="11"/>
      <c r="C2472" s="11"/>
      <c r="D2472" s="11"/>
      <c r="E2472" s="11"/>
      <c r="F2472" s="11"/>
      <c r="G2472" s="14">
        <f>ROUND(G2471/13,2)</f>
        <v>22.57</v>
      </c>
    </row>
    <row r="2473" spans="1:7" ht="21" x14ac:dyDescent="0.35">
      <c r="A2473" s="13" t="s">
        <v>196</v>
      </c>
      <c r="B2473" s="11"/>
      <c r="C2473" s="11"/>
      <c r="D2473" s="11"/>
      <c r="E2473" s="11"/>
      <c r="F2473" s="11"/>
      <c r="G2473" s="14">
        <v>150</v>
      </c>
    </row>
    <row r="2474" spans="1:7" ht="21" x14ac:dyDescent="0.35">
      <c r="A2474" s="13" t="s">
        <v>19</v>
      </c>
      <c r="B2474" s="11"/>
      <c r="C2474" s="11"/>
      <c r="D2474" s="11"/>
      <c r="E2474" s="11"/>
      <c r="F2474" s="11"/>
      <c r="G2474" s="12">
        <f>G2471+G2472+G2473</f>
        <v>465.96</v>
      </c>
    </row>
    <row r="2485" spans="1:7" ht="21" x14ac:dyDescent="0.35">
      <c r="A2485" s="88" t="s">
        <v>20</v>
      </c>
      <c r="B2485" s="89"/>
      <c r="C2485" s="89"/>
      <c r="D2485" s="89"/>
      <c r="E2485" s="89"/>
      <c r="F2485" s="89"/>
      <c r="G2485" s="90"/>
    </row>
    <row r="2486" spans="1:7" ht="18.75" x14ac:dyDescent="0.25">
      <c r="A2486" s="19" t="s">
        <v>392</v>
      </c>
      <c r="B2486" s="15"/>
      <c r="C2486" s="15"/>
      <c r="D2486" s="15"/>
      <c r="E2486" s="15"/>
      <c r="F2486" s="15"/>
      <c r="G2486" s="16"/>
    </row>
    <row r="2487" spans="1:7" ht="15.75" x14ac:dyDescent="0.25">
      <c r="A2487" s="17"/>
      <c r="B2487" s="18"/>
      <c r="C2487" s="18"/>
      <c r="D2487" s="18"/>
      <c r="E2487" s="18"/>
      <c r="F2487" s="18"/>
      <c r="G2487" s="18"/>
    </row>
    <row r="2488" spans="1:7" ht="15.75" x14ac:dyDescent="0.25">
      <c r="A2488" s="17"/>
      <c r="B2488" s="18"/>
      <c r="C2488" s="18"/>
      <c r="D2488" s="18"/>
      <c r="E2488" s="18"/>
      <c r="F2488" s="18"/>
      <c r="G2488" s="18"/>
    </row>
    <row r="2489" spans="1:7" ht="15.75" x14ac:dyDescent="0.25">
      <c r="A2489" s="20" t="s">
        <v>22</v>
      </c>
      <c r="B2489" s="21" t="s">
        <v>23</v>
      </c>
      <c r="C2489" s="22"/>
      <c r="D2489" s="21" t="s">
        <v>24</v>
      </c>
      <c r="E2489" s="22"/>
      <c r="F2489" s="59" t="s">
        <v>25</v>
      </c>
      <c r="G2489" s="60" t="s">
        <v>26</v>
      </c>
    </row>
    <row r="2490" spans="1:7" ht="15.75" x14ac:dyDescent="0.25">
      <c r="A2490" s="23" t="s">
        <v>27</v>
      </c>
      <c r="B2490" s="24" t="s">
        <v>28</v>
      </c>
      <c r="C2490" s="24" t="s">
        <v>29</v>
      </c>
      <c r="D2490" s="24" t="s">
        <v>28</v>
      </c>
      <c r="E2490" s="24" t="s">
        <v>30</v>
      </c>
      <c r="F2490" s="58" t="s">
        <v>31</v>
      </c>
      <c r="G2490" s="61" t="s">
        <v>31</v>
      </c>
    </row>
    <row r="2491" spans="1:7" ht="15.75" x14ac:dyDescent="0.25">
      <c r="A2491" s="25" t="s">
        <v>32</v>
      </c>
      <c r="B2491" s="26">
        <v>37.284000000000049</v>
      </c>
      <c r="C2491" s="27">
        <v>429.47000000000116</v>
      </c>
      <c r="D2491" s="28">
        <v>0</v>
      </c>
      <c r="E2491" s="27">
        <v>0</v>
      </c>
      <c r="F2491" s="29">
        <v>0</v>
      </c>
      <c r="G2491" s="27">
        <v>0</v>
      </c>
    </row>
    <row r="2492" spans="1:7" ht="15.75" x14ac:dyDescent="0.25">
      <c r="A2492" s="30">
        <v>201</v>
      </c>
      <c r="B2492" s="26">
        <v>26.381</v>
      </c>
      <c r="C2492" s="27">
        <v>339.18</v>
      </c>
      <c r="D2492" s="31">
        <v>0.02</v>
      </c>
      <c r="E2492" s="27">
        <v>0.69</v>
      </c>
      <c r="F2492" s="27">
        <v>465.96</v>
      </c>
      <c r="G2492" s="27">
        <v>806</v>
      </c>
    </row>
    <row r="2493" spans="1:7" ht="15.75" x14ac:dyDescent="0.25">
      <c r="A2493" s="30">
        <v>202</v>
      </c>
      <c r="B2493" s="26">
        <v>47.542000000000002</v>
      </c>
      <c r="C2493" s="27">
        <v>512.05999999999995</v>
      </c>
      <c r="D2493" s="28">
        <v>3.794</v>
      </c>
      <c r="E2493" s="27">
        <v>131.75</v>
      </c>
      <c r="F2493" s="27">
        <v>465.96</v>
      </c>
      <c r="G2493" s="27">
        <v>1110</v>
      </c>
    </row>
    <row r="2494" spans="1:7" ht="15.75" x14ac:dyDescent="0.25">
      <c r="A2494" s="30">
        <v>301</v>
      </c>
      <c r="B2494" s="26">
        <v>20.594000000000001</v>
      </c>
      <c r="C2494" s="27">
        <v>291.89999999999998</v>
      </c>
      <c r="D2494" s="28">
        <v>2.99</v>
      </c>
      <c r="E2494" s="27">
        <v>103.83</v>
      </c>
      <c r="F2494" s="27">
        <v>465.96</v>
      </c>
      <c r="G2494" s="27">
        <v>862</v>
      </c>
    </row>
    <row r="2495" spans="1:7" ht="15.75" x14ac:dyDescent="0.25">
      <c r="A2495" s="30">
        <v>302</v>
      </c>
      <c r="B2495" s="26">
        <v>26.896999999999998</v>
      </c>
      <c r="C2495" s="27">
        <v>343.39</v>
      </c>
      <c r="D2495" s="28">
        <v>2.077</v>
      </c>
      <c r="E2495" s="27">
        <v>72.12</v>
      </c>
      <c r="F2495" s="27">
        <v>465.96</v>
      </c>
      <c r="G2495" s="27">
        <v>882</v>
      </c>
    </row>
    <row r="2496" spans="1:7" ht="15.75" x14ac:dyDescent="0.25">
      <c r="A2496" s="30">
        <v>401</v>
      </c>
      <c r="B2496" s="26">
        <v>22.582000000000001</v>
      </c>
      <c r="C2496" s="27">
        <v>308.14</v>
      </c>
      <c r="D2496" s="28">
        <v>1.4279999999999999</v>
      </c>
      <c r="E2496" s="27">
        <v>49.59</v>
      </c>
      <c r="F2496" s="27">
        <v>465.96</v>
      </c>
      <c r="G2496" s="27">
        <v>824</v>
      </c>
    </row>
    <row r="2497" spans="1:7" ht="15.75" x14ac:dyDescent="0.25">
      <c r="A2497" s="30">
        <v>402</v>
      </c>
      <c r="B2497" s="26">
        <v>40.302999999999997</v>
      </c>
      <c r="C2497" s="27">
        <v>452.92</v>
      </c>
      <c r="D2497" s="28">
        <v>4.7050000000000001</v>
      </c>
      <c r="E2497" s="27">
        <v>163.38</v>
      </c>
      <c r="F2497" s="27">
        <v>465.96</v>
      </c>
      <c r="G2497" s="27">
        <v>1083</v>
      </c>
    </row>
    <row r="2498" spans="1:7" ht="15.75" x14ac:dyDescent="0.25">
      <c r="A2498" s="30">
        <v>501</v>
      </c>
      <c r="B2498" s="26">
        <v>13.752000000000001</v>
      </c>
      <c r="C2498" s="27">
        <v>236</v>
      </c>
      <c r="D2498" s="28">
        <v>0.93600000000000005</v>
      </c>
      <c r="E2498" s="27">
        <v>32.5</v>
      </c>
      <c r="F2498" s="27">
        <v>465.96</v>
      </c>
      <c r="G2498" s="27">
        <v>735</v>
      </c>
    </row>
    <row r="2499" spans="1:7" ht="15.75" x14ac:dyDescent="0.25">
      <c r="A2499" s="30">
        <v>502</v>
      </c>
      <c r="B2499" s="26">
        <v>14.073</v>
      </c>
      <c r="C2499" s="27">
        <v>238.62</v>
      </c>
      <c r="D2499" s="28">
        <v>1.4139999999999999</v>
      </c>
      <c r="E2499" s="27">
        <v>49.1</v>
      </c>
      <c r="F2499" s="27">
        <v>465.96</v>
      </c>
      <c r="G2499" s="27">
        <v>754</v>
      </c>
    </row>
    <row r="2500" spans="1:7" ht="15.75" x14ac:dyDescent="0.25">
      <c r="A2500" s="30">
        <v>601</v>
      </c>
      <c r="B2500" s="26">
        <v>4.4729999999999999</v>
      </c>
      <c r="C2500" s="27">
        <v>160.19</v>
      </c>
      <c r="D2500" s="28">
        <v>0.58499999999999996</v>
      </c>
      <c r="E2500" s="27">
        <v>20.309999999999999</v>
      </c>
      <c r="F2500" s="27">
        <v>465.96</v>
      </c>
      <c r="G2500" s="27">
        <v>647</v>
      </c>
    </row>
    <row r="2501" spans="1:7" ht="15.75" x14ac:dyDescent="0.25">
      <c r="A2501" s="30">
        <v>602</v>
      </c>
      <c r="B2501" s="26">
        <v>17.373000000000001</v>
      </c>
      <c r="C2501" s="27">
        <v>265.58</v>
      </c>
      <c r="D2501" s="28">
        <v>1.458</v>
      </c>
      <c r="E2501" s="27">
        <v>50.63</v>
      </c>
      <c r="F2501" s="27">
        <v>465.96</v>
      </c>
      <c r="G2501" s="27">
        <v>783</v>
      </c>
    </row>
    <row r="2502" spans="1:7" ht="15.75" x14ac:dyDescent="0.25">
      <c r="A2502" s="30">
        <v>701</v>
      </c>
      <c r="B2502" s="26">
        <v>13.532999999999999</v>
      </c>
      <c r="C2502" s="27">
        <v>234.21</v>
      </c>
      <c r="D2502" s="28">
        <v>0.57599999999999996</v>
      </c>
      <c r="E2502" s="27">
        <v>20</v>
      </c>
      <c r="F2502" s="27">
        <v>465.96</v>
      </c>
      <c r="G2502" s="27">
        <v>721</v>
      </c>
    </row>
    <row r="2503" spans="1:7" ht="15.75" x14ac:dyDescent="0.25">
      <c r="A2503" s="30">
        <v>702</v>
      </c>
      <c r="B2503" s="26">
        <v>6.1479999999999997</v>
      </c>
      <c r="C2503" s="27">
        <v>173.87</v>
      </c>
      <c r="D2503" s="28">
        <v>3.5840000000000001</v>
      </c>
      <c r="E2503" s="27">
        <v>124.45</v>
      </c>
      <c r="F2503" s="27">
        <v>465.96</v>
      </c>
      <c r="G2503" s="27">
        <v>765</v>
      </c>
    </row>
    <row r="2504" spans="1:7" ht="15.75" x14ac:dyDescent="0.25">
      <c r="A2504" s="30">
        <v>801</v>
      </c>
      <c r="B2504" s="26">
        <v>4.6920000000000002</v>
      </c>
      <c r="C2504" s="27">
        <v>161.97999999999999</v>
      </c>
      <c r="D2504" s="28">
        <v>0</v>
      </c>
      <c r="E2504" s="27">
        <v>0</v>
      </c>
      <c r="F2504" s="27">
        <v>465.96</v>
      </c>
      <c r="G2504" s="27">
        <v>628</v>
      </c>
    </row>
    <row r="2505" spans="1:7" ht="15.75" x14ac:dyDescent="0.25">
      <c r="A2505" s="30">
        <v>802</v>
      </c>
      <c r="B2505" s="26">
        <v>13.372999999999999</v>
      </c>
      <c r="C2505" s="27">
        <v>232.9</v>
      </c>
      <c r="D2505" s="28">
        <v>1.82</v>
      </c>
      <c r="E2505" s="27">
        <v>63.2</v>
      </c>
      <c r="F2505" s="63">
        <v>465.96</v>
      </c>
      <c r="G2505" s="63">
        <v>763</v>
      </c>
    </row>
    <row r="2507" spans="1:7" x14ac:dyDescent="0.25">
      <c r="A2507" s="32"/>
      <c r="B2507" s="7"/>
      <c r="C2507" s="7"/>
      <c r="D2507" s="7"/>
      <c r="E2507" s="7"/>
      <c r="F2507" s="7"/>
      <c r="G2507" s="33"/>
    </row>
    <row r="2508" spans="1:7" x14ac:dyDescent="0.25">
      <c r="A2508" s="32"/>
      <c r="B2508" s="7"/>
      <c r="C2508" s="7"/>
      <c r="D2508" s="7"/>
      <c r="E2508" s="7"/>
      <c r="F2508" s="7"/>
      <c r="G2508" s="33"/>
    </row>
    <row r="2509" spans="1:7" x14ac:dyDescent="0.25">
      <c r="A2509" s="32"/>
      <c r="B2509" s="7"/>
      <c r="C2509" s="7"/>
      <c r="D2509" s="7"/>
      <c r="E2509" s="7"/>
      <c r="F2509" s="7"/>
      <c r="G2509" s="33"/>
    </row>
    <row r="2511" spans="1:7" ht="15.75" x14ac:dyDescent="0.25">
      <c r="A2511" s="34" t="s">
        <v>393</v>
      </c>
      <c r="B2511" s="35"/>
      <c r="C2511" s="35"/>
      <c r="D2511" s="35"/>
      <c r="E2511" s="35"/>
      <c r="F2511" s="36"/>
      <c r="G2511" s="72">
        <v>36279.22</v>
      </c>
    </row>
    <row r="2512" spans="1:7" ht="15.75" x14ac:dyDescent="0.25">
      <c r="A2512" s="37" t="s">
        <v>394</v>
      </c>
      <c r="B2512" s="38"/>
      <c r="C2512" s="38"/>
      <c r="D2512" s="38"/>
      <c r="E2512" s="38"/>
      <c r="F2512" s="39"/>
      <c r="G2512" s="72">
        <v>2100</v>
      </c>
    </row>
    <row r="2513" spans="1:7" ht="15.75" x14ac:dyDescent="0.25">
      <c r="A2513" s="73" t="s">
        <v>395</v>
      </c>
      <c r="B2513" s="38"/>
      <c r="C2513" s="38"/>
      <c r="D2513" s="38"/>
      <c r="E2513" s="38"/>
      <c r="F2513" s="39"/>
      <c r="G2513" s="72">
        <v>-638.94000000000005</v>
      </c>
    </row>
    <row r="2514" spans="1:7" ht="15.75" x14ac:dyDescent="0.25">
      <c r="A2514" s="34" t="s">
        <v>396</v>
      </c>
      <c r="B2514" s="35"/>
      <c r="C2514" s="35"/>
      <c r="D2514" s="35"/>
      <c r="E2514" s="35"/>
      <c r="F2514" s="36"/>
      <c r="G2514" s="72">
        <f>SUM(G2511:G2513)</f>
        <v>37740.28</v>
      </c>
    </row>
    <row r="2515" spans="1:7" ht="18.75" x14ac:dyDescent="0.3">
      <c r="A2515" s="40"/>
      <c r="B2515" s="40"/>
      <c r="C2515" s="40"/>
      <c r="D2515" s="40"/>
      <c r="E2515" s="40"/>
      <c r="F2515" s="40"/>
      <c r="G2515" s="40"/>
    </row>
    <row r="2516" spans="1:7" ht="31.5" customHeight="1" x14ac:dyDescent="0.25">
      <c r="A2516" s="85" t="s">
        <v>54</v>
      </c>
      <c r="B2516" s="86"/>
      <c r="C2516" s="86"/>
      <c r="D2516" s="86"/>
      <c r="E2516" s="86"/>
      <c r="F2516" s="86"/>
      <c r="G2516" s="87"/>
    </row>
    <row r="2517" spans="1:7" ht="15.75" x14ac:dyDescent="0.25">
      <c r="A2517" s="41" t="s">
        <v>36</v>
      </c>
      <c r="B2517" s="42"/>
      <c r="C2517" s="42"/>
      <c r="D2517" s="42"/>
      <c r="E2517" s="42"/>
      <c r="F2517" s="42"/>
      <c r="G2517" s="43"/>
    </row>
    <row r="2518" spans="1:7" ht="15.75" x14ac:dyDescent="0.25">
      <c r="A2518" s="44" t="s">
        <v>37</v>
      </c>
      <c r="B2518" s="45"/>
      <c r="C2518" s="45"/>
      <c r="D2518" s="45"/>
      <c r="E2518" s="45"/>
      <c r="F2518" s="45"/>
      <c r="G2518" s="46"/>
    </row>
    <row r="2519" spans="1:7" ht="15.75" x14ac:dyDescent="0.25">
      <c r="A2519" s="47"/>
      <c r="B2519" s="47"/>
      <c r="C2519" s="47"/>
      <c r="D2519" s="47"/>
      <c r="E2519" s="47"/>
      <c r="F2519" s="47"/>
      <c r="G2519" s="47"/>
    </row>
    <row r="2520" spans="1:7" ht="15.75" x14ac:dyDescent="0.25">
      <c r="A2520" s="48" t="s">
        <v>50</v>
      </c>
      <c r="B2520" s="49"/>
      <c r="C2520" s="49"/>
      <c r="D2520" s="49"/>
      <c r="E2520" s="49"/>
      <c r="F2520" s="49"/>
      <c r="G2520" s="50"/>
    </row>
    <row r="2521" spans="1:7" ht="15.75" x14ac:dyDescent="0.25">
      <c r="A2521" s="47"/>
      <c r="B2521" s="47"/>
      <c r="C2521" s="47"/>
      <c r="D2521" s="47"/>
      <c r="E2521" s="47"/>
      <c r="F2521" s="47"/>
      <c r="G2521" s="47"/>
    </row>
    <row r="2522" spans="1:7" ht="15.75" x14ac:dyDescent="0.25">
      <c r="A2522" s="47"/>
      <c r="B2522" s="47"/>
      <c r="C2522" s="47"/>
      <c r="D2522" s="47"/>
      <c r="E2522" s="47"/>
      <c r="F2522" s="47"/>
      <c r="G2522" s="47"/>
    </row>
    <row r="2523" spans="1:7" ht="15.75" x14ac:dyDescent="0.25">
      <c r="A2523" s="47"/>
      <c r="B2523" s="47"/>
      <c r="C2523" s="47"/>
      <c r="D2523" s="47"/>
      <c r="E2523" s="47"/>
      <c r="F2523" s="47"/>
      <c r="G2523" s="47"/>
    </row>
    <row r="2531" spans="1:9" ht="21" x14ac:dyDescent="0.35">
      <c r="A2531" s="88" t="s">
        <v>20</v>
      </c>
      <c r="B2531" s="89"/>
      <c r="C2531" s="89"/>
      <c r="D2531" s="89"/>
      <c r="E2531" s="89"/>
      <c r="F2531" s="89"/>
      <c r="G2531" s="90"/>
      <c r="H2531" s="56"/>
      <c r="I2531" s="56"/>
    </row>
    <row r="2533" spans="1:9" ht="17.25" x14ac:dyDescent="0.3">
      <c r="A2533" s="51" t="s">
        <v>397</v>
      </c>
      <c r="B2533" s="51"/>
      <c r="C2533" s="51"/>
      <c r="D2533" s="51"/>
      <c r="E2533" s="51"/>
      <c r="F2533" s="51"/>
      <c r="G2533" s="51"/>
      <c r="H2533" s="51"/>
      <c r="I2533" s="51"/>
    </row>
    <row r="2534" spans="1:9" ht="17.25" x14ac:dyDescent="0.3">
      <c r="A2534" s="51"/>
      <c r="B2534" s="51"/>
      <c r="C2534" s="51"/>
      <c r="D2534" s="51"/>
      <c r="E2534" s="51"/>
      <c r="F2534" s="51"/>
      <c r="G2534" s="51"/>
      <c r="H2534" s="51"/>
      <c r="I2534" s="51"/>
    </row>
    <row r="2535" spans="1:9" ht="17.25" x14ac:dyDescent="0.3">
      <c r="A2535" s="51" t="s">
        <v>398</v>
      </c>
      <c r="B2535" s="51"/>
      <c r="C2535" s="51"/>
      <c r="D2535" s="51"/>
      <c r="E2535" s="51"/>
      <c r="F2535" s="51"/>
      <c r="G2535" s="51"/>
      <c r="H2535" s="51"/>
      <c r="I2535" s="51"/>
    </row>
    <row r="2536" spans="1:9" ht="17.25" x14ac:dyDescent="0.3">
      <c r="A2536" s="51"/>
      <c r="B2536" s="51"/>
      <c r="C2536" s="51"/>
      <c r="D2536" s="51"/>
      <c r="E2536" s="51"/>
      <c r="F2536" s="51"/>
      <c r="G2536" s="51"/>
      <c r="H2536" s="51"/>
      <c r="I2536" s="51"/>
    </row>
    <row r="2537" spans="1:9" ht="17.25" x14ac:dyDescent="0.3">
      <c r="A2537" s="51" t="s">
        <v>399</v>
      </c>
      <c r="B2537" s="51"/>
      <c r="C2537" s="51"/>
      <c r="D2537" s="51"/>
      <c r="E2537" s="51"/>
      <c r="F2537" s="51"/>
      <c r="G2537" s="51"/>
      <c r="H2537" s="51"/>
      <c r="I2537" s="51"/>
    </row>
    <row r="2538" spans="1:9" ht="17.25" x14ac:dyDescent="0.3">
      <c r="A2538" s="51"/>
      <c r="B2538" s="51"/>
      <c r="C2538" s="51"/>
      <c r="D2538" s="51"/>
      <c r="E2538" s="51"/>
      <c r="F2538" s="51"/>
      <c r="G2538" s="51"/>
      <c r="H2538" s="51"/>
      <c r="I2538" s="51"/>
    </row>
    <row r="2539" spans="1:9" ht="17.25" x14ac:dyDescent="0.3">
      <c r="A2539" s="51" t="s">
        <v>40</v>
      </c>
      <c r="B2539" s="51"/>
      <c r="C2539" s="51"/>
      <c r="D2539" s="51"/>
      <c r="E2539" s="51"/>
      <c r="F2539" s="51"/>
      <c r="G2539" s="51"/>
      <c r="H2539" s="51"/>
      <c r="I2539" s="51"/>
    </row>
    <row r="2540" spans="1:9" ht="17.25" x14ac:dyDescent="0.3">
      <c r="A2540" s="51"/>
      <c r="B2540" s="51"/>
      <c r="C2540" s="51"/>
      <c r="D2540" s="51"/>
      <c r="E2540" s="51"/>
      <c r="F2540" s="51"/>
      <c r="G2540" s="51"/>
      <c r="H2540" s="51"/>
      <c r="I2540" s="51"/>
    </row>
    <row r="2541" spans="1:9" ht="33" customHeight="1" x14ac:dyDescent="0.3">
      <c r="A2541" s="91" t="s">
        <v>400</v>
      </c>
      <c r="B2541" s="91"/>
      <c r="C2541" s="91"/>
      <c r="D2541" s="91"/>
      <c r="E2541" s="91"/>
      <c r="F2541" s="91"/>
      <c r="G2541" s="91"/>
      <c r="H2541" s="55"/>
      <c r="I2541" s="55"/>
    </row>
    <row r="2542" spans="1:9" ht="17.25" x14ac:dyDescent="0.3">
      <c r="A2542" s="51"/>
      <c r="B2542" s="51"/>
      <c r="C2542" s="51"/>
      <c r="D2542" s="51"/>
      <c r="E2542" s="51"/>
      <c r="F2542" s="51"/>
      <c r="G2542" s="51"/>
      <c r="H2542" s="51"/>
      <c r="I2542" s="51"/>
    </row>
    <row r="2543" spans="1:9" ht="33" customHeight="1" x14ac:dyDescent="0.3">
      <c r="A2543" s="91" t="s">
        <v>401</v>
      </c>
      <c r="B2543" s="91"/>
      <c r="C2543" s="91"/>
      <c r="D2543" s="91"/>
      <c r="E2543" s="91"/>
      <c r="F2543" s="91"/>
      <c r="G2543" s="91"/>
      <c r="H2543" s="55"/>
      <c r="I2543" s="55"/>
    </row>
    <row r="2544" spans="1:9" ht="17.25" x14ac:dyDescent="0.3">
      <c r="A2544" s="51"/>
      <c r="B2544" s="51"/>
      <c r="C2544" s="51"/>
      <c r="D2544" s="51"/>
      <c r="E2544" s="51"/>
      <c r="F2544" s="51"/>
      <c r="G2544" s="51"/>
      <c r="H2544" s="51"/>
      <c r="I2544" s="51"/>
    </row>
    <row r="2545" spans="1:9" ht="33" customHeight="1" x14ac:dyDescent="0.3">
      <c r="A2545" s="91" t="s">
        <v>402</v>
      </c>
      <c r="B2545" s="91"/>
      <c r="C2545" s="91"/>
      <c r="D2545" s="91"/>
      <c r="E2545" s="91"/>
      <c r="F2545" s="91"/>
      <c r="G2545" s="91"/>
      <c r="H2545" s="55"/>
      <c r="I2545" s="55"/>
    </row>
    <row r="2547" spans="1:9" ht="18.75" x14ac:dyDescent="0.3">
      <c r="A2547" s="1" t="s">
        <v>403</v>
      </c>
      <c r="B2547" s="2"/>
      <c r="C2547" s="2"/>
      <c r="D2547" s="2"/>
      <c r="E2547" s="2"/>
      <c r="F2547" s="2"/>
      <c r="G2547" s="53"/>
    </row>
    <row r="2548" spans="1:9" ht="15.75" x14ac:dyDescent="0.25">
      <c r="A2548" s="3" t="s">
        <v>1</v>
      </c>
      <c r="B2548" s="3" t="s">
        <v>2</v>
      </c>
      <c r="C2548" s="4" t="s">
        <v>3</v>
      </c>
      <c r="D2548" s="4"/>
      <c r="E2548" s="4"/>
      <c r="F2548" s="4"/>
      <c r="G2548" s="62" t="s">
        <v>30</v>
      </c>
    </row>
    <row r="2549" spans="1:9" ht="15.75" x14ac:dyDescent="0.25">
      <c r="A2549" s="5">
        <v>45848</v>
      </c>
      <c r="B2549" s="6" t="s">
        <v>4</v>
      </c>
      <c r="C2549" s="7" t="s">
        <v>5</v>
      </c>
      <c r="D2549" s="7"/>
      <c r="E2549" s="7"/>
      <c r="F2549" s="7"/>
      <c r="G2549" s="52">
        <v>1342.94</v>
      </c>
    </row>
    <row r="2550" spans="1:9" ht="15.75" x14ac:dyDescent="0.25">
      <c r="A2550" s="5">
        <v>45853</v>
      </c>
      <c r="B2550" s="6" t="s">
        <v>4</v>
      </c>
      <c r="C2550" s="7" t="s">
        <v>61</v>
      </c>
      <c r="D2550" s="7"/>
      <c r="E2550" s="7"/>
      <c r="F2550" s="7"/>
      <c r="G2550" s="52">
        <v>1231.1099999999999</v>
      </c>
    </row>
    <row r="2551" spans="1:9" ht="15.75" x14ac:dyDescent="0.25">
      <c r="A2551" s="5">
        <v>45855</v>
      </c>
      <c r="B2551" s="6" t="s">
        <v>4</v>
      </c>
      <c r="C2551" s="7" t="s">
        <v>9</v>
      </c>
      <c r="D2551" s="7"/>
      <c r="E2551" s="7"/>
      <c r="F2551" s="7"/>
      <c r="G2551" s="52">
        <v>378.75</v>
      </c>
    </row>
    <row r="2552" spans="1:9" ht="15.75" x14ac:dyDescent="0.25">
      <c r="A2552" s="5">
        <v>45856</v>
      </c>
      <c r="B2552" s="6" t="s">
        <v>4</v>
      </c>
      <c r="C2552" s="7" t="s">
        <v>47</v>
      </c>
      <c r="D2552" s="7"/>
      <c r="E2552" s="7"/>
      <c r="F2552" s="7"/>
      <c r="G2552" s="52">
        <v>226.01</v>
      </c>
    </row>
    <row r="2553" spans="1:9" ht="15.75" x14ac:dyDescent="0.25">
      <c r="A2553" s="5">
        <v>45833</v>
      </c>
      <c r="B2553" s="6" t="s">
        <v>4</v>
      </c>
      <c r="C2553" s="7" t="s">
        <v>405</v>
      </c>
      <c r="D2553" s="7"/>
      <c r="E2553" s="7"/>
      <c r="F2553" s="7"/>
      <c r="G2553" s="52">
        <v>477.87</v>
      </c>
    </row>
    <row r="2554" spans="1:9" ht="15.75" x14ac:dyDescent="0.25">
      <c r="A2554" s="5">
        <v>45834</v>
      </c>
      <c r="B2554" s="6" t="s">
        <v>4</v>
      </c>
      <c r="C2554" s="7" t="s">
        <v>258</v>
      </c>
      <c r="D2554" s="7"/>
      <c r="E2554" s="7"/>
      <c r="F2554" s="7"/>
      <c r="G2554" s="52">
        <v>120.9</v>
      </c>
    </row>
    <row r="2555" spans="1:9" ht="15.75" x14ac:dyDescent="0.25">
      <c r="A2555" s="5">
        <v>45866</v>
      </c>
      <c r="B2555" s="6" t="s">
        <v>4</v>
      </c>
      <c r="C2555" s="7" t="s">
        <v>14</v>
      </c>
      <c r="D2555" s="7"/>
      <c r="E2555" s="7"/>
      <c r="F2555" s="7"/>
      <c r="G2555" s="52">
        <v>151.6</v>
      </c>
    </row>
    <row r="2556" spans="1:9" ht="15.75" customHeight="1" x14ac:dyDescent="0.25">
      <c r="A2556" s="8">
        <v>45839</v>
      </c>
      <c r="B2556" s="54" t="s">
        <v>4</v>
      </c>
      <c r="C2556" s="32" t="s">
        <v>15</v>
      </c>
      <c r="D2556" s="67"/>
      <c r="E2556" s="67"/>
      <c r="F2556" s="68"/>
      <c r="G2556" s="52">
        <v>65</v>
      </c>
    </row>
    <row r="2557" spans="1:9" ht="21" x14ac:dyDescent="0.35">
      <c r="A2557" s="9" t="s">
        <v>16</v>
      </c>
      <c r="B2557" s="10"/>
      <c r="C2557" s="11"/>
      <c r="D2557" s="11"/>
      <c r="E2557" s="11"/>
      <c r="F2557" s="11"/>
      <c r="G2557" s="12">
        <f>SUM(G2549:G2556)</f>
        <v>3994.1800000000003</v>
      </c>
    </row>
    <row r="2558" spans="1:9" ht="21" x14ac:dyDescent="0.35">
      <c r="A2558" s="13" t="s">
        <v>17</v>
      </c>
      <c r="B2558" s="11"/>
      <c r="C2558" s="11"/>
      <c r="D2558" s="11"/>
      <c r="E2558" s="11"/>
      <c r="F2558" s="11"/>
      <c r="G2558" s="14">
        <f>ROUND(G2557/14,2)</f>
        <v>285.3</v>
      </c>
    </row>
    <row r="2559" spans="1:9" ht="21" x14ac:dyDescent="0.35">
      <c r="A2559" s="13" t="s">
        <v>74</v>
      </c>
      <c r="B2559" s="11"/>
      <c r="C2559" s="11"/>
      <c r="D2559" s="11"/>
      <c r="E2559" s="11"/>
      <c r="F2559" s="11"/>
      <c r="G2559" s="14">
        <f>ROUND(G2558/13,2)</f>
        <v>21.95</v>
      </c>
    </row>
    <row r="2560" spans="1:9" ht="21" x14ac:dyDescent="0.35">
      <c r="A2560" s="13" t="s">
        <v>196</v>
      </c>
      <c r="B2560" s="11"/>
      <c r="C2560" s="11"/>
      <c r="D2560" s="11"/>
      <c r="E2560" s="11"/>
      <c r="F2560" s="11"/>
      <c r="G2560" s="14">
        <v>150</v>
      </c>
    </row>
    <row r="2561" spans="1:7" ht="21" x14ac:dyDescent="0.35">
      <c r="A2561" s="13" t="s">
        <v>19</v>
      </c>
      <c r="B2561" s="11"/>
      <c r="C2561" s="11"/>
      <c r="D2561" s="11"/>
      <c r="E2561" s="11"/>
      <c r="F2561" s="11"/>
      <c r="G2561" s="12">
        <f>G2558+G2559+G2560</f>
        <v>457.25</v>
      </c>
    </row>
    <row r="2572" spans="1:7" ht="21" x14ac:dyDescent="0.35">
      <c r="A2572" s="88" t="s">
        <v>20</v>
      </c>
      <c r="B2572" s="89"/>
      <c r="C2572" s="89"/>
      <c r="D2572" s="89"/>
      <c r="E2572" s="89"/>
      <c r="F2572" s="89"/>
      <c r="G2572" s="90"/>
    </row>
    <row r="2573" spans="1:7" ht="18.75" x14ac:dyDescent="0.25">
      <c r="A2573" s="19" t="s">
        <v>404</v>
      </c>
      <c r="B2573" s="15"/>
      <c r="C2573" s="15"/>
      <c r="D2573" s="15"/>
      <c r="E2573" s="15"/>
      <c r="F2573" s="15"/>
      <c r="G2573" s="16"/>
    </row>
    <row r="2574" spans="1:7" ht="15.75" x14ac:dyDescent="0.25">
      <c r="A2574" s="17"/>
      <c r="B2574" s="18"/>
      <c r="C2574" s="18"/>
      <c r="D2574" s="18"/>
      <c r="E2574" s="18"/>
      <c r="F2574" s="18"/>
      <c r="G2574" s="18"/>
    </row>
    <row r="2575" spans="1:7" ht="15.75" x14ac:dyDescent="0.25">
      <c r="A2575" s="17"/>
      <c r="B2575" s="18"/>
      <c r="C2575" s="18"/>
      <c r="D2575" s="18"/>
      <c r="E2575" s="18"/>
      <c r="F2575" s="18"/>
      <c r="G2575" s="18"/>
    </row>
    <row r="2576" spans="1:7" ht="15.75" x14ac:dyDescent="0.25">
      <c r="A2576" s="20" t="s">
        <v>22</v>
      </c>
      <c r="B2576" s="21" t="s">
        <v>23</v>
      </c>
      <c r="C2576" s="22"/>
      <c r="D2576" s="21" t="s">
        <v>24</v>
      </c>
      <c r="E2576" s="22"/>
      <c r="F2576" s="59" t="s">
        <v>25</v>
      </c>
      <c r="G2576" s="60" t="s">
        <v>26</v>
      </c>
    </row>
    <row r="2577" spans="1:7" ht="15.75" x14ac:dyDescent="0.25">
      <c r="A2577" s="23" t="s">
        <v>27</v>
      </c>
      <c r="B2577" s="24" t="s">
        <v>28</v>
      </c>
      <c r="C2577" s="24" t="s">
        <v>29</v>
      </c>
      <c r="D2577" s="24" t="s">
        <v>28</v>
      </c>
      <c r="E2577" s="24" t="s">
        <v>30</v>
      </c>
      <c r="F2577" s="58" t="s">
        <v>31</v>
      </c>
      <c r="G2577" s="61" t="s">
        <v>31</v>
      </c>
    </row>
    <row r="2578" spans="1:7" ht="15.75" x14ac:dyDescent="0.25">
      <c r="A2578" s="25" t="s">
        <v>32</v>
      </c>
      <c r="B2578" s="26">
        <v>-2.6645352591003757E-14</v>
      </c>
      <c r="C2578" s="27">
        <v>0</v>
      </c>
      <c r="D2578" s="28">
        <v>0</v>
      </c>
      <c r="E2578" s="27">
        <v>0</v>
      </c>
      <c r="F2578" s="29">
        <v>0</v>
      </c>
      <c r="G2578" s="27">
        <v>0</v>
      </c>
    </row>
    <row r="2579" spans="1:7" ht="15.75" x14ac:dyDescent="0.25">
      <c r="A2579" s="30">
        <v>201</v>
      </c>
      <c r="B2579" s="26">
        <v>25.751999999999999</v>
      </c>
      <c r="C2579" s="27">
        <v>346.21</v>
      </c>
      <c r="D2579" s="31">
        <v>4.7E-2</v>
      </c>
      <c r="E2579" s="27">
        <v>1.77</v>
      </c>
      <c r="F2579" s="27">
        <v>457.25</v>
      </c>
      <c r="G2579" s="27">
        <v>806</v>
      </c>
    </row>
    <row r="2580" spans="1:7" ht="15.75" x14ac:dyDescent="0.25">
      <c r="A2580" s="30">
        <v>202</v>
      </c>
      <c r="B2580" s="26">
        <v>45.390999999999998</v>
      </c>
      <c r="C2580" s="27">
        <v>610.25</v>
      </c>
      <c r="D2580" s="28">
        <v>4.3339999999999996</v>
      </c>
      <c r="E2580" s="27">
        <v>163.28</v>
      </c>
      <c r="F2580" s="27">
        <v>457.25</v>
      </c>
      <c r="G2580" s="27">
        <v>1231</v>
      </c>
    </row>
    <row r="2581" spans="1:7" ht="15.75" x14ac:dyDescent="0.25">
      <c r="A2581" s="30">
        <v>301</v>
      </c>
      <c r="B2581" s="26">
        <v>18.831</v>
      </c>
      <c r="C2581" s="27">
        <v>253.17</v>
      </c>
      <c r="D2581" s="28">
        <v>2.5489999999999999</v>
      </c>
      <c r="E2581" s="27">
        <v>96.03</v>
      </c>
      <c r="F2581" s="27">
        <v>457.25</v>
      </c>
      <c r="G2581" s="27">
        <v>807</v>
      </c>
    </row>
    <row r="2582" spans="1:7" ht="15.75" x14ac:dyDescent="0.25">
      <c r="A2582" s="30">
        <v>302</v>
      </c>
      <c r="B2582" s="26">
        <v>28.155000000000001</v>
      </c>
      <c r="C2582" s="27">
        <v>378.52</v>
      </c>
      <c r="D2582" s="28">
        <v>2.077</v>
      </c>
      <c r="E2582" s="27">
        <v>78.25</v>
      </c>
      <c r="F2582" s="27">
        <v>457.25</v>
      </c>
      <c r="G2582" s="27">
        <v>915</v>
      </c>
    </row>
    <row r="2583" spans="1:7" ht="15.75" x14ac:dyDescent="0.25">
      <c r="A2583" s="30">
        <v>401</v>
      </c>
      <c r="B2583" s="26">
        <v>24.280999999999999</v>
      </c>
      <c r="C2583" s="27">
        <v>326.44</v>
      </c>
      <c r="D2583" s="28">
        <v>1.667</v>
      </c>
      <c r="E2583" s="27">
        <v>62.8</v>
      </c>
      <c r="F2583" s="27">
        <v>457.25</v>
      </c>
      <c r="G2583" s="27">
        <v>847</v>
      </c>
    </row>
    <row r="2584" spans="1:7" ht="15.75" x14ac:dyDescent="0.25">
      <c r="A2584" s="30">
        <v>402</v>
      </c>
      <c r="B2584" s="26">
        <v>63.423000000000002</v>
      </c>
      <c r="C2584" s="27">
        <v>852.68</v>
      </c>
      <c r="D2584" s="28">
        <v>5.5860000000000003</v>
      </c>
      <c r="E2584" s="27">
        <v>210.45</v>
      </c>
      <c r="F2584" s="27">
        <v>457.25</v>
      </c>
      <c r="G2584" s="27">
        <v>1521</v>
      </c>
    </row>
    <row r="2585" spans="1:7" ht="15.75" x14ac:dyDescent="0.25">
      <c r="A2585" s="30">
        <v>501</v>
      </c>
      <c r="B2585" s="26">
        <v>16.295999999999999</v>
      </c>
      <c r="C2585" s="27">
        <v>219.08</v>
      </c>
      <c r="D2585" s="28">
        <v>1.075</v>
      </c>
      <c r="E2585" s="27">
        <v>40.5</v>
      </c>
      <c r="F2585" s="27">
        <v>457.25</v>
      </c>
      <c r="G2585" s="27">
        <v>717</v>
      </c>
    </row>
    <row r="2586" spans="1:7" ht="15.75" x14ac:dyDescent="0.25">
      <c r="A2586" s="30">
        <v>502</v>
      </c>
      <c r="B2586" s="26">
        <v>13.972</v>
      </c>
      <c r="C2586" s="27">
        <v>187.84</v>
      </c>
      <c r="D2586" s="28">
        <v>1.327</v>
      </c>
      <c r="E2586" s="27">
        <v>49.99</v>
      </c>
      <c r="F2586" s="27">
        <v>457.25</v>
      </c>
      <c r="G2586" s="27">
        <v>696</v>
      </c>
    </row>
    <row r="2587" spans="1:7" ht="15.75" x14ac:dyDescent="0.25">
      <c r="A2587" s="30">
        <v>601</v>
      </c>
      <c r="B2587" s="26">
        <v>5.7060000000000004</v>
      </c>
      <c r="C2587" s="27">
        <v>76.709999999999994</v>
      </c>
      <c r="D2587" s="28">
        <v>0.71199999999999997</v>
      </c>
      <c r="E2587" s="27">
        <v>26.82</v>
      </c>
      <c r="F2587" s="27">
        <v>457.25</v>
      </c>
      <c r="G2587" s="27">
        <v>561</v>
      </c>
    </row>
    <row r="2588" spans="1:7" ht="15.75" x14ac:dyDescent="0.25">
      <c r="A2588" s="30">
        <v>602</v>
      </c>
      <c r="B2588" s="26">
        <v>19.087</v>
      </c>
      <c r="C2588" s="27">
        <v>256.61</v>
      </c>
      <c r="D2588" s="28">
        <v>1.8839999999999999</v>
      </c>
      <c r="E2588" s="27">
        <v>70.98</v>
      </c>
      <c r="F2588" s="27">
        <v>457.25</v>
      </c>
      <c r="G2588" s="27">
        <v>785</v>
      </c>
    </row>
    <row r="2589" spans="1:7" ht="15.75" x14ac:dyDescent="0.25">
      <c r="A2589" s="30">
        <v>701</v>
      </c>
      <c r="B2589" s="26">
        <v>15.301</v>
      </c>
      <c r="C2589" s="27">
        <v>205.71</v>
      </c>
      <c r="D2589" s="28">
        <v>0.75800000000000001</v>
      </c>
      <c r="E2589" s="27">
        <v>28.56</v>
      </c>
      <c r="F2589" s="27">
        <v>457.25</v>
      </c>
      <c r="G2589" s="27">
        <v>692</v>
      </c>
    </row>
    <row r="2590" spans="1:7" ht="15.75" x14ac:dyDescent="0.25">
      <c r="A2590" s="30">
        <v>702</v>
      </c>
      <c r="B2590" s="26">
        <v>6.3959999999999999</v>
      </c>
      <c r="C2590" s="27">
        <v>85.99</v>
      </c>
      <c r="D2590" s="28">
        <v>3.6429999999999998</v>
      </c>
      <c r="E2590" s="27">
        <v>137.25</v>
      </c>
      <c r="F2590" s="27">
        <v>457.25</v>
      </c>
      <c r="G2590" s="27">
        <v>681</v>
      </c>
    </row>
    <row r="2591" spans="1:7" ht="15.75" x14ac:dyDescent="0.25">
      <c r="A2591" s="30">
        <v>801</v>
      </c>
      <c r="B2591" s="26">
        <v>3.2909999999999999</v>
      </c>
      <c r="C2591" s="27">
        <v>44.24</v>
      </c>
      <c r="D2591" s="28">
        <v>0</v>
      </c>
      <c r="E2591" s="27">
        <v>0</v>
      </c>
      <c r="F2591" s="27">
        <v>457.25</v>
      </c>
      <c r="G2591" s="27">
        <v>502</v>
      </c>
    </row>
    <row r="2592" spans="1:7" ht="15.75" x14ac:dyDescent="0.25">
      <c r="A2592" s="30">
        <v>802</v>
      </c>
      <c r="B2592" s="26">
        <v>10.814</v>
      </c>
      <c r="C2592" s="27">
        <v>145.38</v>
      </c>
      <c r="D2592" s="28">
        <v>1.516</v>
      </c>
      <c r="E2592" s="27">
        <v>57.12</v>
      </c>
      <c r="F2592" s="63">
        <v>457.25</v>
      </c>
      <c r="G2592" s="63">
        <v>660</v>
      </c>
    </row>
    <row r="2594" spans="1:7" x14ac:dyDescent="0.25">
      <c r="A2594" s="32"/>
      <c r="B2594" s="7"/>
      <c r="C2594" s="7"/>
      <c r="D2594" s="7"/>
      <c r="E2594" s="7"/>
      <c r="F2594" s="7"/>
      <c r="G2594" s="33"/>
    </row>
    <row r="2595" spans="1:7" x14ac:dyDescent="0.25">
      <c r="A2595" s="32"/>
      <c r="B2595" s="7"/>
      <c r="C2595" s="7"/>
      <c r="D2595" s="7"/>
      <c r="E2595" s="7"/>
      <c r="F2595" s="7"/>
      <c r="G2595" s="33"/>
    </row>
    <row r="2596" spans="1:7" x14ac:dyDescent="0.25">
      <c r="A2596" s="32"/>
      <c r="B2596" s="7"/>
      <c r="C2596" s="7"/>
      <c r="D2596" s="7"/>
      <c r="E2596" s="7"/>
      <c r="F2596" s="7"/>
      <c r="G2596" s="33"/>
    </row>
    <row r="2598" spans="1:7" ht="15.75" x14ac:dyDescent="0.25">
      <c r="A2598" s="34" t="s">
        <v>406</v>
      </c>
      <c r="B2598" s="35"/>
      <c r="C2598" s="35"/>
      <c r="D2598" s="35"/>
      <c r="E2598" s="35"/>
      <c r="F2598" s="36"/>
      <c r="G2598" s="72">
        <v>37740.28</v>
      </c>
    </row>
    <row r="2599" spans="1:7" ht="15.75" x14ac:dyDescent="0.25">
      <c r="A2599" s="37" t="s">
        <v>407</v>
      </c>
      <c r="B2599" s="38"/>
      <c r="C2599" s="38"/>
      <c r="D2599" s="38"/>
      <c r="E2599" s="38"/>
      <c r="F2599" s="39"/>
      <c r="G2599" s="72">
        <v>2100</v>
      </c>
    </row>
    <row r="2600" spans="1:7" ht="15.75" x14ac:dyDescent="0.25">
      <c r="A2600" s="37" t="s">
        <v>408</v>
      </c>
      <c r="B2600" s="38"/>
      <c r="C2600" s="38"/>
      <c r="D2600" s="38"/>
      <c r="E2600" s="38"/>
      <c r="F2600" s="39"/>
      <c r="G2600" s="72">
        <v>-5800</v>
      </c>
    </row>
    <row r="2601" spans="1:7" ht="15.75" x14ac:dyDescent="0.25">
      <c r="A2601" s="34" t="s">
        <v>409</v>
      </c>
      <c r="B2601" s="35"/>
      <c r="C2601" s="35"/>
      <c r="D2601" s="35"/>
      <c r="E2601" s="35"/>
      <c r="F2601" s="36"/>
      <c r="G2601" s="72">
        <f>SUM(G2598:G2600)</f>
        <v>34040.28</v>
      </c>
    </row>
    <row r="2602" spans="1:7" ht="18.75" x14ac:dyDescent="0.3">
      <c r="A2602" s="40"/>
      <c r="B2602" s="40"/>
      <c r="C2602" s="40"/>
      <c r="D2602" s="40"/>
      <c r="E2602" s="40"/>
      <c r="F2602" s="40"/>
      <c r="G2602" s="40"/>
    </row>
    <row r="2603" spans="1:7" ht="31.5" customHeight="1" x14ac:dyDescent="0.25">
      <c r="A2603" s="85" t="s">
        <v>54</v>
      </c>
      <c r="B2603" s="86"/>
      <c r="C2603" s="86"/>
      <c r="D2603" s="86"/>
      <c r="E2603" s="86"/>
      <c r="F2603" s="86"/>
      <c r="G2603" s="87"/>
    </row>
    <row r="2604" spans="1:7" ht="15.75" x14ac:dyDescent="0.25">
      <c r="A2604" s="41" t="s">
        <v>36</v>
      </c>
      <c r="B2604" s="42"/>
      <c r="C2604" s="42"/>
      <c r="D2604" s="42"/>
      <c r="E2604" s="42"/>
      <c r="F2604" s="42"/>
      <c r="G2604" s="43"/>
    </row>
    <row r="2605" spans="1:7" ht="15.75" x14ac:dyDescent="0.25">
      <c r="A2605" s="44" t="s">
        <v>37</v>
      </c>
      <c r="B2605" s="45"/>
      <c r="C2605" s="45"/>
      <c r="D2605" s="45"/>
      <c r="E2605" s="45"/>
      <c r="F2605" s="45"/>
      <c r="G2605" s="46"/>
    </row>
    <row r="2606" spans="1:7" ht="15.75" x14ac:dyDescent="0.25">
      <c r="A2606" s="47"/>
      <c r="B2606" s="47"/>
      <c r="C2606" s="47"/>
      <c r="D2606" s="47"/>
      <c r="E2606" s="47"/>
      <c r="F2606" s="47"/>
      <c r="G2606" s="47"/>
    </row>
    <row r="2607" spans="1:7" ht="15.75" x14ac:dyDescent="0.25">
      <c r="A2607" s="48" t="s">
        <v>50</v>
      </c>
      <c r="B2607" s="49"/>
      <c r="C2607" s="49"/>
      <c r="D2607" s="49"/>
      <c r="E2607" s="49"/>
      <c r="F2607" s="49"/>
      <c r="G2607" s="50"/>
    </row>
    <row r="2608" spans="1:7" ht="15.75" x14ac:dyDescent="0.25">
      <c r="A2608" s="47"/>
      <c r="B2608" s="47"/>
      <c r="C2608" s="47"/>
      <c r="D2608" s="47"/>
      <c r="E2608" s="47"/>
      <c r="F2608" s="47"/>
      <c r="G2608" s="47"/>
    </row>
    <row r="2609" spans="1:9" ht="15.75" x14ac:dyDescent="0.25">
      <c r="A2609" s="47"/>
      <c r="B2609" s="47"/>
      <c r="C2609" s="47"/>
      <c r="D2609" s="47"/>
      <c r="E2609" s="47"/>
      <c r="F2609" s="47"/>
      <c r="G2609" s="47"/>
    </row>
    <row r="2610" spans="1:9" ht="15.75" x14ac:dyDescent="0.25">
      <c r="A2610" s="47"/>
      <c r="B2610" s="47"/>
      <c r="C2610" s="47"/>
      <c r="D2610" s="47"/>
      <c r="E2610" s="47"/>
      <c r="F2610" s="47"/>
      <c r="G2610" s="47"/>
    </row>
    <row r="2618" spans="1:9" ht="21" x14ac:dyDescent="0.35">
      <c r="A2618" s="88" t="s">
        <v>20</v>
      </c>
      <c r="B2618" s="89"/>
      <c r="C2618" s="89"/>
      <c r="D2618" s="89"/>
      <c r="E2618" s="89"/>
      <c r="F2618" s="89"/>
      <c r="G2618" s="90"/>
      <c r="H2618" s="56"/>
      <c r="I2618" s="56"/>
    </row>
    <row r="2620" spans="1:9" ht="17.25" x14ac:dyDescent="0.3">
      <c r="A2620" s="51" t="s">
        <v>410</v>
      </c>
      <c r="B2620" s="51"/>
      <c r="C2620" s="51"/>
      <c r="D2620" s="51"/>
      <c r="E2620" s="51"/>
      <c r="F2620" s="51"/>
      <c r="G2620" s="51"/>
      <c r="H2620" s="51"/>
      <c r="I2620" s="51"/>
    </row>
    <row r="2621" spans="1:9" ht="17.25" x14ac:dyDescent="0.3">
      <c r="A2621" s="51"/>
      <c r="B2621" s="51"/>
      <c r="C2621" s="51"/>
      <c r="D2621" s="51"/>
      <c r="E2621" s="51"/>
      <c r="F2621" s="51"/>
      <c r="G2621" s="51"/>
      <c r="H2621" s="51"/>
      <c r="I2621" s="51"/>
    </row>
    <row r="2622" spans="1:9" ht="17.25" x14ac:dyDescent="0.3">
      <c r="A2622" s="51" t="s">
        <v>411</v>
      </c>
      <c r="B2622" s="51"/>
      <c r="C2622" s="51"/>
      <c r="D2622" s="51"/>
      <c r="E2622" s="51"/>
      <c r="F2622" s="51"/>
      <c r="G2622" s="51"/>
      <c r="H2622" s="51"/>
      <c r="I2622" s="51"/>
    </row>
    <row r="2623" spans="1:9" ht="17.25" x14ac:dyDescent="0.3">
      <c r="A2623" s="51"/>
      <c r="B2623" s="51"/>
      <c r="C2623" s="51"/>
      <c r="D2623" s="51"/>
      <c r="E2623" s="51"/>
      <c r="F2623" s="51"/>
      <c r="G2623" s="51"/>
      <c r="H2623" s="51"/>
      <c r="I2623" s="51"/>
    </row>
    <row r="2624" spans="1:9" ht="17.25" x14ac:dyDescent="0.3">
      <c r="A2624" s="51" t="s">
        <v>412</v>
      </c>
      <c r="B2624" s="51"/>
      <c r="C2624" s="51"/>
      <c r="D2624" s="51"/>
      <c r="E2624" s="51"/>
      <c r="F2624" s="51"/>
      <c r="G2624" s="51"/>
      <c r="H2624" s="51"/>
      <c r="I2624" s="51"/>
    </row>
    <row r="2625" spans="1:9" ht="17.25" x14ac:dyDescent="0.3">
      <c r="A2625" s="51"/>
      <c r="B2625" s="51"/>
      <c r="C2625" s="51"/>
      <c r="D2625" s="51"/>
      <c r="E2625" s="51"/>
      <c r="F2625" s="51"/>
      <c r="G2625" s="51"/>
      <c r="H2625" s="51"/>
      <c r="I2625" s="51"/>
    </row>
    <row r="2626" spans="1:9" ht="17.25" x14ac:dyDescent="0.3">
      <c r="A2626" s="51" t="s">
        <v>40</v>
      </c>
      <c r="B2626" s="51"/>
      <c r="C2626" s="51"/>
      <c r="D2626" s="51"/>
      <c r="E2626" s="51"/>
      <c r="F2626" s="51"/>
      <c r="G2626" s="51"/>
      <c r="H2626" s="51"/>
      <c r="I2626" s="51"/>
    </row>
    <row r="2627" spans="1:9" ht="17.25" x14ac:dyDescent="0.3">
      <c r="A2627" s="51"/>
      <c r="B2627" s="51"/>
      <c r="C2627" s="51"/>
      <c r="D2627" s="51"/>
      <c r="E2627" s="51"/>
      <c r="F2627" s="51"/>
      <c r="G2627" s="51"/>
      <c r="H2627" s="51"/>
      <c r="I2627" s="51"/>
    </row>
    <row r="2628" spans="1:9" ht="33" customHeight="1" x14ac:dyDescent="0.3">
      <c r="A2628" s="91" t="s">
        <v>413</v>
      </c>
      <c r="B2628" s="91"/>
      <c r="C2628" s="91"/>
      <c r="D2628" s="91"/>
      <c r="E2628" s="91"/>
      <c r="F2628" s="91"/>
      <c r="G2628" s="91"/>
      <c r="H2628" s="55"/>
      <c r="I2628" s="55"/>
    </row>
    <row r="2629" spans="1:9" ht="17.25" x14ac:dyDescent="0.3">
      <c r="A2629" s="51"/>
      <c r="B2629" s="51"/>
      <c r="C2629" s="51"/>
      <c r="D2629" s="51"/>
      <c r="E2629" s="51"/>
      <c r="F2629" s="51"/>
      <c r="G2629" s="51"/>
      <c r="H2629" s="51"/>
      <c r="I2629" s="51"/>
    </row>
    <row r="2630" spans="1:9" ht="33" customHeight="1" x14ac:dyDescent="0.3">
      <c r="A2630" s="91" t="s">
        <v>414</v>
      </c>
      <c r="B2630" s="91"/>
      <c r="C2630" s="91"/>
      <c r="D2630" s="91"/>
      <c r="E2630" s="91"/>
      <c r="F2630" s="91"/>
      <c r="G2630" s="91"/>
      <c r="H2630" s="55"/>
      <c r="I2630" s="55"/>
    </row>
    <row r="2631" spans="1:9" ht="17.25" x14ac:dyDescent="0.3">
      <c r="A2631" s="51"/>
      <c r="B2631" s="51"/>
      <c r="C2631" s="51"/>
      <c r="D2631" s="51"/>
      <c r="E2631" s="51"/>
      <c r="F2631" s="51"/>
      <c r="G2631" s="51"/>
      <c r="H2631" s="51"/>
      <c r="I2631" s="51"/>
    </row>
    <row r="2632" spans="1:9" ht="33" customHeight="1" x14ac:dyDescent="0.3">
      <c r="A2632" s="91"/>
      <c r="B2632" s="91"/>
      <c r="C2632" s="91"/>
      <c r="D2632" s="91"/>
      <c r="E2632" s="91"/>
      <c r="F2632" s="91"/>
      <c r="G2632" s="91"/>
      <c r="H2632" s="55"/>
      <c r="I2632" s="55"/>
    </row>
    <row r="2634" spans="1:9" ht="18.75" x14ac:dyDescent="0.3">
      <c r="A2634" s="1" t="s">
        <v>415</v>
      </c>
      <c r="B2634" s="2"/>
      <c r="C2634" s="2"/>
      <c r="D2634" s="2"/>
      <c r="E2634" s="2"/>
      <c r="F2634" s="2"/>
      <c r="G2634" s="53"/>
    </row>
    <row r="2635" spans="1:9" ht="15.75" x14ac:dyDescent="0.25">
      <c r="A2635" s="3" t="s">
        <v>1</v>
      </c>
      <c r="B2635" s="74" t="s">
        <v>3</v>
      </c>
      <c r="C2635" s="4"/>
      <c r="D2635" s="4"/>
      <c r="E2635" s="4"/>
      <c r="F2635" s="4"/>
      <c r="G2635" s="62" t="s">
        <v>30</v>
      </c>
    </row>
    <row r="2636" spans="1:9" ht="15.75" x14ac:dyDescent="0.25">
      <c r="A2636" s="5">
        <v>45880</v>
      </c>
      <c r="B2636" s="32" t="s">
        <v>5</v>
      </c>
      <c r="C2636" s="7"/>
      <c r="D2636" s="7"/>
      <c r="E2636" s="7"/>
      <c r="F2636" s="33"/>
      <c r="G2636" s="52">
        <v>1342.94</v>
      </c>
    </row>
    <row r="2637" spans="1:9" ht="15.75" x14ac:dyDescent="0.25">
      <c r="A2637" s="5">
        <v>45884</v>
      </c>
      <c r="B2637" s="32" t="s">
        <v>61</v>
      </c>
      <c r="C2637" s="7"/>
      <c r="D2637" s="7"/>
      <c r="E2637" s="7"/>
      <c r="F2637" s="33"/>
      <c r="G2637" s="52">
        <v>1231.1099999999999</v>
      </c>
    </row>
    <row r="2638" spans="1:9" ht="15.75" x14ac:dyDescent="0.25">
      <c r="A2638" s="5">
        <v>45887</v>
      </c>
      <c r="B2638" s="32" t="s">
        <v>9</v>
      </c>
      <c r="C2638" s="7"/>
      <c r="D2638" s="7"/>
      <c r="E2638" s="7"/>
      <c r="F2638" s="33"/>
      <c r="G2638" s="52">
        <v>440.76</v>
      </c>
    </row>
    <row r="2639" spans="1:9" ht="15.75" x14ac:dyDescent="0.25">
      <c r="A2639" s="5">
        <v>45889</v>
      </c>
      <c r="B2639" s="32" t="s">
        <v>47</v>
      </c>
      <c r="C2639" s="7"/>
      <c r="D2639" s="7"/>
      <c r="E2639" s="7"/>
      <c r="F2639" s="33"/>
      <c r="G2639" s="52">
        <v>226.01</v>
      </c>
    </row>
    <row r="2640" spans="1:9" ht="15.75" x14ac:dyDescent="0.25">
      <c r="A2640" s="5">
        <v>45870</v>
      </c>
      <c r="B2640" s="32" t="s">
        <v>421</v>
      </c>
      <c r="C2640" s="7"/>
      <c r="D2640" s="7"/>
      <c r="E2640" s="7"/>
      <c r="F2640" s="33"/>
      <c r="G2640" s="52">
        <v>24.6</v>
      </c>
    </row>
    <row r="2641" spans="1:7" ht="15.75" x14ac:dyDescent="0.25">
      <c r="A2641" s="5">
        <v>45845</v>
      </c>
      <c r="B2641" s="32" t="s">
        <v>417</v>
      </c>
      <c r="C2641" s="7"/>
      <c r="D2641" s="7"/>
      <c r="E2641" s="7"/>
      <c r="F2641" s="33"/>
      <c r="G2641" s="52">
        <v>28.9</v>
      </c>
    </row>
    <row r="2642" spans="1:7" ht="15.75" x14ac:dyDescent="0.25">
      <c r="A2642" s="5">
        <v>45897</v>
      </c>
      <c r="B2642" s="32" t="s">
        <v>14</v>
      </c>
      <c r="C2642" s="7"/>
      <c r="D2642" s="7"/>
      <c r="E2642" s="7"/>
      <c r="F2642" s="33"/>
      <c r="G2642" s="52">
        <v>151.6</v>
      </c>
    </row>
    <row r="2643" spans="1:7" ht="15.75" customHeight="1" x14ac:dyDescent="0.25">
      <c r="A2643" s="8">
        <v>45870</v>
      </c>
      <c r="B2643" s="32" t="s">
        <v>15</v>
      </c>
      <c r="C2643" s="7"/>
      <c r="D2643" s="67"/>
      <c r="E2643" s="67"/>
      <c r="F2643" s="68"/>
      <c r="G2643" s="52">
        <v>65</v>
      </c>
    </row>
    <row r="2644" spans="1:7" ht="21" x14ac:dyDescent="0.35">
      <c r="A2644" s="9" t="s">
        <v>16</v>
      </c>
      <c r="B2644" s="10"/>
      <c r="C2644" s="10"/>
      <c r="D2644" s="10"/>
      <c r="E2644" s="10"/>
      <c r="F2644" s="10"/>
      <c r="G2644" s="12">
        <f>SUM(G2636:G2643)</f>
        <v>3510.9200000000005</v>
      </c>
    </row>
    <row r="2645" spans="1:7" ht="21" x14ac:dyDescent="0.35">
      <c r="A2645" s="13" t="s">
        <v>17</v>
      </c>
      <c r="B2645" s="11"/>
      <c r="C2645" s="11"/>
      <c r="D2645" s="11"/>
      <c r="E2645" s="11"/>
      <c r="F2645" s="11"/>
      <c r="G2645" s="14">
        <f>ROUND(G2644/14,2)</f>
        <v>250.78</v>
      </c>
    </row>
    <row r="2646" spans="1:7" ht="21" x14ac:dyDescent="0.35">
      <c r="A2646" s="13" t="s">
        <v>74</v>
      </c>
      <c r="B2646" s="11"/>
      <c r="C2646" s="11"/>
      <c r="D2646" s="11"/>
      <c r="E2646" s="11"/>
      <c r="F2646" s="11"/>
      <c r="G2646" s="14">
        <f>ROUND(G2645/13,2)</f>
        <v>19.29</v>
      </c>
    </row>
    <row r="2647" spans="1:7" ht="21" x14ac:dyDescent="0.35">
      <c r="A2647" s="13" t="s">
        <v>196</v>
      </c>
      <c r="B2647" s="11"/>
      <c r="C2647" s="11"/>
      <c r="D2647" s="11"/>
      <c r="E2647" s="11"/>
      <c r="F2647" s="11"/>
      <c r="G2647" s="14">
        <v>150</v>
      </c>
    </row>
    <row r="2648" spans="1:7" ht="21" x14ac:dyDescent="0.35">
      <c r="A2648" s="13" t="s">
        <v>19</v>
      </c>
      <c r="B2648" s="11"/>
      <c r="C2648" s="11"/>
      <c r="D2648" s="11"/>
      <c r="E2648" s="11"/>
      <c r="F2648" s="11"/>
      <c r="G2648" s="12">
        <f>G2645+G2646+G2647</f>
        <v>420.07</v>
      </c>
    </row>
    <row r="2659" spans="1:7" ht="21" x14ac:dyDescent="0.35">
      <c r="A2659" s="88" t="s">
        <v>20</v>
      </c>
      <c r="B2659" s="89"/>
      <c r="C2659" s="89"/>
      <c r="D2659" s="89"/>
      <c r="E2659" s="89"/>
      <c r="F2659" s="89"/>
      <c r="G2659" s="90"/>
    </row>
    <row r="2660" spans="1:7" ht="18.75" x14ac:dyDescent="0.25">
      <c r="A2660" s="19" t="s">
        <v>416</v>
      </c>
      <c r="B2660" s="15"/>
      <c r="C2660" s="15"/>
      <c r="D2660" s="15"/>
      <c r="E2660" s="15"/>
      <c r="F2660" s="15"/>
      <c r="G2660" s="16"/>
    </row>
    <row r="2661" spans="1:7" ht="15.75" x14ac:dyDescent="0.25">
      <c r="A2661" s="17"/>
      <c r="B2661" s="18"/>
      <c r="C2661" s="18"/>
      <c r="D2661" s="18"/>
      <c r="E2661" s="18"/>
      <c r="F2661" s="18"/>
      <c r="G2661" s="18"/>
    </row>
    <row r="2662" spans="1:7" ht="15.75" x14ac:dyDescent="0.25">
      <c r="A2662" s="17"/>
      <c r="B2662" s="18"/>
      <c r="C2662" s="18"/>
      <c r="D2662" s="18"/>
      <c r="E2662" s="18"/>
      <c r="F2662" s="18"/>
      <c r="G2662" s="18"/>
    </row>
    <row r="2663" spans="1:7" ht="15.75" x14ac:dyDescent="0.25">
      <c r="A2663" s="20" t="s">
        <v>22</v>
      </c>
      <c r="B2663" s="21" t="s">
        <v>23</v>
      </c>
      <c r="C2663" s="22"/>
      <c r="D2663" s="21" t="s">
        <v>24</v>
      </c>
      <c r="E2663" s="22"/>
      <c r="F2663" s="59" t="s">
        <v>25</v>
      </c>
      <c r="G2663" s="60" t="s">
        <v>26</v>
      </c>
    </row>
    <row r="2664" spans="1:7" ht="15.75" x14ac:dyDescent="0.25">
      <c r="A2664" s="23" t="s">
        <v>27</v>
      </c>
      <c r="B2664" s="24" t="s">
        <v>28</v>
      </c>
      <c r="C2664" s="24" t="s">
        <v>29</v>
      </c>
      <c r="D2664" s="24" t="s">
        <v>28</v>
      </c>
      <c r="E2664" s="24" t="s">
        <v>30</v>
      </c>
      <c r="F2664" s="58" t="s">
        <v>31</v>
      </c>
      <c r="G2664" s="61" t="s">
        <v>31</v>
      </c>
    </row>
    <row r="2665" spans="1:7" ht="15.75" x14ac:dyDescent="0.25">
      <c r="A2665" s="25" t="s">
        <v>32</v>
      </c>
      <c r="B2665" s="26">
        <v>0</v>
      </c>
      <c r="C2665" s="27">
        <v>0</v>
      </c>
      <c r="D2665" s="28">
        <v>0</v>
      </c>
      <c r="E2665" s="27">
        <v>0</v>
      </c>
      <c r="F2665" s="29">
        <v>0</v>
      </c>
      <c r="G2665" s="27">
        <v>0</v>
      </c>
    </row>
    <row r="2666" spans="1:7" ht="15.75" x14ac:dyDescent="0.25">
      <c r="A2666" s="30">
        <v>201</v>
      </c>
      <c r="B2666" s="26">
        <v>14.55</v>
      </c>
      <c r="C2666" s="27">
        <v>196.36</v>
      </c>
      <c r="D2666" s="31">
        <v>2.5999999999999999E-2</v>
      </c>
      <c r="E2666" s="27">
        <v>0.98</v>
      </c>
      <c r="F2666" s="27">
        <v>420.07</v>
      </c>
      <c r="G2666" s="27">
        <v>618</v>
      </c>
    </row>
    <row r="2667" spans="1:7" ht="15.75" x14ac:dyDescent="0.25">
      <c r="A2667" s="30">
        <v>202</v>
      </c>
      <c r="B2667" s="26">
        <v>30.318999999999999</v>
      </c>
      <c r="C2667" s="27">
        <v>407.09</v>
      </c>
      <c r="D2667" s="28">
        <v>4.9009999999999998</v>
      </c>
      <c r="E2667" s="27">
        <v>184.65</v>
      </c>
      <c r="F2667" s="27">
        <v>420.07</v>
      </c>
      <c r="G2667" s="27">
        <v>1012</v>
      </c>
    </row>
    <row r="2668" spans="1:7" ht="15.75" x14ac:dyDescent="0.25">
      <c r="A2668" s="30">
        <v>301</v>
      </c>
      <c r="B2668" s="26">
        <v>18.923999999999999</v>
      </c>
      <c r="C2668" s="27">
        <v>254.85</v>
      </c>
      <c r="D2668" s="28">
        <v>3.3370000000000002</v>
      </c>
      <c r="E2668" s="27">
        <v>125.72</v>
      </c>
      <c r="F2668" s="27">
        <v>420.07</v>
      </c>
      <c r="G2668" s="27">
        <v>801</v>
      </c>
    </row>
    <row r="2669" spans="1:7" ht="15.75" x14ac:dyDescent="0.25">
      <c r="A2669" s="30">
        <v>302</v>
      </c>
      <c r="B2669" s="26">
        <v>27.603000000000002</v>
      </c>
      <c r="C2669" s="27">
        <v>371.29</v>
      </c>
      <c r="D2669" s="28">
        <v>1.764</v>
      </c>
      <c r="E2669" s="27">
        <v>66.459999999999994</v>
      </c>
      <c r="F2669" s="27">
        <v>420.07</v>
      </c>
      <c r="G2669" s="27">
        <v>858</v>
      </c>
    </row>
    <row r="2670" spans="1:7" ht="15.75" x14ac:dyDescent="0.25">
      <c r="A2670" s="30">
        <v>401</v>
      </c>
      <c r="B2670" s="26">
        <v>27.395</v>
      </c>
      <c r="C2670" s="27">
        <v>368.04</v>
      </c>
      <c r="D2670" s="28">
        <v>1.798</v>
      </c>
      <c r="E2670" s="27">
        <v>67.739999999999995</v>
      </c>
      <c r="F2670" s="27">
        <v>420.07</v>
      </c>
      <c r="G2670" s="27">
        <v>856</v>
      </c>
    </row>
    <row r="2671" spans="1:7" ht="15.75" x14ac:dyDescent="0.25">
      <c r="A2671" s="30">
        <v>402</v>
      </c>
      <c r="B2671" s="26">
        <v>56.386000000000003</v>
      </c>
      <c r="C2671" s="27">
        <v>758.28</v>
      </c>
      <c r="D2671" s="28">
        <v>4.4749999999999996</v>
      </c>
      <c r="E2671" s="27">
        <v>168.6</v>
      </c>
      <c r="F2671" s="27">
        <v>420.07</v>
      </c>
      <c r="G2671" s="27">
        <v>1347</v>
      </c>
    </row>
    <row r="2672" spans="1:7" ht="15.75" x14ac:dyDescent="0.25">
      <c r="A2672" s="30">
        <v>501</v>
      </c>
      <c r="B2672" s="26">
        <v>15.234</v>
      </c>
      <c r="C2672" s="27">
        <v>204.94</v>
      </c>
      <c r="D2672" s="28">
        <v>1.143</v>
      </c>
      <c r="E2672" s="27">
        <v>43.06</v>
      </c>
      <c r="F2672" s="27">
        <v>420.07</v>
      </c>
      <c r="G2672" s="27">
        <v>669</v>
      </c>
    </row>
    <row r="2673" spans="1:7" ht="15.75" x14ac:dyDescent="0.25">
      <c r="A2673" s="30">
        <v>502</v>
      </c>
      <c r="B2673" s="26">
        <v>14.728</v>
      </c>
      <c r="C2673" s="27">
        <v>197.74</v>
      </c>
      <c r="D2673" s="28">
        <v>1.3460000000000001</v>
      </c>
      <c r="E2673" s="27">
        <v>50.71</v>
      </c>
      <c r="F2673" s="27">
        <v>420.07</v>
      </c>
      <c r="G2673" s="27">
        <v>669</v>
      </c>
    </row>
    <row r="2674" spans="1:7" ht="15.75" x14ac:dyDescent="0.25">
      <c r="A2674" s="30">
        <v>601</v>
      </c>
      <c r="B2674" s="26">
        <v>3.8610000000000002</v>
      </c>
      <c r="C2674" s="27">
        <v>51.23</v>
      </c>
      <c r="D2674" s="28">
        <v>0.40300000000000002</v>
      </c>
      <c r="E2674" s="27">
        <v>15.18</v>
      </c>
      <c r="F2674" s="27">
        <v>420.07</v>
      </c>
      <c r="G2674" s="27">
        <v>487</v>
      </c>
    </row>
    <row r="2675" spans="1:7" ht="15.75" x14ac:dyDescent="0.25">
      <c r="A2675" s="30">
        <v>602</v>
      </c>
      <c r="B2675" s="26">
        <v>12.961</v>
      </c>
      <c r="C2675" s="27">
        <v>174.21</v>
      </c>
      <c r="D2675" s="28">
        <v>1.3360000000000001</v>
      </c>
      <c r="E2675" s="27">
        <v>50.33</v>
      </c>
      <c r="F2675" s="27">
        <v>420.07</v>
      </c>
      <c r="G2675" s="27">
        <v>645</v>
      </c>
    </row>
    <row r="2676" spans="1:7" ht="15.75" x14ac:dyDescent="0.25">
      <c r="A2676" s="30">
        <v>701</v>
      </c>
      <c r="B2676" s="26">
        <v>16.448</v>
      </c>
      <c r="C2676" s="27">
        <v>220.9</v>
      </c>
      <c r="D2676" s="28">
        <v>1.5289999999999999</v>
      </c>
      <c r="E2676" s="27">
        <v>57.61</v>
      </c>
      <c r="F2676" s="27">
        <v>420.07</v>
      </c>
      <c r="G2676" s="27">
        <v>699</v>
      </c>
    </row>
    <row r="2677" spans="1:7" ht="15.75" x14ac:dyDescent="0.25">
      <c r="A2677" s="30">
        <v>702</v>
      </c>
      <c r="B2677" s="26">
        <v>6.7519999999999998</v>
      </c>
      <c r="C2677" s="27">
        <v>90.02</v>
      </c>
      <c r="D2677" s="28">
        <v>4.1289999999999996</v>
      </c>
      <c r="E2677" s="27">
        <v>155.56</v>
      </c>
      <c r="F2677" s="27">
        <v>420.07</v>
      </c>
      <c r="G2677" s="27">
        <v>666</v>
      </c>
    </row>
    <row r="2678" spans="1:7" ht="15.75" x14ac:dyDescent="0.25">
      <c r="A2678" s="30">
        <v>801</v>
      </c>
      <c r="B2678" s="26">
        <v>5.867</v>
      </c>
      <c r="C2678" s="27">
        <v>78.25</v>
      </c>
      <c r="D2678" s="28">
        <v>1.0999999999999999E-2</v>
      </c>
      <c r="E2678" s="27">
        <v>0.41</v>
      </c>
      <c r="F2678" s="27">
        <v>420.07</v>
      </c>
      <c r="G2678" s="27">
        <v>499</v>
      </c>
    </row>
    <row r="2679" spans="1:7" ht="15.75" x14ac:dyDescent="0.25">
      <c r="A2679" s="30">
        <v>802</v>
      </c>
      <c r="B2679" s="26">
        <v>16.04</v>
      </c>
      <c r="C2679" s="27">
        <v>216.1</v>
      </c>
      <c r="D2679" s="28">
        <v>2.09</v>
      </c>
      <c r="E2679" s="27">
        <v>78.739999999999995</v>
      </c>
      <c r="F2679" s="27">
        <v>420.07</v>
      </c>
      <c r="G2679" s="63">
        <v>715</v>
      </c>
    </row>
    <row r="2681" spans="1:7" x14ac:dyDescent="0.25">
      <c r="A2681" s="32"/>
      <c r="B2681" s="7"/>
      <c r="C2681" s="7"/>
      <c r="D2681" s="7"/>
      <c r="E2681" s="7"/>
      <c r="F2681" s="7"/>
      <c r="G2681" s="33"/>
    </row>
    <row r="2682" spans="1:7" x14ac:dyDescent="0.25">
      <c r="A2682" s="32"/>
      <c r="B2682" s="7"/>
      <c r="C2682" s="7"/>
      <c r="D2682" s="7"/>
      <c r="E2682" s="7"/>
      <c r="F2682" s="7"/>
      <c r="G2682" s="33"/>
    </row>
    <row r="2683" spans="1:7" x14ac:dyDescent="0.25">
      <c r="A2683" s="32"/>
      <c r="B2683" s="7"/>
      <c r="C2683" s="7"/>
      <c r="D2683" s="7"/>
      <c r="E2683" s="7"/>
      <c r="F2683" s="7"/>
      <c r="G2683" s="33"/>
    </row>
    <row r="2685" spans="1:7" ht="15.75" x14ac:dyDescent="0.25">
      <c r="A2685" s="34" t="s">
        <v>418</v>
      </c>
      <c r="B2685" s="35"/>
      <c r="C2685" s="35"/>
      <c r="D2685" s="35"/>
      <c r="E2685" s="35"/>
      <c r="F2685" s="36"/>
      <c r="G2685" s="72">
        <v>34040.28</v>
      </c>
    </row>
    <row r="2686" spans="1:7" ht="15.75" x14ac:dyDescent="0.25">
      <c r="A2686" s="37" t="s">
        <v>419</v>
      </c>
      <c r="B2686" s="38"/>
      <c r="C2686" s="38"/>
      <c r="D2686" s="38"/>
      <c r="E2686" s="38"/>
      <c r="F2686" s="39"/>
      <c r="G2686" s="72">
        <v>2100</v>
      </c>
    </row>
    <row r="2687" spans="1:7" ht="15.75" x14ac:dyDescent="0.25">
      <c r="A2687" s="37" t="s">
        <v>408</v>
      </c>
      <c r="B2687" s="38"/>
      <c r="C2687" s="38"/>
      <c r="D2687" s="38"/>
      <c r="E2687" s="38"/>
      <c r="F2687" s="39"/>
      <c r="G2687" s="72">
        <v>-9982.5400000000009</v>
      </c>
    </row>
    <row r="2688" spans="1:7" ht="15.75" x14ac:dyDescent="0.25">
      <c r="A2688" s="34" t="s">
        <v>420</v>
      </c>
      <c r="B2688" s="35"/>
      <c r="C2688" s="35"/>
      <c r="D2688" s="35"/>
      <c r="E2688" s="35"/>
      <c r="F2688" s="36"/>
      <c r="G2688" s="72">
        <f>SUM(G2685:G2687)</f>
        <v>26157.739999999998</v>
      </c>
    </row>
    <row r="2689" spans="1:7" ht="18.75" x14ac:dyDescent="0.3">
      <c r="A2689" s="40"/>
      <c r="B2689" s="40"/>
      <c r="C2689" s="40"/>
      <c r="D2689" s="40"/>
      <c r="E2689" s="40"/>
      <c r="F2689" s="40"/>
      <c r="G2689" s="40"/>
    </row>
    <row r="2690" spans="1:7" ht="31.5" customHeight="1" x14ac:dyDescent="0.25">
      <c r="A2690" s="85" t="s">
        <v>54</v>
      </c>
      <c r="B2690" s="86"/>
      <c r="C2690" s="86"/>
      <c r="D2690" s="86"/>
      <c r="E2690" s="86"/>
      <c r="F2690" s="86"/>
      <c r="G2690" s="87"/>
    </row>
    <row r="2691" spans="1:7" ht="15.75" x14ac:dyDescent="0.25">
      <c r="A2691" s="41" t="s">
        <v>36</v>
      </c>
      <c r="B2691" s="42"/>
      <c r="C2691" s="42"/>
      <c r="D2691" s="42"/>
      <c r="E2691" s="42"/>
      <c r="F2691" s="42"/>
      <c r="G2691" s="43"/>
    </row>
    <row r="2692" spans="1:7" ht="15.75" x14ac:dyDescent="0.25">
      <c r="A2692" s="44" t="s">
        <v>37</v>
      </c>
      <c r="B2692" s="45"/>
      <c r="C2692" s="45"/>
      <c r="D2692" s="45"/>
      <c r="E2692" s="45"/>
      <c r="F2692" s="45"/>
      <c r="G2692" s="46"/>
    </row>
    <row r="2693" spans="1:7" ht="15.75" x14ac:dyDescent="0.25">
      <c r="A2693" s="47"/>
      <c r="B2693" s="47"/>
      <c r="C2693" s="47"/>
      <c r="D2693" s="47"/>
      <c r="E2693" s="47"/>
      <c r="F2693" s="47"/>
      <c r="G2693" s="47"/>
    </row>
    <row r="2694" spans="1:7" ht="15.75" x14ac:dyDescent="0.25">
      <c r="A2694" s="48" t="s">
        <v>50</v>
      </c>
      <c r="B2694" s="49"/>
      <c r="C2694" s="49"/>
      <c r="D2694" s="49"/>
      <c r="E2694" s="49"/>
      <c r="F2694" s="49"/>
      <c r="G2694" s="50"/>
    </row>
    <row r="2695" spans="1:7" ht="15.75" x14ac:dyDescent="0.25">
      <c r="A2695" s="47"/>
      <c r="B2695" s="47"/>
      <c r="C2695" s="47"/>
      <c r="D2695" s="47"/>
      <c r="E2695" s="47"/>
      <c r="F2695" s="47"/>
      <c r="G2695" s="47"/>
    </row>
    <row r="2696" spans="1:7" ht="15.75" x14ac:dyDescent="0.25">
      <c r="A2696" s="47"/>
      <c r="B2696" s="47"/>
      <c r="C2696" s="47"/>
      <c r="D2696" s="47"/>
      <c r="E2696" s="47"/>
      <c r="F2696" s="47"/>
      <c r="G2696" s="47"/>
    </row>
    <row r="2697" spans="1:7" ht="15.75" x14ac:dyDescent="0.25">
      <c r="A2697" s="47"/>
      <c r="B2697" s="47"/>
      <c r="C2697" s="47"/>
      <c r="D2697" s="47"/>
      <c r="E2697" s="47"/>
      <c r="F2697" s="47"/>
      <c r="G2697" s="47"/>
    </row>
    <row r="2705" spans="1:7" ht="21" x14ac:dyDescent="0.35">
      <c r="A2705" s="88" t="s">
        <v>20</v>
      </c>
      <c r="B2705" s="89"/>
      <c r="C2705" s="89"/>
      <c r="D2705" s="89"/>
      <c r="E2705" s="89"/>
      <c r="F2705" s="89"/>
      <c r="G2705" s="90"/>
    </row>
    <row r="2707" spans="1:7" ht="17.25" x14ac:dyDescent="0.3">
      <c r="A2707" s="51" t="s">
        <v>432</v>
      </c>
      <c r="B2707" s="51"/>
      <c r="C2707" s="51"/>
      <c r="D2707" s="51"/>
      <c r="E2707" s="51"/>
      <c r="F2707" s="51"/>
      <c r="G2707" s="51"/>
    </row>
    <row r="2708" spans="1:7" ht="17.25" x14ac:dyDescent="0.3">
      <c r="A2708" s="51"/>
      <c r="B2708" s="51"/>
      <c r="C2708" s="51"/>
      <c r="D2708" s="51"/>
      <c r="E2708" s="51"/>
      <c r="F2708" s="51"/>
      <c r="G2708" s="51"/>
    </row>
    <row r="2709" spans="1:7" ht="17.25" x14ac:dyDescent="0.3">
      <c r="A2709" s="51" t="s">
        <v>431</v>
      </c>
      <c r="B2709" s="51"/>
      <c r="C2709" s="51"/>
      <c r="D2709" s="51"/>
      <c r="E2709" s="51"/>
      <c r="F2709" s="51"/>
      <c r="G2709" s="51"/>
    </row>
    <row r="2710" spans="1:7" ht="17.25" x14ac:dyDescent="0.3">
      <c r="A2710" s="51"/>
      <c r="B2710" s="51"/>
      <c r="C2710" s="51"/>
      <c r="D2710" s="51"/>
      <c r="E2710" s="51"/>
      <c r="F2710" s="51"/>
      <c r="G2710" s="51"/>
    </row>
    <row r="2711" spans="1:7" ht="17.25" x14ac:dyDescent="0.3">
      <c r="A2711" s="51" t="s">
        <v>430</v>
      </c>
      <c r="B2711" s="51"/>
      <c r="C2711" s="51"/>
      <c r="D2711" s="51"/>
      <c r="E2711" s="51"/>
      <c r="F2711" s="51"/>
      <c r="G2711" s="51"/>
    </row>
    <row r="2712" spans="1:7" ht="17.25" x14ac:dyDescent="0.3">
      <c r="A2712" s="51"/>
      <c r="B2712" s="51"/>
      <c r="C2712" s="51"/>
      <c r="D2712" s="51"/>
      <c r="E2712" s="51"/>
      <c r="F2712" s="51"/>
      <c r="G2712" s="51"/>
    </row>
    <row r="2713" spans="1:7" ht="17.25" x14ac:dyDescent="0.3">
      <c r="A2713" s="51" t="s">
        <v>40</v>
      </c>
      <c r="B2713" s="51"/>
      <c r="C2713" s="51"/>
      <c r="D2713" s="51"/>
      <c r="E2713" s="51"/>
      <c r="F2713" s="51"/>
      <c r="G2713" s="51"/>
    </row>
    <row r="2714" spans="1:7" ht="17.25" x14ac:dyDescent="0.3">
      <c r="A2714" s="51"/>
      <c r="B2714" s="51"/>
      <c r="C2714" s="51"/>
      <c r="D2714" s="51"/>
      <c r="E2714" s="51"/>
      <c r="F2714" s="51"/>
      <c r="G2714" s="51"/>
    </row>
    <row r="2715" spans="1:7" ht="33" customHeight="1" x14ac:dyDescent="0.3">
      <c r="A2715" s="91" t="s">
        <v>429</v>
      </c>
      <c r="B2715" s="91"/>
      <c r="C2715" s="91"/>
      <c r="D2715" s="91"/>
      <c r="E2715" s="91"/>
      <c r="F2715" s="91"/>
      <c r="G2715" s="91"/>
    </row>
    <row r="2716" spans="1:7" ht="17.25" x14ac:dyDescent="0.3">
      <c r="A2716" s="51"/>
      <c r="B2716" s="51"/>
      <c r="C2716" s="51"/>
      <c r="D2716" s="51"/>
      <c r="E2716" s="51"/>
      <c r="F2716" s="51"/>
      <c r="G2716" s="51"/>
    </row>
    <row r="2717" spans="1:7" ht="33" customHeight="1" x14ac:dyDescent="0.3">
      <c r="A2717" s="91" t="s">
        <v>428</v>
      </c>
      <c r="B2717" s="91"/>
      <c r="C2717" s="91"/>
      <c r="D2717" s="91"/>
      <c r="E2717" s="91"/>
      <c r="F2717" s="91"/>
      <c r="G2717" s="91"/>
    </row>
    <row r="2718" spans="1:7" ht="17.25" x14ac:dyDescent="0.3">
      <c r="A2718" s="51"/>
      <c r="B2718" s="51"/>
      <c r="C2718" s="51"/>
      <c r="D2718" s="51"/>
      <c r="E2718" s="51"/>
      <c r="F2718" s="51"/>
      <c r="G2718" s="51"/>
    </row>
    <row r="2719" spans="1:7" ht="33" customHeight="1" x14ac:dyDescent="0.3">
      <c r="A2719" s="91"/>
      <c r="B2719" s="91"/>
      <c r="C2719" s="91"/>
      <c r="D2719" s="91"/>
      <c r="E2719" s="91"/>
      <c r="F2719" s="91"/>
      <c r="G2719" s="91"/>
    </row>
    <row r="2721" spans="1:7" ht="18.75" x14ac:dyDescent="0.3">
      <c r="A2721" s="1" t="s">
        <v>427</v>
      </c>
      <c r="B2721" s="2"/>
      <c r="C2721" s="2"/>
      <c r="D2721" s="2"/>
      <c r="E2721" s="2"/>
      <c r="F2721" s="2"/>
      <c r="G2721" s="53"/>
    </row>
    <row r="2722" spans="1:7" ht="15.75" x14ac:dyDescent="0.25">
      <c r="A2722" s="3" t="s">
        <v>1</v>
      </c>
      <c r="B2722" s="74" t="s">
        <v>3</v>
      </c>
      <c r="C2722" s="4"/>
      <c r="D2722" s="4"/>
      <c r="E2722" s="4"/>
      <c r="F2722" s="4"/>
      <c r="G2722" s="62" t="s">
        <v>30</v>
      </c>
    </row>
    <row r="2723" spans="1:7" ht="15.75" x14ac:dyDescent="0.25">
      <c r="A2723" s="5">
        <v>45910</v>
      </c>
      <c r="B2723" s="32" t="s">
        <v>5</v>
      </c>
      <c r="C2723" s="7"/>
      <c r="D2723" s="7"/>
      <c r="E2723" s="7"/>
      <c r="F2723" s="33"/>
      <c r="G2723" s="52">
        <v>1342.94</v>
      </c>
    </row>
    <row r="2724" spans="1:7" ht="15.75" x14ac:dyDescent="0.25">
      <c r="A2724" s="5">
        <v>45915</v>
      </c>
      <c r="B2724" s="32" t="s">
        <v>61</v>
      </c>
      <c r="C2724" s="7"/>
      <c r="D2724" s="7"/>
      <c r="E2724" s="7"/>
      <c r="F2724" s="33"/>
      <c r="G2724" s="52">
        <v>1231.1099999999999</v>
      </c>
    </row>
    <row r="2725" spans="1:7" ht="15.75" x14ac:dyDescent="0.25">
      <c r="A2725" s="5">
        <v>45915</v>
      </c>
      <c r="B2725" s="32" t="s">
        <v>8</v>
      </c>
      <c r="C2725" s="7"/>
      <c r="D2725" s="7"/>
      <c r="E2725" s="7"/>
      <c r="F2725" s="33"/>
      <c r="G2725" s="52">
        <v>102.13</v>
      </c>
    </row>
    <row r="2726" spans="1:7" ht="15.75" x14ac:dyDescent="0.25">
      <c r="A2726" s="5">
        <v>45917</v>
      </c>
      <c r="B2726" s="32" t="s">
        <v>9</v>
      </c>
      <c r="C2726" s="7"/>
      <c r="D2726" s="7"/>
      <c r="E2726" s="7"/>
      <c r="F2726" s="33"/>
      <c r="G2726" s="52">
        <v>487.7</v>
      </c>
    </row>
    <row r="2727" spans="1:7" ht="15.75" x14ac:dyDescent="0.25">
      <c r="A2727" s="5">
        <v>45919</v>
      </c>
      <c r="B2727" s="32" t="s">
        <v>47</v>
      </c>
      <c r="C2727" s="7"/>
      <c r="D2727" s="7"/>
      <c r="E2727" s="7"/>
      <c r="F2727" s="33"/>
      <c r="G2727" s="52">
        <v>226.01</v>
      </c>
    </row>
    <row r="2728" spans="1:7" ht="15.75" x14ac:dyDescent="0.25">
      <c r="A2728" s="5">
        <v>45929</v>
      </c>
      <c r="B2728" s="32" t="s">
        <v>14</v>
      </c>
      <c r="C2728" s="7"/>
      <c r="D2728" s="7"/>
      <c r="E2728" s="7"/>
      <c r="F2728" s="33"/>
      <c r="G2728" s="52">
        <v>151.6</v>
      </c>
    </row>
    <row r="2729" spans="1:7" ht="15.75" x14ac:dyDescent="0.25">
      <c r="A2729" s="5">
        <v>45901</v>
      </c>
      <c r="B2729" s="32" t="s">
        <v>15</v>
      </c>
      <c r="C2729" s="7"/>
      <c r="D2729" s="7"/>
      <c r="E2729" s="7"/>
      <c r="F2729" s="33"/>
      <c r="G2729" s="52">
        <v>65</v>
      </c>
    </row>
    <row r="2730" spans="1:7" ht="15.75" customHeight="1" x14ac:dyDescent="0.25">
      <c r="A2730" s="8">
        <v>45887</v>
      </c>
      <c r="B2730" s="81" t="s">
        <v>426</v>
      </c>
      <c r="C2730" s="7"/>
      <c r="D2730" s="67"/>
      <c r="E2730" s="67"/>
      <c r="F2730" s="68"/>
      <c r="G2730" s="52">
        <v>700</v>
      </c>
    </row>
    <row r="2731" spans="1:7" ht="21" x14ac:dyDescent="0.35">
      <c r="A2731" s="9" t="s">
        <v>16</v>
      </c>
      <c r="B2731" s="10"/>
      <c r="C2731" s="10"/>
      <c r="D2731" s="10"/>
      <c r="E2731" s="10"/>
      <c r="F2731" s="10"/>
      <c r="G2731" s="12">
        <f>SUM(G2723:G2730)</f>
        <v>4306.49</v>
      </c>
    </row>
    <row r="2732" spans="1:7" ht="21" x14ac:dyDescent="0.35">
      <c r="A2732" s="13" t="s">
        <v>17</v>
      </c>
      <c r="B2732" s="11"/>
      <c r="C2732" s="11"/>
      <c r="D2732" s="11"/>
      <c r="E2732" s="11"/>
      <c r="F2732" s="11"/>
      <c r="G2732" s="14">
        <f>ROUND(G2731/14,2)</f>
        <v>307.61</v>
      </c>
    </row>
    <row r="2733" spans="1:7" ht="21" x14ac:dyDescent="0.35">
      <c r="A2733" s="13" t="s">
        <v>74</v>
      </c>
      <c r="B2733" s="11"/>
      <c r="C2733" s="11"/>
      <c r="D2733" s="11"/>
      <c r="E2733" s="11"/>
      <c r="F2733" s="11"/>
      <c r="G2733" s="14">
        <f>ROUND(G2732/13,2)</f>
        <v>23.66</v>
      </c>
    </row>
    <row r="2734" spans="1:7" ht="21" x14ac:dyDescent="0.35">
      <c r="A2734" s="13" t="s">
        <v>196</v>
      </c>
      <c r="B2734" s="11"/>
      <c r="C2734" s="11"/>
      <c r="D2734" s="11"/>
      <c r="E2734" s="11"/>
      <c r="F2734" s="11"/>
      <c r="G2734" s="14">
        <v>150</v>
      </c>
    </row>
    <row r="2735" spans="1:7" ht="21" x14ac:dyDescent="0.35">
      <c r="A2735" s="13" t="s">
        <v>19</v>
      </c>
      <c r="B2735" s="11"/>
      <c r="C2735" s="11"/>
      <c r="D2735" s="11"/>
      <c r="E2735" s="11"/>
      <c r="F2735" s="11"/>
      <c r="G2735" s="12">
        <f>G2732+G2733+G2734</f>
        <v>481.27000000000004</v>
      </c>
    </row>
    <row r="2746" spans="1:7" ht="21" x14ac:dyDescent="0.35">
      <c r="A2746" s="88" t="s">
        <v>20</v>
      </c>
      <c r="B2746" s="89"/>
      <c r="C2746" s="89"/>
      <c r="D2746" s="89"/>
      <c r="E2746" s="89"/>
      <c r="F2746" s="89"/>
      <c r="G2746" s="90"/>
    </row>
    <row r="2747" spans="1:7" ht="18.75" x14ac:dyDescent="0.25">
      <c r="A2747" s="19" t="s">
        <v>425</v>
      </c>
      <c r="B2747" s="15"/>
      <c r="C2747" s="15"/>
      <c r="D2747" s="15"/>
      <c r="E2747" s="15"/>
      <c r="F2747" s="15"/>
      <c r="G2747" s="16"/>
    </row>
    <row r="2748" spans="1:7" ht="15.75" x14ac:dyDescent="0.25">
      <c r="A2748" s="17"/>
      <c r="B2748" s="18"/>
      <c r="C2748" s="18"/>
      <c r="D2748" s="18"/>
      <c r="E2748" s="18"/>
      <c r="F2748" s="18"/>
      <c r="G2748" s="18"/>
    </row>
    <row r="2749" spans="1:7" ht="15.75" x14ac:dyDescent="0.25">
      <c r="A2749" s="17"/>
      <c r="B2749" s="18"/>
      <c r="C2749" s="18"/>
      <c r="D2749" s="18"/>
      <c r="E2749" s="18"/>
      <c r="F2749" s="18"/>
      <c r="G2749" s="18"/>
    </row>
    <row r="2750" spans="1:7" ht="15.75" x14ac:dyDescent="0.25">
      <c r="A2750" s="20" t="s">
        <v>22</v>
      </c>
      <c r="B2750" s="21" t="s">
        <v>23</v>
      </c>
      <c r="C2750" s="22"/>
      <c r="D2750" s="21" t="s">
        <v>24</v>
      </c>
      <c r="E2750" s="22"/>
      <c r="F2750" s="59" t="s">
        <v>25</v>
      </c>
      <c r="G2750" s="60" t="s">
        <v>26</v>
      </c>
    </row>
    <row r="2751" spans="1:7" ht="15.75" x14ac:dyDescent="0.25">
      <c r="A2751" s="23" t="s">
        <v>27</v>
      </c>
      <c r="B2751" s="24" t="s">
        <v>28</v>
      </c>
      <c r="C2751" s="24" t="s">
        <v>29</v>
      </c>
      <c r="D2751" s="24" t="s">
        <v>28</v>
      </c>
      <c r="E2751" s="24" t="s">
        <v>30</v>
      </c>
      <c r="F2751" s="58" t="s">
        <v>31</v>
      </c>
      <c r="G2751" s="61" t="s">
        <v>31</v>
      </c>
    </row>
    <row r="2752" spans="1:7" ht="15.75" x14ac:dyDescent="0.25">
      <c r="A2752" s="25" t="s">
        <v>32</v>
      </c>
      <c r="B2752" s="26">
        <v>7.3570000000000002</v>
      </c>
      <c r="C2752" s="27">
        <v>102.13</v>
      </c>
      <c r="D2752" s="28">
        <v>0</v>
      </c>
      <c r="E2752" s="27">
        <v>0</v>
      </c>
      <c r="F2752" s="29">
        <v>0</v>
      </c>
      <c r="G2752" s="27">
        <v>0</v>
      </c>
    </row>
    <row r="2753" spans="1:7" ht="15.75" x14ac:dyDescent="0.25">
      <c r="A2753" s="30">
        <v>201</v>
      </c>
      <c r="B2753" s="26">
        <v>21.914999999999999</v>
      </c>
      <c r="C2753" s="27">
        <v>298.05</v>
      </c>
      <c r="D2753" s="28">
        <v>0.01</v>
      </c>
      <c r="E2753" s="27">
        <v>0.38</v>
      </c>
      <c r="F2753" s="27">
        <v>481.27000000000004</v>
      </c>
      <c r="G2753" s="27">
        <v>780</v>
      </c>
    </row>
    <row r="2754" spans="1:7" ht="15.75" x14ac:dyDescent="0.25">
      <c r="A2754" s="30">
        <v>202</v>
      </c>
      <c r="B2754" s="26">
        <v>24.036000000000001</v>
      </c>
      <c r="C2754" s="27">
        <v>326.62</v>
      </c>
      <c r="D2754" s="28">
        <v>4.9710000000000001</v>
      </c>
      <c r="E2754" s="27">
        <v>187.28</v>
      </c>
      <c r="F2754" s="27">
        <v>481.27000000000004</v>
      </c>
      <c r="G2754" s="27">
        <v>996</v>
      </c>
    </row>
    <row r="2755" spans="1:7" ht="15.75" x14ac:dyDescent="0.25">
      <c r="A2755" s="30">
        <v>301</v>
      </c>
      <c r="B2755" s="26">
        <v>22.414999999999999</v>
      </c>
      <c r="C2755" s="27">
        <v>305.39</v>
      </c>
      <c r="D2755" s="28">
        <v>3.2610000000000001</v>
      </c>
      <c r="E2755" s="27">
        <v>122.86</v>
      </c>
      <c r="F2755" s="27">
        <v>481.27000000000004</v>
      </c>
      <c r="G2755" s="27">
        <v>910</v>
      </c>
    </row>
    <row r="2756" spans="1:7" ht="15.75" x14ac:dyDescent="0.25">
      <c r="A2756" s="30">
        <v>302</v>
      </c>
      <c r="B2756" s="26">
        <v>29.597000000000001</v>
      </c>
      <c r="C2756" s="27">
        <v>402.64</v>
      </c>
      <c r="D2756" s="28">
        <v>1.601</v>
      </c>
      <c r="E2756" s="27">
        <v>60.32</v>
      </c>
      <c r="F2756" s="27">
        <v>481.27000000000004</v>
      </c>
      <c r="G2756" s="27">
        <v>945</v>
      </c>
    </row>
    <row r="2757" spans="1:7" ht="15.75" x14ac:dyDescent="0.25">
      <c r="A2757" s="30">
        <v>401</v>
      </c>
      <c r="B2757" s="26">
        <v>29.731000000000002</v>
      </c>
      <c r="C2757" s="27">
        <v>405.39</v>
      </c>
      <c r="D2757" s="28">
        <v>1.579</v>
      </c>
      <c r="E2757" s="27">
        <v>59.49</v>
      </c>
      <c r="F2757" s="27">
        <v>481.27000000000004</v>
      </c>
      <c r="G2757" s="27">
        <v>947</v>
      </c>
    </row>
    <row r="2758" spans="1:7" ht="15.75" x14ac:dyDescent="0.25">
      <c r="A2758" s="30">
        <v>402</v>
      </c>
      <c r="B2758" s="26">
        <v>59.281999999999996</v>
      </c>
      <c r="C2758" s="27">
        <v>807.67</v>
      </c>
      <c r="D2758" s="28">
        <v>5.2640000000000002</v>
      </c>
      <c r="E2758" s="27">
        <v>198.32</v>
      </c>
      <c r="F2758" s="27">
        <v>481.27000000000004</v>
      </c>
      <c r="G2758" s="27">
        <v>1488</v>
      </c>
    </row>
    <row r="2759" spans="1:7" ht="15.75" x14ac:dyDescent="0.25">
      <c r="A2759" s="30">
        <v>501</v>
      </c>
      <c r="B2759" s="26">
        <v>15.803000000000001</v>
      </c>
      <c r="C2759" s="27">
        <v>216.02</v>
      </c>
      <c r="D2759" s="28">
        <v>1.038</v>
      </c>
      <c r="E2759" s="27">
        <v>39.11</v>
      </c>
      <c r="F2759" s="27">
        <v>481.27000000000004</v>
      </c>
      <c r="G2759" s="27">
        <v>737</v>
      </c>
    </row>
    <row r="2760" spans="1:7" ht="15.75" x14ac:dyDescent="0.25">
      <c r="A2760" s="30">
        <v>502</v>
      </c>
      <c r="B2760" s="26">
        <v>13.932</v>
      </c>
      <c r="C2760" s="27">
        <v>189.4</v>
      </c>
      <c r="D2760" s="28">
        <v>1.421</v>
      </c>
      <c r="E2760" s="27">
        <v>53.54</v>
      </c>
      <c r="F2760" s="27">
        <v>481.27000000000004</v>
      </c>
      <c r="G2760" s="27">
        <v>725</v>
      </c>
    </row>
    <row r="2761" spans="1:7" ht="15.75" x14ac:dyDescent="0.25">
      <c r="A2761" s="30">
        <v>601</v>
      </c>
      <c r="B2761" s="26">
        <v>4.7160000000000002</v>
      </c>
      <c r="C2761" s="27">
        <v>64.260000000000005</v>
      </c>
      <c r="D2761" s="28">
        <v>0.92700000000000005</v>
      </c>
      <c r="E2761" s="27">
        <v>34.92</v>
      </c>
      <c r="F2761" s="27">
        <v>481.27000000000004</v>
      </c>
      <c r="G2761" s="27">
        <v>581</v>
      </c>
    </row>
    <row r="2762" spans="1:7" ht="15.75" x14ac:dyDescent="0.25">
      <c r="A2762" s="30">
        <v>602</v>
      </c>
      <c r="B2762" s="26">
        <v>22.478999999999999</v>
      </c>
      <c r="C2762" s="27">
        <v>305.89</v>
      </c>
      <c r="D2762" s="28">
        <v>2.1800000000000002</v>
      </c>
      <c r="E2762" s="27">
        <v>82.13</v>
      </c>
      <c r="F2762" s="27">
        <v>481.27000000000004</v>
      </c>
      <c r="G2762" s="27">
        <v>870</v>
      </c>
    </row>
    <row r="2763" spans="1:7" ht="15.75" x14ac:dyDescent="0.25">
      <c r="A2763" s="30">
        <v>701</v>
      </c>
      <c r="B2763" s="26">
        <v>16.55</v>
      </c>
      <c r="C2763" s="27">
        <v>225.28</v>
      </c>
      <c r="D2763" s="28">
        <v>0.998</v>
      </c>
      <c r="E2763" s="27">
        <v>37.6</v>
      </c>
      <c r="F2763" s="27">
        <v>481.27000000000004</v>
      </c>
      <c r="G2763" s="27">
        <v>745</v>
      </c>
    </row>
    <row r="2764" spans="1:7" ht="15.75" x14ac:dyDescent="0.25">
      <c r="A2764" s="30">
        <v>702</v>
      </c>
      <c r="B2764" s="26">
        <v>7.6449999999999996</v>
      </c>
      <c r="C2764" s="27">
        <v>104.29</v>
      </c>
      <c r="D2764" s="28">
        <v>5.0289999999999999</v>
      </c>
      <c r="E2764" s="27">
        <v>189.47</v>
      </c>
      <c r="F2764" s="27">
        <v>481.27000000000004</v>
      </c>
      <c r="G2764" s="27">
        <v>776</v>
      </c>
    </row>
    <row r="2765" spans="1:7" ht="15.75" x14ac:dyDescent="0.25">
      <c r="A2765" s="30">
        <v>801</v>
      </c>
      <c r="B2765" s="26">
        <v>5.0359999999999996</v>
      </c>
      <c r="C2765" s="27">
        <v>68.48</v>
      </c>
      <c r="D2765" s="28">
        <v>1.2E-2</v>
      </c>
      <c r="E2765" s="27">
        <v>0.45</v>
      </c>
      <c r="F2765" s="27">
        <v>481.27000000000004</v>
      </c>
      <c r="G2765" s="27">
        <v>551</v>
      </c>
    </row>
    <row r="2766" spans="1:7" ht="15.75" x14ac:dyDescent="0.25">
      <c r="A2766" s="30">
        <v>802</v>
      </c>
      <c r="B2766" s="26">
        <v>14.506</v>
      </c>
      <c r="C2766" s="27">
        <v>197.32</v>
      </c>
      <c r="D2766" s="28">
        <v>1.742</v>
      </c>
      <c r="E2766" s="27">
        <v>65.63</v>
      </c>
      <c r="F2766" s="63">
        <v>481.27000000000004</v>
      </c>
      <c r="G2766" s="63">
        <v>745</v>
      </c>
    </row>
    <row r="2767" spans="1:7" x14ac:dyDescent="0.25">
      <c r="A2767" s="79"/>
      <c r="B2767" s="79"/>
      <c r="C2767" s="80"/>
      <c r="D2767" s="79"/>
      <c r="E2767" s="79"/>
      <c r="F2767" s="79"/>
      <c r="G2767" s="79"/>
    </row>
    <row r="2768" spans="1:7" x14ac:dyDescent="0.25">
      <c r="C2768" s="78"/>
    </row>
    <row r="2769" spans="1:7" x14ac:dyDescent="0.25">
      <c r="C2769" s="78"/>
    </row>
    <row r="2770" spans="1:7" x14ac:dyDescent="0.25">
      <c r="C2770" s="78"/>
    </row>
    <row r="2771" spans="1:7" x14ac:dyDescent="0.25">
      <c r="A2771" s="76"/>
      <c r="B2771" s="76"/>
      <c r="C2771" s="77"/>
      <c r="D2771" s="76"/>
      <c r="E2771" s="76"/>
      <c r="F2771" s="76"/>
      <c r="G2771" s="76"/>
    </row>
    <row r="2772" spans="1:7" ht="15.75" x14ac:dyDescent="0.25">
      <c r="A2772" s="34" t="s">
        <v>424</v>
      </c>
      <c r="B2772" s="35"/>
      <c r="C2772" s="35"/>
      <c r="D2772" s="92">
        <v>45869</v>
      </c>
      <c r="E2772" s="92"/>
      <c r="F2772" s="36"/>
      <c r="G2772" s="72">
        <v>26157.739999999998</v>
      </c>
    </row>
    <row r="2773" spans="1:7" ht="15.75" x14ac:dyDescent="0.25">
      <c r="A2773" s="37" t="s">
        <v>423</v>
      </c>
      <c r="B2773" s="38"/>
      <c r="C2773" s="38"/>
      <c r="D2773" s="75">
        <v>45870</v>
      </c>
      <c r="E2773" s="38"/>
      <c r="F2773" s="39"/>
      <c r="G2773" s="72">
        <v>2100</v>
      </c>
    </row>
    <row r="2774" spans="1:7" ht="15.75" x14ac:dyDescent="0.25">
      <c r="A2774" s="37"/>
      <c r="B2774" s="38"/>
      <c r="C2774" s="38"/>
      <c r="D2774" s="38"/>
      <c r="E2774" s="38"/>
      <c r="F2774" s="39"/>
      <c r="G2774" s="72"/>
    </row>
    <row r="2775" spans="1:7" ht="15.75" x14ac:dyDescent="0.25">
      <c r="A2775" s="34" t="s">
        <v>422</v>
      </c>
      <c r="B2775" s="35"/>
      <c r="C2775" s="35"/>
      <c r="D2775" s="92">
        <v>45900</v>
      </c>
      <c r="E2775" s="92"/>
      <c r="F2775" s="36"/>
      <c r="G2775" s="72">
        <f>G2772+G2773-G2774</f>
        <v>28257.739999999998</v>
      </c>
    </row>
    <row r="2776" spans="1:7" ht="18.75" x14ac:dyDescent="0.3">
      <c r="A2776" s="40"/>
      <c r="B2776" s="40"/>
      <c r="C2776" s="40"/>
      <c r="D2776" s="40"/>
      <c r="E2776" s="40"/>
      <c r="F2776" s="40"/>
      <c r="G2776" s="40"/>
    </row>
    <row r="2777" spans="1:7" ht="31.5" customHeight="1" x14ac:dyDescent="0.25">
      <c r="A2777" s="85" t="s">
        <v>54</v>
      </c>
      <c r="B2777" s="86"/>
      <c r="C2777" s="86"/>
      <c r="D2777" s="86"/>
      <c r="E2777" s="86"/>
      <c r="F2777" s="86"/>
      <c r="G2777" s="87"/>
    </row>
    <row r="2778" spans="1:7" ht="15.75" x14ac:dyDescent="0.25">
      <c r="A2778" s="41" t="s">
        <v>36</v>
      </c>
      <c r="B2778" s="42"/>
      <c r="C2778" s="42"/>
      <c r="D2778" s="42"/>
      <c r="E2778" s="42"/>
      <c r="F2778" s="42"/>
      <c r="G2778" s="43"/>
    </row>
    <row r="2779" spans="1:7" ht="15.75" x14ac:dyDescent="0.25">
      <c r="A2779" s="44" t="s">
        <v>37</v>
      </c>
      <c r="B2779" s="45"/>
      <c r="C2779" s="45"/>
      <c r="D2779" s="45"/>
      <c r="E2779" s="45"/>
      <c r="F2779" s="45"/>
      <c r="G2779" s="46"/>
    </row>
    <row r="2780" spans="1:7" ht="15.75" x14ac:dyDescent="0.25">
      <c r="A2780" s="47"/>
      <c r="B2780" s="47"/>
      <c r="C2780" s="47"/>
      <c r="D2780" s="47"/>
      <c r="E2780" s="47"/>
      <c r="F2780" s="47"/>
      <c r="G2780" s="47"/>
    </row>
    <row r="2781" spans="1:7" ht="15.75" x14ac:dyDescent="0.25">
      <c r="A2781" s="48" t="s">
        <v>50</v>
      </c>
      <c r="B2781" s="49"/>
      <c r="C2781" s="49"/>
      <c r="D2781" s="49"/>
      <c r="E2781" s="49"/>
      <c r="F2781" s="49"/>
      <c r="G2781" s="50"/>
    </row>
    <row r="2782" spans="1:7" ht="15.75" x14ac:dyDescent="0.25">
      <c r="A2782" s="47"/>
      <c r="B2782" s="47"/>
      <c r="C2782" s="47"/>
      <c r="D2782" s="47"/>
      <c r="E2782" s="47"/>
      <c r="F2782" s="47"/>
      <c r="G2782" s="47"/>
    </row>
    <row r="2783" spans="1:7" ht="15.75" x14ac:dyDescent="0.25">
      <c r="A2783" s="47"/>
      <c r="B2783" s="47"/>
      <c r="C2783" s="47"/>
      <c r="D2783" s="47"/>
      <c r="E2783" s="47"/>
      <c r="F2783" s="47"/>
      <c r="G2783" s="47"/>
    </row>
    <row r="2784" spans="1:7" ht="15.75" x14ac:dyDescent="0.25">
      <c r="A2784" s="47"/>
      <c r="B2784" s="47"/>
      <c r="C2784" s="47"/>
      <c r="D2784" s="47"/>
      <c r="E2784" s="47"/>
      <c r="F2784" s="47"/>
      <c r="G2784" s="47"/>
    </row>
    <row r="2792" spans="1:7" ht="21" x14ac:dyDescent="0.35">
      <c r="A2792" s="88" t="s">
        <v>20</v>
      </c>
      <c r="B2792" s="89"/>
      <c r="C2792" s="89"/>
      <c r="D2792" s="89"/>
      <c r="E2792" s="89"/>
      <c r="F2792" s="89"/>
      <c r="G2792" s="90"/>
    </row>
    <row r="2794" spans="1:7" ht="17.25" x14ac:dyDescent="0.3">
      <c r="A2794" s="51" t="s">
        <v>433</v>
      </c>
      <c r="B2794" s="51"/>
      <c r="C2794" s="51"/>
      <c r="D2794" s="51"/>
      <c r="E2794" s="51"/>
      <c r="F2794" s="51"/>
      <c r="G2794" s="51"/>
    </row>
    <row r="2795" spans="1:7" ht="17.25" x14ac:dyDescent="0.3">
      <c r="A2795" s="51"/>
      <c r="B2795" s="51"/>
      <c r="C2795" s="51"/>
      <c r="D2795" s="51"/>
      <c r="E2795" s="51"/>
      <c r="F2795" s="51"/>
      <c r="G2795" s="51"/>
    </row>
    <row r="2796" spans="1:7" ht="17.25" x14ac:dyDescent="0.3">
      <c r="A2796" s="51" t="s">
        <v>434</v>
      </c>
      <c r="B2796" s="51"/>
      <c r="C2796" s="51"/>
      <c r="D2796" s="51"/>
      <c r="E2796" s="51"/>
      <c r="F2796" s="51"/>
      <c r="G2796" s="51"/>
    </row>
    <row r="2797" spans="1:7" ht="17.25" x14ac:dyDescent="0.3">
      <c r="A2797" s="51"/>
      <c r="B2797" s="51"/>
      <c r="C2797" s="51"/>
      <c r="D2797" s="51"/>
      <c r="E2797" s="51"/>
      <c r="F2797" s="51"/>
      <c r="G2797" s="51"/>
    </row>
    <row r="2798" spans="1:7" ht="17.25" x14ac:dyDescent="0.3">
      <c r="A2798" s="51" t="s">
        <v>435</v>
      </c>
      <c r="B2798" s="51"/>
      <c r="C2798" s="51"/>
      <c r="D2798" s="51"/>
      <c r="E2798" s="51"/>
      <c r="F2798" s="51"/>
      <c r="G2798" s="51"/>
    </row>
    <row r="2799" spans="1:7" ht="17.25" x14ac:dyDescent="0.3">
      <c r="A2799" s="51"/>
      <c r="B2799" s="51"/>
      <c r="C2799" s="51"/>
      <c r="D2799" s="51"/>
      <c r="E2799" s="51"/>
      <c r="F2799" s="51"/>
      <c r="G2799" s="51"/>
    </row>
    <row r="2800" spans="1:7" ht="17.25" x14ac:dyDescent="0.3">
      <c r="A2800" s="51" t="s">
        <v>40</v>
      </c>
      <c r="B2800" s="51"/>
      <c r="C2800" s="51"/>
      <c r="D2800" s="51"/>
      <c r="E2800" s="51"/>
      <c r="F2800" s="51"/>
      <c r="G2800" s="51"/>
    </row>
    <row r="2801" spans="1:7" ht="17.25" x14ac:dyDescent="0.3">
      <c r="A2801" s="51"/>
      <c r="B2801" s="51"/>
      <c r="C2801" s="51"/>
      <c r="D2801" s="51"/>
      <c r="E2801" s="51"/>
      <c r="F2801" s="51"/>
      <c r="G2801" s="51"/>
    </row>
    <row r="2802" spans="1:7" ht="33" customHeight="1" x14ac:dyDescent="0.3">
      <c r="A2802" s="91" t="s">
        <v>436</v>
      </c>
      <c r="B2802" s="91"/>
      <c r="C2802" s="91"/>
      <c r="D2802" s="91"/>
      <c r="E2802" s="91"/>
      <c r="F2802" s="91"/>
      <c r="G2802" s="91"/>
    </row>
    <row r="2803" spans="1:7" ht="17.25" x14ac:dyDescent="0.3">
      <c r="A2803" s="51"/>
      <c r="B2803" s="51"/>
      <c r="C2803" s="51"/>
      <c r="D2803" s="51"/>
      <c r="E2803" s="51"/>
      <c r="F2803" s="51"/>
      <c r="G2803" s="51"/>
    </row>
    <row r="2804" spans="1:7" ht="33" customHeight="1" x14ac:dyDescent="0.3">
      <c r="A2804" s="91" t="s">
        <v>437</v>
      </c>
      <c r="B2804" s="91"/>
      <c r="C2804" s="91"/>
      <c r="D2804" s="91"/>
      <c r="E2804" s="91"/>
      <c r="F2804" s="91"/>
      <c r="G2804" s="91"/>
    </row>
    <row r="2805" spans="1:7" ht="17.25" x14ac:dyDescent="0.3">
      <c r="A2805" s="51"/>
      <c r="B2805" s="51"/>
      <c r="C2805" s="51"/>
      <c r="D2805" s="51"/>
      <c r="E2805" s="51"/>
      <c r="F2805" s="51"/>
      <c r="G2805" s="51"/>
    </row>
    <row r="2806" spans="1:7" ht="33" customHeight="1" x14ac:dyDescent="0.3">
      <c r="A2806" s="91"/>
      <c r="B2806" s="91"/>
      <c r="C2806" s="91"/>
      <c r="D2806" s="91"/>
      <c r="E2806" s="91"/>
      <c r="F2806" s="91"/>
      <c r="G2806" s="91"/>
    </row>
    <row r="2808" spans="1:7" ht="18.75" x14ac:dyDescent="0.3">
      <c r="A2808" s="1" t="s">
        <v>442</v>
      </c>
      <c r="B2808" s="2"/>
      <c r="C2808" s="2"/>
      <c r="D2808" s="2"/>
      <c r="E2808" s="2"/>
      <c r="F2808" s="2"/>
      <c r="G2808" s="53"/>
    </row>
    <row r="2809" spans="1:7" ht="15.75" x14ac:dyDescent="0.25">
      <c r="A2809" s="3" t="s">
        <v>1</v>
      </c>
      <c r="B2809" s="74" t="s">
        <v>3</v>
      </c>
      <c r="C2809" s="4"/>
      <c r="D2809" s="4"/>
      <c r="E2809" s="4"/>
      <c r="F2809" s="4"/>
      <c r="G2809" s="62" t="s">
        <v>30</v>
      </c>
    </row>
    <row r="2810" spans="1:7" ht="15.75" x14ac:dyDescent="0.25">
      <c r="A2810" s="5">
        <v>45940</v>
      </c>
      <c r="B2810" s="32" t="s">
        <v>5</v>
      </c>
      <c r="C2810" s="7"/>
      <c r="D2810" s="7"/>
      <c r="E2810" s="7"/>
      <c r="F2810" s="33"/>
      <c r="G2810" s="52">
        <v>1342.94</v>
      </c>
    </row>
    <row r="2811" spans="1:7" ht="15.75" x14ac:dyDescent="0.25">
      <c r="A2811" s="5">
        <v>45945</v>
      </c>
      <c r="B2811" s="32" t="s">
        <v>61</v>
      </c>
      <c r="C2811" s="7"/>
      <c r="D2811" s="7"/>
      <c r="E2811" s="7"/>
      <c r="F2811" s="33"/>
      <c r="G2811" s="52">
        <v>1231.1099999999999</v>
      </c>
    </row>
    <row r="2812" spans="1:7" ht="15.75" x14ac:dyDescent="0.25">
      <c r="A2812" s="5">
        <v>45945</v>
      </c>
      <c r="B2812" s="32" t="s">
        <v>8</v>
      </c>
      <c r="C2812" s="7"/>
      <c r="D2812" s="7"/>
      <c r="E2812" s="7"/>
      <c r="F2812" s="33"/>
      <c r="G2812" s="52">
        <v>484.97</v>
      </c>
    </row>
    <row r="2813" spans="1:7" ht="15.75" x14ac:dyDescent="0.25">
      <c r="A2813" s="5">
        <v>45947</v>
      </c>
      <c r="B2813" s="32" t="s">
        <v>9</v>
      </c>
      <c r="C2813" s="7"/>
      <c r="D2813" s="7"/>
      <c r="E2813" s="7"/>
      <c r="F2813" s="33"/>
      <c r="G2813" s="52">
        <v>467.79</v>
      </c>
    </row>
    <row r="2814" spans="1:7" ht="15.75" x14ac:dyDescent="0.25">
      <c r="A2814" s="5">
        <v>45950</v>
      </c>
      <c r="B2814" s="32" t="s">
        <v>438</v>
      </c>
      <c r="C2814" s="7"/>
      <c r="D2814" s="7"/>
      <c r="E2814" s="7"/>
      <c r="F2814" s="33"/>
      <c r="G2814" s="52">
        <v>266.39999999999998</v>
      </c>
    </row>
    <row r="2815" spans="1:7" ht="15.75" x14ac:dyDescent="0.25">
      <c r="A2815" s="5">
        <v>45958</v>
      </c>
      <c r="B2815" s="32" t="s">
        <v>14</v>
      </c>
      <c r="C2815" s="7"/>
      <c r="D2815" s="7"/>
      <c r="E2815" s="7"/>
      <c r="F2815" s="33"/>
      <c r="G2815" s="52">
        <v>151.6</v>
      </c>
    </row>
    <row r="2816" spans="1:7" ht="15.75" x14ac:dyDescent="0.25">
      <c r="A2816" s="5">
        <v>45931</v>
      </c>
      <c r="B2816" s="32" t="s">
        <v>15</v>
      </c>
      <c r="C2816" s="7"/>
      <c r="D2816" s="7"/>
      <c r="E2816" s="7"/>
      <c r="F2816" s="33"/>
      <c r="G2816" s="52">
        <v>65</v>
      </c>
    </row>
    <row r="2817" spans="1:7" ht="15.75" x14ac:dyDescent="0.25">
      <c r="A2817" s="5">
        <v>45908</v>
      </c>
      <c r="B2817" s="81" t="s">
        <v>439</v>
      </c>
      <c r="C2817" s="7"/>
      <c r="D2817" s="7"/>
      <c r="E2817" s="7"/>
      <c r="F2817" s="33"/>
      <c r="G2817" s="52">
        <v>74.95</v>
      </c>
    </row>
    <row r="2818" spans="1:7" ht="15.75" customHeight="1" x14ac:dyDescent="0.25">
      <c r="A2818" s="8">
        <v>45923</v>
      </c>
      <c r="B2818" s="81" t="s">
        <v>440</v>
      </c>
      <c r="C2818" s="7"/>
      <c r="D2818" s="67"/>
      <c r="E2818" s="67"/>
      <c r="F2818" s="68"/>
      <c r="G2818" s="52">
        <v>36.9</v>
      </c>
    </row>
    <row r="2819" spans="1:7" ht="21" x14ac:dyDescent="0.35">
      <c r="A2819" s="9" t="s">
        <v>16</v>
      </c>
      <c r="B2819" s="10"/>
      <c r="C2819" s="10"/>
      <c r="D2819" s="10"/>
      <c r="E2819" s="10"/>
      <c r="F2819" s="10"/>
      <c r="G2819" s="12">
        <f>SUM(G2810:G2818)</f>
        <v>4121.66</v>
      </c>
    </row>
    <row r="2820" spans="1:7" ht="21" x14ac:dyDescent="0.35">
      <c r="A2820" s="13" t="s">
        <v>17</v>
      </c>
      <c r="B2820" s="11"/>
      <c r="C2820" s="11"/>
      <c r="D2820" s="11"/>
      <c r="E2820" s="11"/>
      <c r="F2820" s="11"/>
      <c r="G2820" s="14">
        <f>ROUND(G2819/14,2)</f>
        <v>294.39999999999998</v>
      </c>
    </row>
    <row r="2821" spans="1:7" ht="21" x14ac:dyDescent="0.35">
      <c r="A2821" s="13" t="s">
        <v>74</v>
      </c>
      <c r="B2821" s="11"/>
      <c r="C2821" s="11"/>
      <c r="D2821" s="11"/>
      <c r="E2821" s="11"/>
      <c r="F2821" s="11"/>
      <c r="G2821" s="14">
        <f>ROUND(G2820/13,2)</f>
        <v>22.65</v>
      </c>
    </row>
    <row r="2822" spans="1:7" ht="21" x14ac:dyDescent="0.35">
      <c r="A2822" s="13" t="s">
        <v>196</v>
      </c>
      <c r="B2822" s="11"/>
      <c r="C2822" s="11"/>
      <c r="D2822" s="11"/>
      <c r="E2822" s="11"/>
      <c r="F2822" s="11"/>
      <c r="G2822" s="14">
        <v>150</v>
      </c>
    </row>
    <row r="2823" spans="1:7" ht="21" x14ac:dyDescent="0.35">
      <c r="A2823" s="13" t="s">
        <v>19</v>
      </c>
      <c r="B2823" s="11"/>
      <c r="C2823" s="11"/>
      <c r="D2823" s="11"/>
      <c r="E2823" s="11"/>
      <c r="F2823" s="11"/>
      <c r="G2823" s="12">
        <f>G2820+G2821+G2822</f>
        <v>467.04999999999995</v>
      </c>
    </row>
    <row r="2833" spans="1:7" ht="21" x14ac:dyDescent="0.35">
      <c r="A2833" s="88" t="s">
        <v>20</v>
      </c>
      <c r="B2833" s="89"/>
      <c r="C2833" s="89"/>
      <c r="D2833" s="89"/>
      <c r="E2833" s="89"/>
      <c r="F2833" s="89"/>
      <c r="G2833" s="90"/>
    </row>
    <row r="2834" spans="1:7" ht="18.75" x14ac:dyDescent="0.25">
      <c r="A2834" s="19" t="s">
        <v>443</v>
      </c>
      <c r="B2834" s="15"/>
      <c r="C2834" s="15"/>
      <c r="D2834" s="15"/>
      <c r="E2834" s="15"/>
      <c r="F2834" s="15"/>
      <c r="G2834" s="16"/>
    </row>
    <row r="2835" spans="1:7" ht="15.75" x14ac:dyDescent="0.25">
      <c r="A2835" s="17"/>
      <c r="B2835" s="18"/>
      <c r="C2835" s="18"/>
      <c r="D2835" s="18"/>
      <c r="E2835" s="18"/>
      <c r="F2835" s="18"/>
      <c r="G2835" s="18"/>
    </row>
    <row r="2836" spans="1:7" ht="15.75" x14ac:dyDescent="0.25">
      <c r="A2836" s="17"/>
      <c r="B2836" s="18"/>
      <c r="C2836" s="18"/>
      <c r="D2836" s="18"/>
      <c r="E2836" s="18"/>
      <c r="F2836" s="18"/>
      <c r="G2836" s="18"/>
    </row>
    <row r="2837" spans="1:7" ht="15.75" x14ac:dyDescent="0.25">
      <c r="A2837" s="20" t="s">
        <v>22</v>
      </c>
      <c r="B2837" s="21" t="s">
        <v>23</v>
      </c>
      <c r="C2837" s="22"/>
      <c r="D2837" s="21" t="s">
        <v>24</v>
      </c>
      <c r="E2837" s="22"/>
      <c r="F2837" s="59" t="s">
        <v>25</v>
      </c>
      <c r="G2837" s="60" t="s">
        <v>26</v>
      </c>
    </row>
    <row r="2838" spans="1:7" ht="15.75" x14ac:dyDescent="0.25">
      <c r="A2838" s="23" t="s">
        <v>27</v>
      </c>
      <c r="B2838" s="24" t="s">
        <v>28</v>
      </c>
      <c r="C2838" s="24" t="s">
        <v>29</v>
      </c>
      <c r="D2838" s="24" t="s">
        <v>28</v>
      </c>
      <c r="E2838" s="24" t="s">
        <v>30</v>
      </c>
      <c r="F2838" s="58" t="s">
        <v>31</v>
      </c>
      <c r="G2838" s="61" t="s">
        <v>31</v>
      </c>
    </row>
    <row r="2839" spans="1:7" ht="15.75" x14ac:dyDescent="0.25">
      <c r="A2839" s="25" t="s">
        <v>32</v>
      </c>
      <c r="B2839" s="26">
        <v>34.411999999999999</v>
      </c>
      <c r="C2839" s="27">
        <v>484.97</v>
      </c>
      <c r="D2839" s="28">
        <v>0</v>
      </c>
      <c r="E2839" s="27">
        <v>0</v>
      </c>
      <c r="F2839" s="29">
        <v>0</v>
      </c>
      <c r="G2839" s="27">
        <v>0</v>
      </c>
    </row>
    <row r="2840" spans="1:7" ht="15.75" x14ac:dyDescent="0.25">
      <c r="A2840" s="30">
        <v>201</v>
      </c>
      <c r="B2840" s="26">
        <v>20.420000000000002</v>
      </c>
      <c r="C2840" s="27">
        <v>273.64999999999998</v>
      </c>
      <c r="D2840" s="28">
        <v>0.123</v>
      </c>
      <c r="E2840" s="27">
        <v>4.63</v>
      </c>
      <c r="F2840" s="27">
        <v>467.04999999999995</v>
      </c>
      <c r="G2840" s="27">
        <v>746</v>
      </c>
    </row>
    <row r="2841" spans="1:7" ht="15.75" x14ac:dyDescent="0.25">
      <c r="A2841" s="30">
        <v>202</v>
      </c>
      <c r="B2841" s="26">
        <v>27.547999999999998</v>
      </c>
      <c r="C2841" s="27">
        <v>369.03</v>
      </c>
      <c r="D2841" s="28">
        <v>4.093</v>
      </c>
      <c r="E2841" s="27">
        <v>154.19999999999999</v>
      </c>
      <c r="F2841" s="27">
        <v>467.04999999999995</v>
      </c>
      <c r="G2841" s="27">
        <v>991</v>
      </c>
    </row>
    <row r="2842" spans="1:7" ht="15.75" x14ac:dyDescent="0.25">
      <c r="A2842" s="30">
        <v>301</v>
      </c>
      <c r="B2842" s="26">
        <v>21.158000000000001</v>
      </c>
      <c r="C2842" s="27">
        <v>284.38</v>
      </c>
      <c r="D2842" s="28">
        <v>3.4780000000000002</v>
      </c>
      <c r="E2842" s="27">
        <v>131.03</v>
      </c>
      <c r="F2842" s="27">
        <v>467.04999999999995</v>
      </c>
      <c r="G2842" s="27">
        <v>883</v>
      </c>
    </row>
    <row r="2843" spans="1:7" ht="15.75" x14ac:dyDescent="0.25">
      <c r="A2843" s="30">
        <v>302</v>
      </c>
      <c r="B2843" s="26">
        <v>32.57</v>
      </c>
      <c r="C2843" s="27">
        <v>436.38</v>
      </c>
      <c r="D2843" s="28">
        <v>1.865</v>
      </c>
      <c r="E2843" s="27">
        <v>70.260000000000005</v>
      </c>
      <c r="F2843" s="27">
        <v>467.04999999999995</v>
      </c>
      <c r="G2843" s="27">
        <v>974</v>
      </c>
    </row>
    <row r="2844" spans="1:7" ht="15.75" x14ac:dyDescent="0.25">
      <c r="A2844" s="30">
        <v>401</v>
      </c>
      <c r="B2844" s="26">
        <v>33.442</v>
      </c>
      <c r="C2844" s="27">
        <v>448.16</v>
      </c>
      <c r="D2844" s="28">
        <v>1.58</v>
      </c>
      <c r="E2844" s="27">
        <v>59.53</v>
      </c>
      <c r="F2844" s="27">
        <v>467.04999999999995</v>
      </c>
      <c r="G2844" s="27">
        <v>975</v>
      </c>
    </row>
    <row r="2845" spans="1:7" ht="15.75" x14ac:dyDescent="0.25">
      <c r="A2845" s="30">
        <v>402</v>
      </c>
      <c r="B2845" s="26">
        <v>22.562999999999999</v>
      </c>
      <c r="C2845" s="27">
        <v>301.95999999999998</v>
      </c>
      <c r="D2845" s="28">
        <v>4.2430000000000003</v>
      </c>
      <c r="E2845" s="27">
        <v>159.86000000000001</v>
      </c>
      <c r="F2845" s="27">
        <v>467.04999999999995</v>
      </c>
      <c r="G2845" s="27">
        <v>929</v>
      </c>
    </row>
    <row r="2846" spans="1:7" ht="15.75" x14ac:dyDescent="0.25">
      <c r="A2846" s="30">
        <v>501</v>
      </c>
      <c r="B2846" s="26">
        <v>15.965999999999999</v>
      </c>
      <c r="C2846" s="27">
        <v>214.04</v>
      </c>
      <c r="D2846" s="28">
        <v>1.123</v>
      </c>
      <c r="E2846" s="27">
        <v>42.31</v>
      </c>
      <c r="F2846" s="27">
        <v>467.04999999999995</v>
      </c>
      <c r="G2846" s="27">
        <v>724</v>
      </c>
    </row>
    <row r="2847" spans="1:7" ht="15.75" x14ac:dyDescent="0.25">
      <c r="A2847" s="30">
        <v>502</v>
      </c>
      <c r="B2847" s="26">
        <v>15.132999999999999</v>
      </c>
      <c r="C2847" s="27">
        <v>202.57</v>
      </c>
      <c r="D2847" s="28">
        <v>1.643</v>
      </c>
      <c r="E2847" s="27">
        <v>61.9</v>
      </c>
      <c r="F2847" s="27">
        <v>467.04999999999995</v>
      </c>
      <c r="G2847" s="27">
        <v>732</v>
      </c>
    </row>
    <row r="2848" spans="1:7" ht="15.75" x14ac:dyDescent="0.25">
      <c r="A2848" s="30">
        <v>601</v>
      </c>
      <c r="B2848" s="26">
        <v>4.109</v>
      </c>
      <c r="C2848" s="27">
        <v>55.25</v>
      </c>
      <c r="D2848" s="28">
        <v>0.59799999999999998</v>
      </c>
      <c r="E2848" s="27">
        <v>22.53</v>
      </c>
      <c r="F2848" s="27">
        <v>467.04999999999995</v>
      </c>
      <c r="G2848" s="27">
        <v>545</v>
      </c>
    </row>
    <row r="2849" spans="1:7" ht="15.75" x14ac:dyDescent="0.25">
      <c r="A2849" s="30">
        <v>602</v>
      </c>
      <c r="B2849" s="26">
        <v>22.042000000000002</v>
      </c>
      <c r="C2849" s="27">
        <v>296.25</v>
      </c>
      <c r="D2849" s="28">
        <v>2.028</v>
      </c>
      <c r="E2849" s="27">
        <v>76.400000000000006</v>
      </c>
      <c r="F2849" s="27">
        <v>467.04999999999995</v>
      </c>
      <c r="G2849" s="27">
        <v>840</v>
      </c>
    </row>
    <row r="2850" spans="1:7" ht="15.75" x14ac:dyDescent="0.25">
      <c r="A2850" s="30">
        <v>701</v>
      </c>
      <c r="B2850" s="26">
        <v>17.984999999999999</v>
      </c>
      <c r="C2850" s="27">
        <v>241.4</v>
      </c>
      <c r="D2850" s="28">
        <v>0.72499999999999998</v>
      </c>
      <c r="E2850" s="27">
        <v>27.31</v>
      </c>
      <c r="F2850" s="27">
        <v>467.04999999999995</v>
      </c>
      <c r="G2850" s="27">
        <v>736</v>
      </c>
    </row>
    <row r="2851" spans="1:7" ht="15.75" x14ac:dyDescent="0.25">
      <c r="A2851" s="30">
        <v>702</v>
      </c>
      <c r="B2851" s="26">
        <v>8.5310000000000006</v>
      </c>
      <c r="C2851" s="27">
        <v>114.61</v>
      </c>
      <c r="D2851" s="28">
        <v>4.8259999999999996</v>
      </c>
      <c r="E2851" s="27">
        <v>181.82</v>
      </c>
      <c r="F2851" s="27">
        <v>467.04999999999995</v>
      </c>
      <c r="G2851" s="27">
        <v>764</v>
      </c>
    </row>
    <row r="2852" spans="1:7" ht="15.75" x14ac:dyDescent="0.25">
      <c r="A2852" s="30">
        <v>801</v>
      </c>
      <c r="B2852" s="26">
        <v>4.3109999999999999</v>
      </c>
      <c r="C2852" s="27">
        <v>58.49</v>
      </c>
      <c r="D2852" s="28">
        <v>0</v>
      </c>
      <c r="E2852" s="27">
        <v>0</v>
      </c>
      <c r="F2852" s="27">
        <v>467.04999999999995</v>
      </c>
      <c r="G2852" s="27">
        <v>526</v>
      </c>
    </row>
    <row r="2853" spans="1:7" ht="15.75" x14ac:dyDescent="0.25">
      <c r="A2853" s="30">
        <v>802</v>
      </c>
      <c r="B2853" s="26">
        <v>10.81</v>
      </c>
      <c r="C2853" s="27">
        <v>145.65</v>
      </c>
      <c r="D2853" s="28">
        <v>1.351</v>
      </c>
      <c r="E2853" s="27">
        <v>50.9</v>
      </c>
      <c r="F2853" s="63">
        <v>467.04999999999995</v>
      </c>
      <c r="G2853" s="63">
        <v>664</v>
      </c>
    </row>
    <row r="2854" spans="1:7" x14ac:dyDescent="0.25">
      <c r="A2854" s="79"/>
      <c r="B2854" s="79"/>
      <c r="C2854" s="80"/>
      <c r="D2854" s="79"/>
      <c r="E2854" s="79"/>
      <c r="F2854" s="79"/>
      <c r="G2854" s="79"/>
    </row>
    <row r="2855" spans="1:7" x14ac:dyDescent="0.25">
      <c r="C2855" s="78"/>
    </row>
    <row r="2856" spans="1:7" x14ac:dyDescent="0.25">
      <c r="C2856" s="78"/>
    </row>
    <row r="2857" spans="1:7" x14ac:dyDescent="0.25">
      <c r="C2857" s="78"/>
    </row>
    <row r="2858" spans="1:7" x14ac:dyDescent="0.25">
      <c r="A2858" s="76"/>
      <c r="B2858" s="76"/>
      <c r="C2858" s="77"/>
      <c r="D2858" s="76"/>
      <c r="E2858" s="76"/>
      <c r="F2858" s="76"/>
      <c r="G2858" s="76"/>
    </row>
    <row r="2859" spans="1:7" ht="15.75" x14ac:dyDescent="0.25">
      <c r="A2859" s="34" t="s">
        <v>424</v>
      </c>
      <c r="B2859" s="35"/>
      <c r="C2859" s="35"/>
      <c r="D2859" s="92">
        <v>45900</v>
      </c>
      <c r="E2859" s="92"/>
      <c r="F2859" s="36"/>
      <c r="G2859" s="72">
        <v>28257.739999999998</v>
      </c>
    </row>
    <row r="2860" spans="1:7" ht="15.75" x14ac:dyDescent="0.25">
      <c r="A2860" s="37" t="s">
        <v>423</v>
      </c>
      <c r="B2860" s="38"/>
      <c r="C2860" s="38"/>
      <c r="D2860" s="75">
        <v>45901</v>
      </c>
      <c r="E2860" s="38"/>
      <c r="F2860" s="39"/>
      <c r="G2860" s="72">
        <v>2100</v>
      </c>
    </row>
    <row r="2861" spans="1:7" ht="15.75" x14ac:dyDescent="0.25">
      <c r="A2861" s="37" t="s">
        <v>441</v>
      </c>
      <c r="B2861" s="38"/>
      <c r="C2861" s="38"/>
      <c r="D2861" s="38"/>
      <c r="E2861" s="38"/>
      <c r="F2861" s="39"/>
      <c r="G2861" s="72">
        <v>509.11</v>
      </c>
    </row>
    <row r="2862" spans="1:7" ht="15.75" x14ac:dyDescent="0.25">
      <c r="A2862" s="34" t="s">
        <v>422</v>
      </c>
      <c r="B2862" s="35"/>
      <c r="C2862" s="35"/>
      <c r="D2862" s="92">
        <v>45930</v>
      </c>
      <c r="E2862" s="92"/>
      <c r="F2862" s="36"/>
      <c r="G2862" s="72">
        <f>G2859+G2860-G2861</f>
        <v>29848.629999999997</v>
      </c>
    </row>
    <row r="2863" spans="1:7" ht="18.75" x14ac:dyDescent="0.3">
      <c r="A2863" s="40"/>
      <c r="B2863" s="40"/>
      <c r="C2863" s="40"/>
      <c r="D2863" s="40"/>
      <c r="E2863" s="40"/>
      <c r="F2863" s="40"/>
      <c r="G2863" s="40"/>
    </row>
    <row r="2864" spans="1:7" ht="31.5" customHeight="1" x14ac:dyDescent="0.25">
      <c r="A2864" s="85" t="s">
        <v>54</v>
      </c>
      <c r="B2864" s="86"/>
      <c r="C2864" s="86"/>
      <c r="D2864" s="86"/>
      <c r="E2864" s="86"/>
      <c r="F2864" s="86"/>
      <c r="G2864" s="87"/>
    </row>
    <row r="2865" spans="1:7" ht="15.75" x14ac:dyDescent="0.25">
      <c r="A2865" s="41" t="s">
        <v>36</v>
      </c>
      <c r="B2865" s="42"/>
      <c r="C2865" s="42"/>
      <c r="D2865" s="42"/>
      <c r="E2865" s="42"/>
      <c r="F2865" s="42"/>
      <c r="G2865" s="43"/>
    </row>
    <row r="2866" spans="1:7" ht="15.75" x14ac:dyDescent="0.25">
      <c r="A2866" s="44" t="s">
        <v>37</v>
      </c>
      <c r="B2866" s="45"/>
      <c r="C2866" s="45"/>
      <c r="D2866" s="45"/>
      <c r="E2866" s="45"/>
      <c r="F2866" s="45"/>
      <c r="G2866" s="46"/>
    </row>
    <row r="2867" spans="1:7" ht="15.75" x14ac:dyDescent="0.25">
      <c r="A2867" s="47"/>
      <c r="B2867" s="47"/>
      <c r="C2867" s="47"/>
      <c r="D2867" s="47"/>
      <c r="E2867" s="47"/>
      <c r="F2867" s="47"/>
      <c r="G2867" s="47"/>
    </row>
    <row r="2868" spans="1:7" ht="15.75" x14ac:dyDescent="0.25">
      <c r="A2868" s="48" t="s">
        <v>50</v>
      </c>
      <c r="B2868" s="49"/>
      <c r="C2868" s="49"/>
      <c r="D2868" s="49"/>
      <c r="E2868" s="49"/>
      <c r="F2868" s="49"/>
      <c r="G2868" s="50"/>
    </row>
    <row r="2869" spans="1:7" ht="15.75" x14ac:dyDescent="0.25">
      <c r="A2869" s="47"/>
      <c r="B2869" s="47"/>
      <c r="C2869" s="47"/>
      <c r="D2869" s="47"/>
      <c r="E2869" s="47"/>
      <c r="F2869" s="47"/>
      <c r="G2869" s="47"/>
    </row>
    <row r="2870" spans="1:7" ht="15.75" x14ac:dyDescent="0.25">
      <c r="A2870" s="47"/>
      <c r="B2870" s="47"/>
      <c r="C2870" s="47"/>
      <c r="D2870" s="47"/>
      <c r="E2870" s="47"/>
      <c r="F2870" s="47"/>
      <c r="G2870" s="47"/>
    </row>
    <row r="2871" spans="1:7" ht="15.75" x14ac:dyDescent="0.25">
      <c r="A2871" s="47"/>
      <c r="B2871" s="47"/>
      <c r="C2871" s="47"/>
      <c r="D2871" s="47"/>
      <c r="E2871" s="47"/>
      <c r="F2871" s="47"/>
      <c r="G2871" s="47"/>
    </row>
    <row r="2879" spans="1:7" ht="21" x14ac:dyDescent="0.35">
      <c r="A2879" s="88" t="s">
        <v>20</v>
      </c>
      <c r="B2879" s="89"/>
      <c r="C2879" s="89"/>
      <c r="D2879" s="89"/>
      <c r="E2879" s="89"/>
      <c r="F2879" s="89"/>
      <c r="G2879" s="90"/>
    </row>
    <row r="2881" spans="1:7" ht="17.25" x14ac:dyDescent="0.3">
      <c r="A2881" s="51" t="s">
        <v>444</v>
      </c>
      <c r="B2881" s="51"/>
      <c r="C2881" s="51"/>
      <c r="D2881" s="51"/>
      <c r="E2881" s="51"/>
      <c r="F2881" s="51"/>
      <c r="G2881" s="51"/>
    </row>
    <row r="2882" spans="1:7" ht="17.25" x14ac:dyDescent="0.3">
      <c r="A2882" s="51"/>
      <c r="B2882" s="51"/>
      <c r="C2882" s="51"/>
      <c r="D2882" s="51"/>
      <c r="E2882" s="51"/>
      <c r="F2882" s="51"/>
      <c r="G2882" s="51"/>
    </row>
    <row r="2883" spans="1:7" ht="17.25" x14ac:dyDescent="0.3">
      <c r="A2883" s="51" t="s">
        <v>445</v>
      </c>
      <c r="B2883" s="51"/>
      <c r="C2883" s="51"/>
      <c r="D2883" s="51"/>
      <c r="E2883" s="51"/>
      <c r="F2883" s="51"/>
      <c r="G2883" s="51"/>
    </row>
    <row r="2884" spans="1:7" ht="17.25" x14ac:dyDescent="0.3">
      <c r="A2884" s="51"/>
      <c r="B2884" s="51"/>
      <c r="C2884" s="51"/>
      <c r="D2884" s="51"/>
      <c r="E2884" s="51"/>
      <c r="F2884" s="51"/>
      <c r="G2884" s="51"/>
    </row>
    <row r="2885" spans="1:7" ht="17.25" x14ac:dyDescent="0.3">
      <c r="A2885" s="51" t="s">
        <v>446</v>
      </c>
      <c r="B2885" s="51"/>
      <c r="C2885" s="51"/>
      <c r="D2885" s="51"/>
      <c r="E2885" s="51"/>
      <c r="F2885" s="51"/>
      <c r="G2885" s="51"/>
    </row>
    <row r="2886" spans="1:7" ht="17.25" x14ac:dyDescent="0.3">
      <c r="A2886" s="51"/>
      <c r="B2886" s="51"/>
      <c r="C2886" s="51"/>
      <c r="D2886" s="51"/>
      <c r="E2886" s="51"/>
      <c r="F2886" s="51"/>
      <c r="G2886" s="51"/>
    </row>
    <row r="2887" spans="1:7" ht="17.25" x14ac:dyDescent="0.3">
      <c r="A2887" s="51" t="s">
        <v>40</v>
      </c>
      <c r="B2887" s="51"/>
      <c r="C2887" s="51"/>
      <c r="D2887" s="51"/>
      <c r="E2887" s="51"/>
      <c r="F2887" s="51"/>
      <c r="G2887" s="51"/>
    </row>
    <row r="2888" spans="1:7" ht="17.25" x14ac:dyDescent="0.3">
      <c r="A2888" s="51"/>
      <c r="B2888" s="51"/>
      <c r="C2888" s="51"/>
      <c r="D2888" s="51"/>
      <c r="E2888" s="51"/>
      <c r="F2888" s="51"/>
      <c r="G2888" s="51"/>
    </row>
    <row r="2889" spans="1:7" ht="33" customHeight="1" x14ac:dyDescent="0.3">
      <c r="A2889" s="91" t="s">
        <v>447</v>
      </c>
      <c r="B2889" s="91"/>
      <c r="C2889" s="91"/>
      <c r="D2889" s="91"/>
      <c r="E2889" s="91"/>
      <c r="F2889" s="91"/>
      <c r="G2889" s="91"/>
    </row>
    <row r="2890" spans="1:7" ht="17.25" x14ac:dyDescent="0.3">
      <c r="A2890" s="51"/>
      <c r="B2890" s="51"/>
      <c r="C2890" s="51"/>
      <c r="D2890" s="51"/>
      <c r="E2890" s="51"/>
      <c r="F2890" s="51"/>
      <c r="G2890" s="51"/>
    </row>
    <row r="2891" spans="1:7" ht="33" customHeight="1" x14ac:dyDescent="0.3">
      <c r="A2891" s="91" t="s">
        <v>448</v>
      </c>
      <c r="B2891" s="91"/>
      <c r="C2891" s="91"/>
      <c r="D2891" s="91"/>
      <c r="E2891" s="91"/>
      <c r="F2891" s="91"/>
      <c r="G2891" s="91"/>
    </row>
    <row r="2892" spans="1:7" ht="17.25" x14ac:dyDescent="0.3">
      <c r="A2892" s="51"/>
      <c r="B2892" s="51"/>
      <c r="C2892" s="51"/>
      <c r="D2892" s="51"/>
      <c r="E2892" s="51"/>
      <c r="F2892" s="51"/>
      <c r="G2892" s="51"/>
    </row>
    <row r="2893" spans="1:7" ht="33" customHeight="1" x14ac:dyDescent="0.3">
      <c r="A2893" s="91"/>
      <c r="B2893" s="91"/>
      <c r="C2893" s="91"/>
      <c r="D2893" s="91"/>
      <c r="E2893" s="91"/>
      <c r="F2893" s="91"/>
      <c r="G2893" s="91"/>
    </row>
    <row r="2895" spans="1:7" ht="18.75" x14ac:dyDescent="0.3">
      <c r="A2895" s="1" t="s">
        <v>451</v>
      </c>
      <c r="B2895" s="2"/>
      <c r="C2895" s="2"/>
      <c r="D2895" s="2"/>
      <c r="E2895" s="2"/>
      <c r="F2895" s="2"/>
      <c r="G2895" s="53"/>
    </row>
    <row r="2896" spans="1:7" ht="15.75" x14ac:dyDescent="0.25">
      <c r="A2896" s="3" t="s">
        <v>1</v>
      </c>
      <c r="B2896" s="74" t="s">
        <v>3</v>
      </c>
      <c r="C2896" s="4"/>
      <c r="D2896" s="4"/>
      <c r="E2896" s="4"/>
      <c r="F2896" s="4"/>
      <c r="G2896" s="62" t="s">
        <v>30</v>
      </c>
    </row>
    <row r="2897" spans="1:7" ht="15.75" x14ac:dyDescent="0.25">
      <c r="A2897" s="5">
        <v>45971</v>
      </c>
      <c r="B2897" s="32" t="s">
        <v>5</v>
      </c>
      <c r="C2897" s="7"/>
      <c r="D2897" s="7"/>
      <c r="E2897" s="7"/>
      <c r="F2897" s="33"/>
      <c r="G2897" s="52">
        <v>1342.94</v>
      </c>
    </row>
    <row r="2898" spans="1:7" ht="15.75" x14ac:dyDescent="0.25">
      <c r="A2898" s="5">
        <v>45978</v>
      </c>
      <c r="B2898" s="32" t="s">
        <v>61</v>
      </c>
      <c r="C2898" s="7"/>
      <c r="D2898" s="7"/>
      <c r="E2898" s="7"/>
      <c r="F2898" s="33"/>
      <c r="G2898" s="52">
        <v>1231.1099999999999</v>
      </c>
    </row>
    <row r="2899" spans="1:7" ht="15.75" x14ac:dyDescent="0.25">
      <c r="A2899" s="5">
        <v>45978</v>
      </c>
      <c r="B2899" s="32" t="s">
        <v>449</v>
      </c>
      <c r="C2899" s="7"/>
      <c r="D2899" s="7"/>
      <c r="E2899" s="7"/>
      <c r="F2899" s="33"/>
      <c r="G2899" s="52">
        <v>351.47</v>
      </c>
    </row>
    <row r="2900" spans="1:7" ht="15.75" x14ac:dyDescent="0.25">
      <c r="A2900" s="5">
        <v>45978</v>
      </c>
      <c r="B2900" s="32" t="s">
        <v>9</v>
      </c>
      <c r="C2900" s="7"/>
      <c r="D2900" s="7"/>
      <c r="E2900" s="7"/>
      <c r="F2900" s="33"/>
      <c r="G2900" s="52">
        <v>475.91</v>
      </c>
    </row>
    <row r="2901" spans="1:7" ht="15.75" x14ac:dyDescent="0.25">
      <c r="A2901" s="5">
        <v>45981</v>
      </c>
      <c r="B2901" s="32" t="s">
        <v>438</v>
      </c>
      <c r="C2901" s="7"/>
      <c r="D2901" s="7"/>
      <c r="E2901" s="7"/>
      <c r="F2901" s="33"/>
      <c r="G2901" s="52">
        <v>226.01</v>
      </c>
    </row>
    <row r="2902" spans="1:7" ht="15.75" x14ac:dyDescent="0.25">
      <c r="A2902" s="5">
        <v>45989</v>
      </c>
      <c r="B2902" s="32" t="s">
        <v>14</v>
      </c>
      <c r="C2902" s="7"/>
      <c r="D2902" s="7"/>
      <c r="E2902" s="7"/>
      <c r="F2902" s="33"/>
      <c r="G2902" s="52">
        <v>151.6</v>
      </c>
    </row>
    <row r="2903" spans="1:7" ht="15.75" x14ac:dyDescent="0.25">
      <c r="A2903" s="5">
        <v>45962</v>
      </c>
      <c r="B2903" s="32" t="s">
        <v>15</v>
      </c>
      <c r="C2903" s="7"/>
      <c r="D2903" s="7"/>
      <c r="E2903" s="7"/>
      <c r="F2903" s="33"/>
      <c r="G2903" s="52">
        <v>65</v>
      </c>
    </row>
    <row r="2904" spans="1:7" ht="21" x14ac:dyDescent="0.35">
      <c r="A2904" s="9" t="s">
        <v>16</v>
      </c>
      <c r="B2904" s="10"/>
      <c r="C2904" s="10"/>
      <c r="D2904" s="10"/>
      <c r="E2904" s="10"/>
      <c r="F2904" s="10"/>
      <c r="G2904" s="12">
        <f>SUM(G2897:G2903)</f>
        <v>3844.0400000000004</v>
      </c>
    </row>
    <row r="2905" spans="1:7" ht="21" x14ac:dyDescent="0.35">
      <c r="A2905" s="13" t="s">
        <v>17</v>
      </c>
      <c r="B2905" s="11"/>
      <c r="C2905" s="11"/>
      <c r="D2905" s="11"/>
      <c r="E2905" s="11"/>
      <c r="F2905" s="11"/>
      <c r="G2905" s="14">
        <f>ROUND(G2904/14,2)</f>
        <v>274.57</v>
      </c>
    </row>
    <row r="2906" spans="1:7" ht="21" x14ac:dyDescent="0.35">
      <c r="A2906" s="13" t="s">
        <v>74</v>
      </c>
      <c r="B2906" s="11"/>
      <c r="C2906" s="11"/>
      <c r="D2906" s="11"/>
      <c r="E2906" s="11"/>
      <c r="F2906" s="11"/>
      <c r="G2906" s="14">
        <f>ROUND(G2905/13,2)</f>
        <v>21.12</v>
      </c>
    </row>
    <row r="2907" spans="1:7" ht="21" x14ac:dyDescent="0.35">
      <c r="A2907" s="13" t="s">
        <v>196</v>
      </c>
      <c r="B2907" s="11"/>
      <c r="C2907" s="11"/>
      <c r="D2907" s="11"/>
      <c r="E2907" s="11"/>
      <c r="F2907" s="11"/>
      <c r="G2907" s="14">
        <v>150</v>
      </c>
    </row>
    <row r="2908" spans="1:7" ht="21" x14ac:dyDescent="0.35">
      <c r="A2908" s="13" t="s">
        <v>19</v>
      </c>
      <c r="B2908" s="11"/>
      <c r="C2908" s="11"/>
      <c r="D2908" s="11"/>
      <c r="E2908" s="11"/>
      <c r="F2908" s="11"/>
      <c r="G2908" s="12">
        <f>G2905+G2906+G2907</f>
        <v>445.69</v>
      </c>
    </row>
    <row r="2920" spans="1:7" ht="21" x14ac:dyDescent="0.35">
      <c r="A2920" s="88" t="s">
        <v>20</v>
      </c>
      <c r="B2920" s="89"/>
      <c r="C2920" s="89"/>
      <c r="D2920" s="89"/>
      <c r="E2920" s="89"/>
      <c r="F2920" s="89"/>
      <c r="G2920" s="90"/>
    </row>
    <row r="2921" spans="1:7" ht="18.75" x14ac:dyDescent="0.25">
      <c r="A2921" s="19" t="s">
        <v>452</v>
      </c>
      <c r="B2921" s="15"/>
      <c r="C2921" s="15"/>
      <c r="D2921" s="15"/>
      <c r="E2921" s="15"/>
      <c r="F2921" s="15"/>
      <c r="G2921" s="16"/>
    </row>
    <row r="2922" spans="1:7" ht="15.75" x14ac:dyDescent="0.25">
      <c r="A2922" s="17"/>
      <c r="B2922" s="18"/>
      <c r="C2922" s="18"/>
      <c r="D2922" s="18"/>
      <c r="E2922" s="18"/>
      <c r="F2922" s="18"/>
      <c r="G2922" s="18"/>
    </row>
    <row r="2923" spans="1:7" ht="15.75" x14ac:dyDescent="0.25">
      <c r="A2923" s="17"/>
      <c r="B2923" s="18"/>
      <c r="C2923" s="18"/>
      <c r="D2923" s="18"/>
      <c r="E2923" s="18"/>
      <c r="F2923" s="18"/>
      <c r="G2923" s="18"/>
    </row>
    <row r="2924" spans="1:7" ht="15.75" x14ac:dyDescent="0.25">
      <c r="A2924" s="20" t="s">
        <v>22</v>
      </c>
      <c r="B2924" s="21" t="s">
        <v>23</v>
      </c>
      <c r="C2924" s="22"/>
      <c r="D2924" s="21" t="s">
        <v>24</v>
      </c>
      <c r="E2924" s="22"/>
      <c r="F2924" s="59" t="s">
        <v>25</v>
      </c>
      <c r="G2924" s="60" t="s">
        <v>26</v>
      </c>
    </row>
    <row r="2925" spans="1:7" ht="15.75" x14ac:dyDescent="0.25">
      <c r="A2925" s="23" t="s">
        <v>27</v>
      </c>
      <c r="B2925" s="24" t="s">
        <v>28</v>
      </c>
      <c r="C2925" s="24" t="s">
        <v>29</v>
      </c>
      <c r="D2925" s="24" t="s">
        <v>28</v>
      </c>
      <c r="E2925" s="24" t="s">
        <v>30</v>
      </c>
      <c r="F2925" s="58" t="s">
        <v>31</v>
      </c>
      <c r="G2925" s="61" t="s">
        <v>31</v>
      </c>
    </row>
    <row r="2926" spans="1:7" ht="15.75" x14ac:dyDescent="0.25">
      <c r="A2926" s="25" t="s">
        <v>32</v>
      </c>
      <c r="B2926" s="26">
        <v>12.106</v>
      </c>
      <c r="C2926" s="27">
        <v>351.47</v>
      </c>
      <c r="D2926" s="28">
        <v>0</v>
      </c>
      <c r="E2926" s="27">
        <v>0</v>
      </c>
      <c r="F2926" s="29">
        <v>0</v>
      </c>
      <c r="G2926" s="27">
        <v>0</v>
      </c>
    </row>
    <row r="2927" spans="1:7" ht="15.75" x14ac:dyDescent="0.25">
      <c r="A2927" s="30">
        <v>201</v>
      </c>
      <c r="B2927" s="26">
        <v>20.172999999999998</v>
      </c>
      <c r="C2927" s="27">
        <v>232.39</v>
      </c>
      <c r="D2927" s="28">
        <v>1.4999999999999999E-2</v>
      </c>
      <c r="E2927" s="27">
        <v>0.56999999999999995</v>
      </c>
      <c r="F2927" s="27">
        <f>$G$30</f>
        <v>60</v>
      </c>
      <c r="G2927" s="27">
        <f>ROUNDUP(C2927+E2927+F2927,0)</f>
        <v>293</v>
      </c>
    </row>
    <row r="2928" spans="1:7" ht="15.75" x14ac:dyDescent="0.25">
      <c r="A2928" s="30">
        <v>202</v>
      </c>
      <c r="B2928" s="26">
        <v>10.409000000000001</v>
      </c>
      <c r="C2928" s="27">
        <v>119.8</v>
      </c>
      <c r="D2928" s="28">
        <v>1.03</v>
      </c>
      <c r="E2928" s="27">
        <v>38.81</v>
      </c>
      <c r="F2928" s="27">
        <f t="shared" ref="F2928:F2939" si="0">$G$30</f>
        <v>60</v>
      </c>
      <c r="G2928" s="27">
        <f t="shared" ref="G2928:G2940" si="1">ROUNDUP(C2928+E2928+F2928,0)</f>
        <v>219</v>
      </c>
    </row>
    <row r="2929" spans="1:7" ht="15.75" x14ac:dyDescent="0.25">
      <c r="A2929" s="30">
        <v>301</v>
      </c>
      <c r="B2929" s="26">
        <v>18.707999999999998</v>
      </c>
      <c r="C2929" s="27">
        <v>215.44</v>
      </c>
      <c r="D2929" s="28">
        <v>2.895</v>
      </c>
      <c r="E2929" s="27">
        <v>109.07</v>
      </c>
      <c r="F2929" s="27">
        <f t="shared" si="0"/>
        <v>60</v>
      </c>
      <c r="G2929" s="27">
        <f t="shared" si="1"/>
        <v>385</v>
      </c>
    </row>
    <row r="2930" spans="1:7" ht="15.75" x14ac:dyDescent="0.25">
      <c r="A2930" s="30">
        <v>302</v>
      </c>
      <c r="B2930" s="26">
        <v>33.741</v>
      </c>
      <c r="C2930" s="27">
        <v>389.04</v>
      </c>
      <c r="D2930" s="28">
        <v>1.34</v>
      </c>
      <c r="E2930" s="27">
        <v>50.48</v>
      </c>
      <c r="F2930" s="27">
        <f t="shared" si="0"/>
        <v>60</v>
      </c>
      <c r="G2930" s="27">
        <f t="shared" si="1"/>
        <v>500</v>
      </c>
    </row>
    <row r="2931" spans="1:7" ht="15.75" x14ac:dyDescent="0.25">
      <c r="A2931" s="30">
        <v>401</v>
      </c>
      <c r="B2931" s="26">
        <v>34.405999999999999</v>
      </c>
      <c r="C2931" s="27">
        <v>397.69</v>
      </c>
      <c r="D2931" s="28">
        <v>1.508</v>
      </c>
      <c r="E2931" s="27">
        <v>56.81</v>
      </c>
      <c r="F2931" s="27">
        <f t="shared" si="0"/>
        <v>60</v>
      </c>
      <c r="G2931" s="27">
        <f t="shared" si="1"/>
        <v>515</v>
      </c>
    </row>
    <row r="2932" spans="1:7" ht="15.75" x14ac:dyDescent="0.25">
      <c r="A2932" s="30">
        <v>402</v>
      </c>
      <c r="B2932" s="26">
        <v>21.869</v>
      </c>
      <c r="C2932" s="27">
        <v>252.3</v>
      </c>
      <c r="D2932" s="28">
        <v>3.8559999999999999</v>
      </c>
      <c r="E2932" s="27">
        <v>145.27000000000001</v>
      </c>
      <c r="F2932" s="27">
        <f t="shared" si="0"/>
        <v>60</v>
      </c>
      <c r="G2932" s="27">
        <f t="shared" si="1"/>
        <v>458</v>
      </c>
    </row>
    <row r="2933" spans="1:7" ht="15.75" x14ac:dyDescent="0.25">
      <c r="A2933" s="30">
        <v>501</v>
      </c>
      <c r="B2933" s="26">
        <v>14.157</v>
      </c>
      <c r="C2933" s="27">
        <v>163.44999999999999</v>
      </c>
      <c r="D2933" s="28">
        <v>1.266</v>
      </c>
      <c r="E2933" s="27">
        <v>47.7</v>
      </c>
      <c r="F2933" s="27">
        <f t="shared" si="0"/>
        <v>60</v>
      </c>
      <c r="G2933" s="27">
        <f t="shared" si="1"/>
        <v>272</v>
      </c>
    </row>
    <row r="2934" spans="1:7" ht="15.75" x14ac:dyDescent="0.25">
      <c r="A2934" s="30">
        <v>502</v>
      </c>
      <c r="B2934" s="26">
        <v>13.134</v>
      </c>
      <c r="C2934" s="27">
        <v>152.25</v>
      </c>
      <c r="D2934" s="28">
        <v>1.421</v>
      </c>
      <c r="E2934" s="27">
        <v>53.54</v>
      </c>
      <c r="F2934" s="27">
        <f t="shared" si="0"/>
        <v>60</v>
      </c>
      <c r="G2934" s="27">
        <f t="shared" si="1"/>
        <v>266</v>
      </c>
    </row>
    <row r="2935" spans="1:7" ht="15.75" x14ac:dyDescent="0.25">
      <c r="A2935" s="30">
        <v>601</v>
      </c>
      <c r="B2935" s="26">
        <v>3.3439999999999999</v>
      </c>
      <c r="C2935" s="27">
        <v>38.159999999999997</v>
      </c>
      <c r="D2935" s="28">
        <v>0.32</v>
      </c>
      <c r="E2935" s="27">
        <v>12.06</v>
      </c>
      <c r="F2935" s="27">
        <f t="shared" si="0"/>
        <v>60</v>
      </c>
      <c r="G2935" s="27">
        <f t="shared" si="1"/>
        <v>111</v>
      </c>
    </row>
    <row r="2936" spans="1:7" ht="15.75" x14ac:dyDescent="0.25">
      <c r="A2936" s="30">
        <v>602</v>
      </c>
      <c r="B2936" s="26">
        <v>25.558</v>
      </c>
      <c r="C2936" s="27">
        <v>295.52999999999997</v>
      </c>
      <c r="D2936" s="28">
        <v>1.5489999999999999</v>
      </c>
      <c r="E2936" s="27">
        <v>58.36</v>
      </c>
      <c r="F2936" s="27">
        <f t="shared" si="0"/>
        <v>60</v>
      </c>
      <c r="G2936" s="27">
        <f t="shared" si="1"/>
        <v>414</v>
      </c>
    </row>
    <row r="2937" spans="1:7" ht="15.75" x14ac:dyDescent="0.25">
      <c r="A2937" s="30">
        <v>701</v>
      </c>
      <c r="B2937" s="26">
        <v>16.891999999999999</v>
      </c>
      <c r="C2937" s="27">
        <v>194.67</v>
      </c>
      <c r="D2937" s="28">
        <v>0.42199999999999999</v>
      </c>
      <c r="E2937" s="27">
        <v>15.9</v>
      </c>
      <c r="F2937" s="27">
        <f t="shared" si="0"/>
        <v>60</v>
      </c>
      <c r="G2937" s="27">
        <f t="shared" si="1"/>
        <v>271</v>
      </c>
    </row>
    <row r="2938" spans="1:7" ht="15.75" x14ac:dyDescent="0.25">
      <c r="A2938" s="30">
        <v>702</v>
      </c>
      <c r="B2938" s="26">
        <v>7.8719999999999999</v>
      </c>
      <c r="C2938" s="27">
        <v>91.29</v>
      </c>
      <c r="D2938" s="28">
        <v>3.7709999999999999</v>
      </c>
      <c r="E2938" s="27">
        <v>142.07</v>
      </c>
      <c r="F2938" s="27">
        <f t="shared" si="0"/>
        <v>60</v>
      </c>
      <c r="G2938" s="27">
        <f t="shared" si="1"/>
        <v>294</v>
      </c>
    </row>
    <row r="2939" spans="1:7" ht="15.75" x14ac:dyDescent="0.25">
      <c r="A2939" s="30">
        <v>801</v>
      </c>
      <c r="B2939" s="26">
        <v>4.0010000000000003</v>
      </c>
      <c r="C2939" s="27">
        <v>46.76</v>
      </c>
      <c r="D2939" s="28">
        <v>0</v>
      </c>
      <c r="E2939" s="27">
        <v>0</v>
      </c>
      <c r="F2939" s="27">
        <f t="shared" si="0"/>
        <v>60</v>
      </c>
      <c r="G2939" s="27">
        <f t="shared" si="1"/>
        <v>107</v>
      </c>
    </row>
    <row r="2940" spans="1:7" ht="15.75" x14ac:dyDescent="0.25">
      <c r="A2940" s="30">
        <v>802</v>
      </c>
      <c r="B2940" s="26">
        <v>10.63</v>
      </c>
      <c r="C2940" s="27">
        <v>122.67</v>
      </c>
      <c r="D2940" s="28">
        <v>1.0069999999999999</v>
      </c>
      <c r="E2940" s="27">
        <v>37.94</v>
      </c>
      <c r="F2940" s="63">
        <f>$G$30</f>
        <v>60</v>
      </c>
      <c r="G2940" s="63">
        <f t="shared" si="1"/>
        <v>221</v>
      </c>
    </row>
    <row r="2941" spans="1:7" x14ac:dyDescent="0.25">
      <c r="A2941" s="79"/>
      <c r="B2941" s="79"/>
      <c r="C2941" s="80"/>
      <c r="D2941" s="79"/>
      <c r="E2941" s="79"/>
      <c r="F2941" s="79"/>
      <c r="G2941" s="79"/>
    </row>
    <row r="2942" spans="1:7" x14ac:dyDescent="0.25">
      <c r="C2942" s="78"/>
    </row>
    <row r="2943" spans="1:7" x14ac:dyDescent="0.25">
      <c r="C2943" s="78"/>
    </row>
    <row r="2944" spans="1:7" x14ac:dyDescent="0.25">
      <c r="C2944" s="78"/>
    </row>
    <row r="2945" spans="1:7" x14ac:dyDescent="0.25">
      <c r="A2945" s="76"/>
      <c r="B2945" s="76"/>
      <c r="C2945" s="77"/>
      <c r="D2945" s="76"/>
      <c r="E2945" s="76"/>
      <c r="F2945" s="76"/>
      <c r="G2945" s="76"/>
    </row>
    <row r="2946" spans="1:7" ht="15.75" x14ac:dyDescent="0.25">
      <c r="A2946" s="34" t="s">
        <v>424</v>
      </c>
      <c r="B2946" s="35"/>
      <c r="C2946" s="35"/>
      <c r="D2946" s="92">
        <v>45930</v>
      </c>
      <c r="E2946" s="92"/>
      <c r="F2946" s="36"/>
      <c r="G2946" s="72">
        <v>29848.629999999997</v>
      </c>
    </row>
    <row r="2947" spans="1:7" ht="15.75" x14ac:dyDescent="0.25">
      <c r="A2947" s="37" t="s">
        <v>423</v>
      </c>
      <c r="B2947" s="38"/>
      <c r="C2947" s="38"/>
      <c r="D2947" s="75">
        <v>45931</v>
      </c>
      <c r="E2947" s="38"/>
      <c r="F2947" s="39"/>
      <c r="G2947" s="72">
        <v>2100</v>
      </c>
    </row>
    <row r="2948" spans="1:7" ht="15.75" x14ac:dyDescent="0.25">
      <c r="A2948" s="37" t="s">
        <v>450</v>
      </c>
      <c r="B2948" s="38"/>
      <c r="C2948" s="38"/>
      <c r="D2948" s="38"/>
      <c r="E2948" s="38"/>
      <c r="F2948" s="39"/>
      <c r="G2948" s="72">
        <v>803.03</v>
      </c>
    </row>
    <row r="2949" spans="1:7" ht="15.75" x14ac:dyDescent="0.25">
      <c r="A2949" s="34" t="s">
        <v>422</v>
      </c>
      <c r="B2949" s="35"/>
      <c r="C2949" s="35"/>
      <c r="D2949" s="92">
        <v>45961</v>
      </c>
      <c r="E2949" s="92"/>
      <c r="F2949" s="36"/>
      <c r="G2949" s="72">
        <f>G2946+G2947-G2948</f>
        <v>31145.599999999999</v>
      </c>
    </row>
    <row r="2950" spans="1:7" ht="18.75" x14ac:dyDescent="0.3">
      <c r="A2950" s="40"/>
      <c r="B2950" s="40"/>
      <c r="C2950" s="40"/>
      <c r="D2950" s="40"/>
      <c r="E2950" s="40"/>
      <c r="F2950" s="40"/>
      <c r="G2950" s="40"/>
    </row>
    <row r="2951" spans="1:7" ht="31.5" customHeight="1" x14ac:dyDescent="0.25">
      <c r="A2951" s="85" t="s">
        <v>54</v>
      </c>
      <c r="B2951" s="86"/>
      <c r="C2951" s="86"/>
      <c r="D2951" s="86"/>
      <c r="E2951" s="86"/>
      <c r="F2951" s="86"/>
      <c r="G2951" s="87"/>
    </row>
    <row r="2952" spans="1:7" ht="15.75" x14ac:dyDescent="0.25">
      <c r="A2952" s="41" t="s">
        <v>36</v>
      </c>
      <c r="B2952" s="42"/>
      <c r="C2952" s="42"/>
      <c r="D2952" s="42"/>
      <c r="E2952" s="42"/>
      <c r="F2952" s="42"/>
      <c r="G2952" s="43"/>
    </row>
    <row r="2953" spans="1:7" ht="15.75" x14ac:dyDescent="0.25">
      <c r="A2953" s="44" t="s">
        <v>37</v>
      </c>
      <c r="B2953" s="45"/>
      <c r="C2953" s="45"/>
      <c r="D2953" s="45"/>
      <c r="E2953" s="45"/>
      <c r="F2953" s="45"/>
      <c r="G2953" s="46"/>
    </row>
    <row r="2954" spans="1:7" ht="15.75" x14ac:dyDescent="0.25">
      <c r="A2954" s="47"/>
      <c r="B2954" s="47"/>
      <c r="C2954" s="47"/>
      <c r="D2954" s="47"/>
      <c r="E2954" s="47"/>
      <c r="F2954" s="47"/>
      <c r="G2954" s="47"/>
    </row>
    <row r="2955" spans="1:7" ht="15.75" x14ac:dyDescent="0.25">
      <c r="A2955" s="48" t="s">
        <v>50</v>
      </c>
      <c r="B2955" s="49"/>
      <c r="C2955" s="49"/>
      <c r="D2955" s="49"/>
      <c r="E2955" s="49"/>
      <c r="F2955" s="49"/>
      <c r="G2955" s="50"/>
    </row>
    <row r="2956" spans="1:7" ht="15.75" x14ac:dyDescent="0.25">
      <c r="A2956" s="47"/>
      <c r="B2956" s="47"/>
      <c r="C2956" s="47"/>
      <c r="D2956" s="47"/>
      <c r="E2956" s="47"/>
      <c r="F2956" s="47"/>
      <c r="G2956" s="47"/>
    </row>
    <row r="2957" spans="1:7" ht="15.75" x14ac:dyDescent="0.25">
      <c r="A2957" s="47"/>
      <c r="B2957" s="47"/>
      <c r="C2957" s="47"/>
      <c r="D2957" s="47"/>
      <c r="E2957" s="47"/>
      <c r="F2957" s="47"/>
      <c r="G2957" s="47"/>
    </row>
    <row r="2958" spans="1:7" ht="15.75" x14ac:dyDescent="0.25">
      <c r="A2958" s="47"/>
      <c r="B2958" s="47"/>
      <c r="C2958" s="47"/>
      <c r="D2958" s="47"/>
      <c r="E2958" s="47"/>
      <c r="F2958" s="47"/>
      <c r="G2958" s="47"/>
    </row>
    <row r="2966" spans="1:7" ht="21" x14ac:dyDescent="0.35">
      <c r="A2966" s="88" t="s">
        <v>20</v>
      </c>
      <c r="B2966" s="89"/>
      <c r="C2966" s="89"/>
      <c r="D2966" s="89"/>
      <c r="E2966" s="89"/>
      <c r="F2966" s="89"/>
      <c r="G2966" s="90"/>
    </row>
    <row r="2968" spans="1:7" ht="17.25" x14ac:dyDescent="0.3">
      <c r="A2968" s="51" t="s">
        <v>453</v>
      </c>
      <c r="B2968" s="51"/>
      <c r="C2968" s="51"/>
      <c r="D2968" s="51"/>
      <c r="E2968" s="51"/>
      <c r="F2968" s="51"/>
      <c r="G2968" s="51"/>
    </row>
    <row r="2969" spans="1:7" ht="17.25" x14ac:dyDescent="0.3">
      <c r="A2969" s="51"/>
      <c r="B2969" s="51"/>
      <c r="C2969" s="51"/>
      <c r="D2969" s="51"/>
      <c r="E2969" s="51"/>
      <c r="F2969" s="51"/>
      <c r="G2969" s="51"/>
    </row>
    <row r="2970" spans="1:7" ht="17.25" x14ac:dyDescent="0.3">
      <c r="A2970" s="51" t="s">
        <v>454</v>
      </c>
      <c r="B2970" s="51"/>
      <c r="C2970" s="51"/>
      <c r="D2970" s="51"/>
      <c r="E2970" s="51"/>
      <c r="F2970" s="51"/>
      <c r="G2970" s="51"/>
    </row>
    <row r="2971" spans="1:7" ht="17.25" x14ac:dyDescent="0.3">
      <c r="A2971" s="51"/>
      <c r="B2971" s="51"/>
      <c r="C2971" s="51"/>
      <c r="D2971" s="51"/>
      <c r="E2971" s="51"/>
      <c r="F2971" s="51"/>
      <c r="G2971" s="51"/>
    </row>
    <row r="2972" spans="1:7" ht="17.25" x14ac:dyDescent="0.3">
      <c r="A2972" s="51" t="s">
        <v>455</v>
      </c>
      <c r="B2972" s="51"/>
      <c r="C2972" s="51"/>
      <c r="D2972" s="51"/>
      <c r="E2972" s="51"/>
      <c r="F2972" s="51"/>
      <c r="G2972" s="51"/>
    </row>
    <row r="2973" spans="1:7" ht="17.25" x14ac:dyDescent="0.3">
      <c r="A2973" s="51"/>
      <c r="B2973" s="51"/>
      <c r="C2973" s="51"/>
      <c r="D2973" s="51"/>
      <c r="E2973" s="51"/>
      <c r="F2973" s="51"/>
      <c r="G2973" s="51"/>
    </row>
    <row r="2974" spans="1:7" ht="17.25" x14ac:dyDescent="0.3">
      <c r="A2974" s="51" t="s">
        <v>40</v>
      </c>
      <c r="B2974" s="51"/>
      <c r="C2974" s="51"/>
      <c r="D2974" s="51"/>
      <c r="E2974" s="51"/>
      <c r="F2974" s="51"/>
      <c r="G2974" s="51"/>
    </row>
    <row r="2975" spans="1:7" ht="17.25" x14ac:dyDescent="0.3">
      <c r="A2975" s="51"/>
      <c r="B2975" s="51"/>
      <c r="C2975" s="51"/>
      <c r="D2975" s="51"/>
      <c r="E2975" s="51"/>
      <c r="F2975" s="51"/>
      <c r="G2975" s="51"/>
    </row>
    <row r="2976" spans="1:7" ht="33" customHeight="1" x14ac:dyDescent="0.3">
      <c r="A2976" s="91" t="s">
        <v>456</v>
      </c>
      <c r="B2976" s="91"/>
      <c r="C2976" s="91"/>
      <c r="D2976" s="91"/>
      <c r="E2976" s="91"/>
      <c r="F2976" s="91"/>
      <c r="G2976" s="91"/>
    </row>
    <row r="2977" spans="1:7" ht="17.25" x14ac:dyDescent="0.3">
      <c r="A2977" s="51"/>
      <c r="B2977" s="51"/>
      <c r="C2977" s="51"/>
      <c r="D2977" s="51"/>
      <c r="E2977" s="51"/>
      <c r="F2977" s="51"/>
      <c r="G2977" s="51"/>
    </row>
    <row r="2978" spans="1:7" ht="33" customHeight="1" x14ac:dyDescent="0.3">
      <c r="A2978" s="91" t="s">
        <v>457</v>
      </c>
      <c r="B2978" s="91"/>
      <c r="C2978" s="91"/>
      <c r="D2978" s="91"/>
      <c r="E2978" s="91"/>
      <c r="F2978" s="91"/>
      <c r="G2978" s="91"/>
    </row>
    <row r="2979" spans="1:7" ht="17.25" x14ac:dyDescent="0.3">
      <c r="A2979" s="51"/>
      <c r="B2979" s="51"/>
      <c r="C2979" s="51"/>
      <c r="D2979" s="51"/>
      <c r="E2979" s="51"/>
      <c r="F2979" s="51"/>
      <c r="G2979" s="51"/>
    </row>
    <row r="2980" spans="1:7" ht="33" customHeight="1" x14ac:dyDescent="0.3">
      <c r="A2980" s="91"/>
      <c r="B2980" s="91"/>
      <c r="C2980" s="91"/>
      <c r="D2980" s="91"/>
      <c r="E2980" s="91"/>
      <c r="F2980" s="91"/>
      <c r="G2980" s="91"/>
    </row>
    <row r="2982" spans="1:7" ht="18.75" x14ac:dyDescent="0.3">
      <c r="A2982" s="1" t="s">
        <v>451</v>
      </c>
      <c r="B2982" s="2"/>
      <c r="C2982" s="2"/>
      <c r="D2982" s="2"/>
      <c r="E2982" s="2"/>
      <c r="F2982" s="2"/>
      <c r="G2982" s="53"/>
    </row>
    <row r="2983" spans="1:7" ht="15.75" x14ac:dyDescent="0.25">
      <c r="A2983" s="3" t="s">
        <v>1</v>
      </c>
      <c r="B2983" s="74" t="s">
        <v>3</v>
      </c>
      <c r="C2983" s="4"/>
      <c r="D2983" s="4"/>
      <c r="E2983" s="4"/>
      <c r="F2983" s="4"/>
      <c r="G2983" s="62" t="s">
        <v>30</v>
      </c>
    </row>
    <row r="2984" spans="1:7" ht="15.75" x14ac:dyDescent="0.25">
      <c r="A2984" s="5">
        <v>46001</v>
      </c>
      <c r="B2984" s="32" t="s">
        <v>5</v>
      </c>
      <c r="C2984" s="7"/>
      <c r="D2984" s="7"/>
      <c r="E2984" s="7"/>
      <c r="F2984" s="33"/>
      <c r="G2984" s="52">
        <v>1342.94</v>
      </c>
    </row>
    <row r="2985" spans="1:7" ht="15.75" x14ac:dyDescent="0.25">
      <c r="A2985" s="5">
        <v>46006</v>
      </c>
      <c r="B2985" s="32" t="s">
        <v>61</v>
      </c>
      <c r="C2985" s="7"/>
      <c r="D2985" s="7"/>
      <c r="E2985" s="7"/>
      <c r="F2985" s="33"/>
      <c r="G2985" s="52">
        <v>1231.1099999999999</v>
      </c>
    </row>
    <row r="2986" spans="1:7" ht="15.75" x14ac:dyDescent="0.25">
      <c r="A2986" s="5">
        <v>46006</v>
      </c>
      <c r="B2986" s="32" t="s">
        <v>449</v>
      </c>
      <c r="C2986" s="7"/>
      <c r="D2986" s="7"/>
      <c r="E2986" s="7"/>
      <c r="F2986" s="33"/>
      <c r="G2986" s="52">
        <v>346.4</v>
      </c>
    </row>
    <row r="2987" spans="1:7" ht="15.75" x14ac:dyDescent="0.25">
      <c r="A2987" s="5">
        <v>46008</v>
      </c>
      <c r="B2987" s="32" t="s">
        <v>9</v>
      </c>
      <c r="C2987" s="7"/>
      <c r="D2987" s="7"/>
      <c r="E2987" s="7"/>
      <c r="F2987" s="33"/>
      <c r="G2987" s="52">
        <v>399.98</v>
      </c>
    </row>
    <row r="2988" spans="1:7" ht="15.75" x14ac:dyDescent="0.25">
      <c r="A2988" s="5">
        <v>46010</v>
      </c>
      <c r="B2988" s="32" t="s">
        <v>438</v>
      </c>
      <c r="C2988" s="7"/>
      <c r="D2988" s="7"/>
      <c r="E2988" s="7"/>
      <c r="F2988" s="33"/>
      <c r="G2988" s="52">
        <v>226.01</v>
      </c>
    </row>
    <row r="2989" spans="1:7" ht="15.75" x14ac:dyDescent="0.25">
      <c r="A2989" s="5">
        <v>46020</v>
      </c>
      <c r="B2989" s="32" t="s">
        <v>14</v>
      </c>
      <c r="C2989" s="7"/>
      <c r="D2989" s="7"/>
      <c r="E2989" s="7"/>
      <c r="F2989" s="33"/>
      <c r="G2989" s="52">
        <v>151.6</v>
      </c>
    </row>
    <row r="2990" spans="1:7" ht="15.75" x14ac:dyDescent="0.25">
      <c r="A2990" s="5">
        <v>45968</v>
      </c>
      <c r="B2990" s="32" t="s">
        <v>458</v>
      </c>
      <c r="C2990" s="7"/>
      <c r="D2990" s="7"/>
      <c r="E2990" s="7"/>
      <c r="F2990" s="33"/>
      <c r="G2990" s="52">
        <v>120</v>
      </c>
    </row>
    <row r="2991" spans="1:7" ht="15.75" x14ac:dyDescent="0.25">
      <c r="A2991" s="5">
        <v>45993</v>
      </c>
      <c r="B2991" s="32" t="s">
        <v>459</v>
      </c>
      <c r="C2991" s="7"/>
      <c r="D2991" s="7"/>
      <c r="E2991" s="7"/>
      <c r="F2991" s="33"/>
      <c r="G2991" s="52">
        <v>17.899999999999999</v>
      </c>
    </row>
    <row r="2992" spans="1:7" ht="15.75" x14ac:dyDescent="0.25">
      <c r="A2992" s="5">
        <v>45993</v>
      </c>
      <c r="B2992" s="32" t="s">
        <v>460</v>
      </c>
      <c r="C2992" s="7"/>
      <c r="D2992" s="7"/>
      <c r="E2992" s="7"/>
      <c r="F2992" s="33"/>
      <c r="G2992" s="52">
        <v>124</v>
      </c>
    </row>
    <row r="2993" spans="1:7" ht="15.75" x14ac:dyDescent="0.25">
      <c r="A2993" s="5">
        <v>45993</v>
      </c>
      <c r="B2993" s="32" t="s">
        <v>15</v>
      </c>
      <c r="C2993" s="7"/>
      <c r="D2993" s="7"/>
      <c r="E2993" s="7"/>
      <c r="F2993" s="33"/>
      <c r="G2993" s="52">
        <v>65</v>
      </c>
    </row>
    <row r="2994" spans="1:7" ht="21" x14ac:dyDescent="0.35">
      <c r="A2994" s="9" t="s">
        <v>16</v>
      </c>
      <c r="B2994" s="10"/>
      <c r="C2994" s="10"/>
      <c r="D2994" s="10"/>
      <c r="E2994" s="10"/>
      <c r="F2994" s="10"/>
      <c r="G2994" s="12">
        <f>SUM(G2984:G2993)</f>
        <v>4024.9400000000005</v>
      </c>
    </row>
    <row r="2995" spans="1:7" ht="21" x14ac:dyDescent="0.35">
      <c r="A2995" s="13" t="s">
        <v>17</v>
      </c>
      <c r="B2995" s="11"/>
      <c r="C2995" s="11"/>
      <c r="D2995" s="11"/>
      <c r="E2995" s="11"/>
      <c r="F2995" s="11"/>
      <c r="G2995" s="14">
        <f>ROUND(G2994/14,2)</f>
        <v>287.5</v>
      </c>
    </row>
    <row r="2996" spans="1:7" ht="21" x14ac:dyDescent="0.35">
      <c r="A2996" s="13" t="s">
        <v>74</v>
      </c>
      <c r="B2996" s="11"/>
      <c r="C2996" s="11"/>
      <c r="D2996" s="11"/>
      <c r="E2996" s="11"/>
      <c r="F2996" s="11"/>
      <c r="G2996" s="14">
        <f>ROUND(G2995/13,2)</f>
        <v>22.12</v>
      </c>
    </row>
    <row r="2997" spans="1:7" ht="21" x14ac:dyDescent="0.35">
      <c r="A2997" s="13" t="s">
        <v>196</v>
      </c>
      <c r="B2997" s="11"/>
      <c r="C2997" s="11"/>
      <c r="D2997" s="11"/>
      <c r="E2997" s="11"/>
      <c r="F2997" s="11"/>
      <c r="G2997" s="14">
        <v>150</v>
      </c>
    </row>
    <row r="2998" spans="1:7" ht="21" x14ac:dyDescent="0.35">
      <c r="A2998" s="13" t="s">
        <v>19</v>
      </c>
      <c r="B2998" s="11"/>
      <c r="C2998" s="11"/>
      <c r="D2998" s="11"/>
      <c r="E2998" s="11"/>
      <c r="F2998" s="11"/>
      <c r="G2998" s="12">
        <f>G2995+G2996+G2997</f>
        <v>459.62</v>
      </c>
    </row>
    <row r="3007" spans="1:7" ht="21" x14ac:dyDescent="0.35">
      <c r="A3007" s="88" t="s">
        <v>20</v>
      </c>
      <c r="B3007" s="89"/>
      <c r="C3007" s="89"/>
      <c r="D3007" s="89"/>
      <c r="E3007" s="89"/>
      <c r="F3007" s="89"/>
      <c r="G3007" s="90"/>
    </row>
    <row r="3008" spans="1:7" ht="18.75" x14ac:dyDescent="0.25">
      <c r="A3008" s="19" t="s">
        <v>472</v>
      </c>
      <c r="B3008" s="15"/>
      <c r="C3008" s="15"/>
      <c r="D3008" s="15"/>
      <c r="E3008" s="15"/>
      <c r="F3008" s="15"/>
      <c r="G3008" s="16"/>
    </row>
    <row r="3009" spans="1:7" ht="15.75" x14ac:dyDescent="0.25">
      <c r="A3009" s="17"/>
      <c r="B3009" s="18"/>
      <c r="C3009" s="18"/>
      <c r="D3009" s="18"/>
      <c r="E3009" s="18"/>
      <c r="F3009" s="18"/>
      <c r="G3009" s="18"/>
    </row>
    <row r="3010" spans="1:7" ht="15.75" x14ac:dyDescent="0.25">
      <c r="A3010" s="17"/>
      <c r="B3010" s="18"/>
      <c r="C3010" s="18"/>
      <c r="D3010" s="18"/>
      <c r="E3010" s="18"/>
      <c r="F3010" s="18"/>
      <c r="G3010" s="18"/>
    </row>
    <row r="3011" spans="1:7" ht="15.75" x14ac:dyDescent="0.25">
      <c r="A3011" s="20" t="s">
        <v>22</v>
      </c>
      <c r="B3011" s="21" t="s">
        <v>23</v>
      </c>
      <c r="C3011" s="22"/>
      <c r="D3011" s="21" t="s">
        <v>24</v>
      </c>
      <c r="E3011" s="22"/>
      <c r="F3011" s="59" t="s">
        <v>25</v>
      </c>
      <c r="G3011" s="60" t="s">
        <v>26</v>
      </c>
    </row>
    <row r="3012" spans="1:7" ht="15.75" x14ac:dyDescent="0.25">
      <c r="A3012" s="23" t="s">
        <v>27</v>
      </c>
      <c r="B3012" s="24" t="s">
        <v>28</v>
      </c>
      <c r="C3012" s="24" t="s">
        <v>29</v>
      </c>
      <c r="D3012" s="24" t="s">
        <v>28</v>
      </c>
      <c r="E3012" s="24" t="s">
        <v>30</v>
      </c>
      <c r="F3012" s="58" t="s">
        <v>31</v>
      </c>
      <c r="G3012" s="61" t="s">
        <v>31</v>
      </c>
    </row>
    <row r="3013" spans="1:7" ht="15.75" x14ac:dyDescent="0.25">
      <c r="A3013" s="25" t="s">
        <v>32</v>
      </c>
      <c r="B3013" s="26">
        <v>17.591999999999999</v>
      </c>
      <c r="C3013" s="27">
        <v>346.4</v>
      </c>
      <c r="D3013" s="28">
        <v>0</v>
      </c>
      <c r="E3013" s="27">
        <v>0</v>
      </c>
      <c r="F3013" s="29">
        <v>0</v>
      </c>
      <c r="G3013" s="27">
        <v>0</v>
      </c>
    </row>
    <row r="3014" spans="1:7" ht="15.75" x14ac:dyDescent="0.25">
      <c r="A3014" s="30">
        <v>201</v>
      </c>
      <c r="B3014" s="26">
        <v>21.346</v>
      </c>
      <c r="C3014" s="27">
        <v>264.31</v>
      </c>
      <c r="D3014" s="28">
        <v>2E-3</v>
      </c>
      <c r="E3014" s="27">
        <v>0.08</v>
      </c>
      <c r="F3014" s="27">
        <v>459.62</v>
      </c>
      <c r="G3014" s="27">
        <v>725</v>
      </c>
    </row>
    <row r="3015" spans="1:7" ht="15.75" x14ac:dyDescent="0.25">
      <c r="A3015" s="30">
        <v>202</v>
      </c>
      <c r="B3015" s="26">
        <v>22.952999999999999</v>
      </c>
      <c r="C3015" s="27">
        <v>285.06</v>
      </c>
      <c r="D3015" s="28">
        <v>3.37</v>
      </c>
      <c r="E3015" s="27">
        <v>126.96</v>
      </c>
      <c r="F3015" s="27">
        <v>459.62</v>
      </c>
      <c r="G3015" s="27">
        <v>872</v>
      </c>
    </row>
    <row r="3016" spans="1:7" ht="15.75" x14ac:dyDescent="0.25">
      <c r="A3016" s="30">
        <v>301</v>
      </c>
      <c r="B3016" s="26">
        <v>20.164000000000001</v>
      </c>
      <c r="C3016" s="27">
        <v>249.65</v>
      </c>
      <c r="D3016" s="28">
        <v>2.9180000000000001</v>
      </c>
      <c r="E3016" s="27">
        <v>109.94</v>
      </c>
      <c r="F3016" s="27">
        <v>459.62</v>
      </c>
      <c r="G3016" s="27">
        <v>820</v>
      </c>
    </row>
    <row r="3017" spans="1:7" ht="15.75" x14ac:dyDescent="0.25">
      <c r="A3017" s="30">
        <v>302</v>
      </c>
      <c r="B3017" s="26">
        <v>34.017000000000003</v>
      </c>
      <c r="C3017" s="27">
        <v>421.59</v>
      </c>
      <c r="D3017" s="28">
        <v>1.581</v>
      </c>
      <c r="E3017" s="27">
        <v>59.56</v>
      </c>
      <c r="F3017" s="27">
        <v>459.62</v>
      </c>
      <c r="G3017" s="27">
        <v>941</v>
      </c>
    </row>
    <row r="3018" spans="1:7" ht="15.75" x14ac:dyDescent="0.25">
      <c r="A3018" s="30">
        <v>401</v>
      </c>
      <c r="B3018" s="26">
        <v>37.476999999999997</v>
      </c>
      <c r="C3018" s="27">
        <v>464.92</v>
      </c>
      <c r="D3018" s="28">
        <v>1.9510000000000001</v>
      </c>
      <c r="E3018" s="27">
        <v>73.5</v>
      </c>
      <c r="F3018" s="27">
        <v>459.62</v>
      </c>
      <c r="G3018" s="27">
        <v>999</v>
      </c>
    </row>
    <row r="3019" spans="1:7" ht="15.75" x14ac:dyDescent="0.25">
      <c r="A3019" s="30">
        <v>402</v>
      </c>
      <c r="B3019" s="26">
        <v>22.898</v>
      </c>
      <c r="C3019" s="27">
        <v>284.64999999999998</v>
      </c>
      <c r="D3019" s="28">
        <v>4.0019999999999998</v>
      </c>
      <c r="E3019" s="27">
        <v>150.78</v>
      </c>
      <c r="F3019" s="27">
        <v>459.62</v>
      </c>
      <c r="G3019" s="27">
        <v>896</v>
      </c>
    </row>
    <row r="3020" spans="1:7" ht="15.75" x14ac:dyDescent="0.25">
      <c r="A3020" s="30">
        <v>501</v>
      </c>
      <c r="B3020" s="26">
        <v>14.391999999999999</v>
      </c>
      <c r="C3020" s="27">
        <v>178.87</v>
      </c>
      <c r="D3020" s="28">
        <v>0.96299999999999997</v>
      </c>
      <c r="E3020" s="27">
        <v>36.28</v>
      </c>
      <c r="F3020" s="27">
        <v>459.62</v>
      </c>
      <c r="G3020" s="27">
        <v>675</v>
      </c>
    </row>
    <row r="3021" spans="1:7" ht="15.75" x14ac:dyDescent="0.25">
      <c r="A3021" s="30">
        <v>502</v>
      </c>
      <c r="B3021" s="26">
        <v>13.845000000000001</v>
      </c>
      <c r="C3021" s="27">
        <v>171.87</v>
      </c>
      <c r="D3021" s="28">
        <v>1.4039999999999999</v>
      </c>
      <c r="E3021" s="27">
        <v>52.9</v>
      </c>
      <c r="F3021" s="27">
        <v>459.62</v>
      </c>
      <c r="G3021" s="27">
        <v>685</v>
      </c>
    </row>
    <row r="3022" spans="1:7" ht="15.75" x14ac:dyDescent="0.25">
      <c r="A3022" s="30">
        <v>601</v>
      </c>
      <c r="B3022" s="26">
        <v>3.2210000000000001</v>
      </c>
      <c r="C3022" s="27">
        <v>40.08</v>
      </c>
      <c r="D3022" s="28">
        <v>0.41299999999999998</v>
      </c>
      <c r="E3022" s="27">
        <v>15.56</v>
      </c>
      <c r="F3022" s="27">
        <v>459.62</v>
      </c>
      <c r="G3022" s="27">
        <v>516</v>
      </c>
    </row>
    <row r="3023" spans="1:7" ht="15.75" x14ac:dyDescent="0.25">
      <c r="A3023" s="30">
        <v>602</v>
      </c>
      <c r="B3023" s="26">
        <v>17.263999999999999</v>
      </c>
      <c r="C3023" s="27">
        <v>214.9</v>
      </c>
      <c r="D3023" s="28">
        <v>1.0589999999999999</v>
      </c>
      <c r="E3023" s="27">
        <v>39.9</v>
      </c>
      <c r="F3023" s="27">
        <v>459.62</v>
      </c>
      <c r="G3023" s="27">
        <v>715</v>
      </c>
    </row>
    <row r="3024" spans="1:7" ht="15.75" x14ac:dyDescent="0.25">
      <c r="A3024" s="30">
        <v>701</v>
      </c>
      <c r="B3024" s="26">
        <v>18.895</v>
      </c>
      <c r="C3024" s="27">
        <v>234.35</v>
      </c>
      <c r="D3024" s="28">
        <v>0.65800000000000003</v>
      </c>
      <c r="E3024" s="27">
        <v>24.79</v>
      </c>
      <c r="F3024" s="27">
        <v>459.62</v>
      </c>
      <c r="G3024" s="27">
        <v>719</v>
      </c>
    </row>
    <row r="3025" spans="1:7" ht="15.75" x14ac:dyDescent="0.25">
      <c r="A3025" s="30">
        <v>702</v>
      </c>
      <c r="B3025" s="26">
        <v>8.1549999999999994</v>
      </c>
      <c r="C3025" s="27">
        <v>101.7</v>
      </c>
      <c r="D3025" s="28">
        <v>3.9990000000000001</v>
      </c>
      <c r="E3025" s="27">
        <v>150.66</v>
      </c>
      <c r="F3025" s="27">
        <v>459.62</v>
      </c>
      <c r="G3025" s="27">
        <v>712</v>
      </c>
    </row>
    <row r="3026" spans="1:7" ht="15.75" x14ac:dyDescent="0.25">
      <c r="A3026" s="30">
        <v>801</v>
      </c>
      <c r="B3026" s="26">
        <v>4.8159999999999998</v>
      </c>
      <c r="C3026" s="27">
        <v>59.27</v>
      </c>
      <c r="D3026" s="28">
        <v>0</v>
      </c>
      <c r="E3026" s="27">
        <v>0</v>
      </c>
      <c r="F3026" s="27">
        <v>459.62</v>
      </c>
      <c r="G3026" s="27">
        <v>519</v>
      </c>
    </row>
    <row r="3027" spans="1:7" ht="15.75" x14ac:dyDescent="0.25">
      <c r="A3027" s="30">
        <v>802</v>
      </c>
      <c r="B3027" s="26">
        <v>11.965</v>
      </c>
      <c r="C3027" s="27">
        <v>149.1</v>
      </c>
      <c r="D3027" s="28">
        <v>1.419</v>
      </c>
      <c r="E3027" s="27">
        <v>53.46</v>
      </c>
      <c r="F3027" s="63">
        <v>459.62</v>
      </c>
      <c r="G3027" s="63">
        <v>663</v>
      </c>
    </row>
    <row r="3028" spans="1:7" x14ac:dyDescent="0.25">
      <c r="A3028" s="79"/>
      <c r="B3028" s="79"/>
      <c r="C3028" s="80"/>
      <c r="D3028" s="79"/>
      <c r="E3028" s="79"/>
      <c r="F3028" s="79"/>
      <c r="G3028" s="79"/>
    </row>
    <row r="3029" spans="1:7" x14ac:dyDescent="0.25">
      <c r="C3029" s="78"/>
    </row>
    <row r="3030" spans="1:7" x14ac:dyDescent="0.25">
      <c r="C3030" s="78"/>
    </row>
    <row r="3031" spans="1:7" x14ac:dyDescent="0.25">
      <c r="C3031" s="78"/>
    </row>
    <row r="3032" spans="1:7" x14ac:dyDescent="0.25">
      <c r="A3032" s="76"/>
      <c r="B3032" s="76"/>
      <c r="C3032" s="77"/>
      <c r="D3032" s="76"/>
      <c r="E3032" s="76"/>
      <c r="F3032" s="76"/>
      <c r="G3032" s="76"/>
    </row>
    <row r="3033" spans="1:7" ht="15.75" x14ac:dyDescent="0.25">
      <c r="A3033" s="34" t="s">
        <v>424</v>
      </c>
      <c r="B3033" s="35"/>
      <c r="C3033" s="35"/>
      <c r="D3033" s="92">
        <v>45961</v>
      </c>
      <c r="E3033" s="92"/>
      <c r="F3033" s="36"/>
      <c r="G3033" s="72">
        <v>31145.599999999999</v>
      </c>
    </row>
    <row r="3034" spans="1:7" ht="15.75" x14ac:dyDescent="0.25">
      <c r="A3034" s="37" t="s">
        <v>423</v>
      </c>
      <c r="B3034" s="38"/>
      <c r="C3034" s="38"/>
      <c r="D3034" s="75">
        <v>45962</v>
      </c>
      <c r="E3034" s="38"/>
      <c r="F3034" s="39"/>
      <c r="G3034" s="72">
        <v>2100</v>
      </c>
    </row>
    <row r="3035" spans="1:7" ht="15.75" x14ac:dyDescent="0.25">
      <c r="A3035" s="37" t="s">
        <v>461</v>
      </c>
      <c r="B3035" s="38"/>
      <c r="C3035" s="38"/>
      <c r="D3035" s="38"/>
      <c r="E3035" s="38"/>
      <c r="F3035" s="39"/>
      <c r="G3035" s="72">
        <v>660</v>
      </c>
    </row>
    <row r="3036" spans="1:7" ht="15.75" x14ac:dyDescent="0.25">
      <c r="A3036" s="34" t="s">
        <v>422</v>
      </c>
      <c r="B3036" s="35"/>
      <c r="C3036" s="35"/>
      <c r="D3036" s="92">
        <v>45991</v>
      </c>
      <c r="E3036" s="92"/>
      <c r="F3036" s="36"/>
      <c r="G3036" s="72">
        <f>G3033+G3034-G3035</f>
        <v>32585.599999999999</v>
      </c>
    </row>
    <row r="3037" spans="1:7" ht="18.75" x14ac:dyDescent="0.3">
      <c r="A3037" s="40"/>
      <c r="B3037" s="40"/>
      <c r="C3037" s="40"/>
      <c r="D3037" s="40"/>
      <c r="E3037" s="40"/>
      <c r="F3037" s="40"/>
      <c r="G3037" s="40"/>
    </row>
    <row r="3038" spans="1:7" ht="31.5" customHeight="1" x14ac:dyDescent="0.25">
      <c r="A3038" s="85" t="s">
        <v>54</v>
      </c>
      <c r="B3038" s="86"/>
      <c r="C3038" s="86"/>
      <c r="D3038" s="86"/>
      <c r="E3038" s="86"/>
      <c r="F3038" s="86"/>
      <c r="G3038" s="87"/>
    </row>
    <row r="3039" spans="1:7" ht="15.75" x14ac:dyDescent="0.25">
      <c r="A3039" s="41" t="s">
        <v>36</v>
      </c>
      <c r="B3039" s="42"/>
      <c r="C3039" s="42"/>
      <c r="D3039" s="42"/>
      <c r="E3039" s="42"/>
      <c r="F3039" s="42"/>
      <c r="G3039" s="43"/>
    </row>
    <row r="3040" spans="1:7" ht="15.75" x14ac:dyDescent="0.25">
      <c r="A3040" s="44" t="s">
        <v>37</v>
      </c>
      <c r="B3040" s="45"/>
      <c r="C3040" s="45"/>
      <c r="D3040" s="45"/>
      <c r="E3040" s="45"/>
      <c r="F3040" s="45"/>
      <c r="G3040" s="46"/>
    </row>
    <row r="3041" spans="1:7" ht="15.75" x14ac:dyDescent="0.25">
      <c r="A3041" s="47"/>
      <c r="B3041" s="47"/>
      <c r="C3041" s="47"/>
      <c r="D3041" s="47"/>
      <c r="E3041" s="47"/>
      <c r="F3041" s="47"/>
      <c r="G3041" s="47"/>
    </row>
    <row r="3042" spans="1:7" ht="15.75" x14ac:dyDescent="0.25">
      <c r="A3042" s="48" t="s">
        <v>50</v>
      </c>
      <c r="B3042" s="49"/>
      <c r="C3042" s="49"/>
      <c r="D3042" s="49"/>
      <c r="E3042" s="49"/>
      <c r="F3042" s="49"/>
      <c r="G3042" s="50"/>
    </row>
    <row r="3043" spans="1:7" ht="15.75" x14ac:dyDescent="0.25">
      <c r="A3043" s="47"/>
      <c r="B3043" s="47"/>
      <c r="C3043" s="47"/>
      <c r="D3043" s="47"/>
      <c r="E3043" s="47"/>
      <c r="F3043" s="47"/>
      <c r="G3043" s="47"/>
    </row>
    <row r="3044" spans="1:7" ht="15.75" x14ac:dyDescent="0.25">
      <c r="A3044" s="47"/>
      <c r="B3044" s="47"/>
      <c r="C3044" s="47"/>
      <c r="D3044" s="47"/>
      <c r="E3044" s="47"/>
      <c r="F3044" s="47"/>
      <c r="G3044" s="47"/>
    </row>
    <row r="3045" spans="1:7" ht="15.75" x14ac:dyDescent="0.25">
      <c r="A3045" s="47"/>
      <c r="B3045" s="47"/>
      <c r="C3045" s="47"/>
      <c r="D3045" s="47"/>
      <c r="E3045" s="47"/>
      <c r="F3045" s="47"/>
      <c r="G3045" s="47"/>
    </row>
    <row r="3053" spans="1:7" ht="21" x14ac:dyDescent="0.35">
      <c r="A3053" s="88" t="s">
        <v>20</v>
      </c>
      <c r="B3053" s="89"/>
      <c r="C3053" s="89"/>
      <c r="D3053" s="89"/>
      <c r="E3053" s="89"/>
      <c r="F3053" s="89"/>
      <c r="G3053" s="90"/>
    </row>
    <row r="3055" spans="1:7" ht="17.25" x14ac:dyDescent="0.3">
      <c r="A3055" s="51" t="s">
        <v>462</v>
      </c>
      <c r="B3055" s="51"/>
      <c r="C3055" s="51"/>
      <c r="D3055" s="51"/>
      <c r="E3055" s="51"/>
      <c r="F3055" s="51"/>
      <c r="G3055" s="51"/>
    </row>
    <row r="3056" spans="1:7" ht="17.25" x14ac:dyDescent="0.3">
      <c r="A3056" s="51"/>
      <c r="B3056" s="51"/>
      <c r="C3056" s="51"/>
      <c r="D3056" s="51"/>
      <c r="E3056" s="51"/>
      <c r="F3056" s="51"/>
      <c r="G3056" s="51"/>
    </row>
    <row r="3057" spans="1:7" ht="17.25" x14ac:dyDescent="0.3">
      <c r="A3057" s="51" t="s">
        <v>463</v>
      </c>
      <c r="B3057" s="51"/>
      <c r="C3057" s="51"/>
      <c r="D3057" s="51"/>
      <c r="E3057" s="51"/>
      <c r="F3057" s="51"/>
      <c r="G3057" s="51"/>
    </row>
    <row r="3058" spans="1:7" ht="17.25" x14ac:dyDescent="0.3">
      <c r="A3058" s="51"/>
      <c r="B3058" s="51"/>
      <c r="C3058" s="51"/>
      <c r="D3058" s="51"/>
      <c r="E3058" s="51"/>
      <c r="F3058" s="51"/>
      <c r="G3058" s="51"/>
    </row>
    <row r="3059" spans="1:7" ht="17.25" x14ac:dyDescent="0.3">
      <c r="A3059" s="51" t="s">
        <v>464</v>
      </c>
      <c r="B3059" s="51"/>
      <c r="C3059" s="51"/>
      <c r="D3059" s="51"/>
      <c r="E3059" s="51"/>
      <c r="F3059" s="51"/>
      <c r="G3059" s="51"/>
    </row>
    <row r="3060" spans="1:7" ht="17.25" x14ac:dyDescent="0.3">
      <c r="A3060" s="51"/>
      <c r="B3060" s="51"/>
      <c r="C3060" s="51"/>
      <c r="D3060" s="51"/>
      <c r="E3060" s="51"/>
      <c r="F3060" s="51"/>
      <c r="G3060" s="51"/>
    </row>
    <row r="3061" spans="1:7" ht="17.25" x14ac:dyDescent="0.3">
      <c r="A3061" s="51" t="s">
        <v>40</v>
      </c>
      <c r="B3061" s="51"/>
      <c r="C3061" s="51"/>
      <c r="D3061" s="51"/>
      <c r="E3061" s="51"/>
      <c r="F3061" s="51"/>
      <c r="G3061" s="51"/>
    </row>
    <row r="3062" spans="1:7" ht="17.25" x14ac:dyDescent="0.3">
      <c r="A3062" s="51"/>
      <c r="B3062" s="51"/>
      <c r="C3062" s="51"/>
      <c r="D3062" s="51"/>
      <c r="E3062" s="51"/>
      <c r="F3062" s="51"/>
      <c r="G3062" s="51"/>
    </row>
    <row r="3063" spans="1:7" ht="33" customHeight="1" x14ac:dyDescent="0.3">
      <c r="A3063" s="91" t="s">
        <v>465</v>
      </c>
      <c r="B3063" s="91"/>
      <c r="C3063" s="91"/>
      <c r="D3063" s="91"/>
      <c r="E3063" s="91"/>
      <c r="F3063" s="91"/>
      <c r="G3063" s="91"/>
    </row>
    <row r="3064" spans="1:7" ht="17.25" x14ac:dyDescent="0.3">
      <c r="A3064" s="51"/>
      <c r="B3064" s="51"/>
      <c r="C3064" s="51"/>
      <c r="D3064" s="51"/>
      <c r="E3064" s="51"/>
      <c r="F3064" s="51"/>
      <c r="G3064" s="51"/>
    </row>
    <row r="3065" spans="1:7" ht="33" customHeight="1" x14ac:dyDescent="0.3">
      <c r="A3065" s="91" t="s">
        <v>466</v>
      </c>
      <c r="B3065" s="91"/>
      <c r="C3065" s="91"/>
      <c r="D3065" s="91"/>
      <c r="E3065" s="91"/>
      <c r="F3065" s="91"/>
      <c r="G3065" s="91"/>
    </row>
    <row r="3066" spans="1:7" ht="17.25" x14ac:dyDescent="0.3">
      <c r="A3066" s="51"/>
      <c r="B3066" s="51"/>
      <c r="C3066" s="51"/>
      <c r="D3066" s="51"/>
      <c r="E3066" s="51"/>
      <c r="F3066" s="51"/>
      <c r="G3066" s="51"/>
    </row>
    <row r="3067" spans="1:7" ht="33" customHeight="1" x14ac:dyDescent="0.3">
      <c r="A3067" s="91"/>
      <c r="B3067" s="91"/>
      <c r="C3067" s="91"/>
      <c r="D3067" s="91"/>
      <c r="E3067" s="91"/>
      <c r="F3067" s="91"/>
      <c r="G3067" s="91"/>
    </row>
    <row r="3069" spans="1:7" ht="18.75" x14ac:dyDescent="0.3">
      <c r="A3069" s="1" t="s">
        <v>470</v>
      </c>
      <c r="B3069" s="2"/>
      <c r="C3069" s="2"/>
      <c r="D3069" s="2"/>
      <c r="E3069" s="2"/>
      <c r="F3069" s="2"/>
      <c r="G3069" s="53"/>
    </row>
    <row r="3070" spans="1:7" ht="15.75" x14ac:dyDescent="0.25">
      <c r="A3070" s="3" t="s">
        <v>1</v>
      </c>
      <c r="B3070" s="74" t="s">
        <v>3</v>
      </c>
      <c r="C3070" s="4"/>
      <c r="D3070" s="4"/>
      <c r="E3070" s="4"/>
      <c r="F3070" s="4"/>
      <c r="G3070" s="62" t="s">
        <v>30</v>
      </c>
    </row>
    <row r="3071" spans="1:7" ht="15.75" x14ac:dyDescent="0.25">
      <c r="A3071" s="5">
        <v>46034</v>
      </c>
      <c r="B3071" s="32" t="s">
        <v>5</v>
      </c>
      <c r="C3071" s="7"/>
      <c r="D3071" s="7"/>
      <c r="E3071" s="7"/>
      <c r="F3071" s="33"/>
      <c r="G3071" s="52">
        <v>1342.94</v>
      </c>
    </row>
    <row r="3072" spans="1:7" ht="15.75" x14ac:dyDescent="0.25">
      <c r="A3072" s="5">
        <v>46037</v>
      </c>
      <c r="B3072" s="32" t="s">
        <v>61</v>
      </c>
      <c r="C3072" s="7"/>
      <c r="D3072" s="7"/>
      <c r="E3072" s="7"/>
      <c r="F3072" s="33"/>
      <c r="G3072" s="52">
        <v>1231.1099999999999</v>
      </c>
    </row>
    <row r="3073" spans="1:7" ht="15.75" x14ac:dyDescent="0.25">
      <c r="A3073" s="5">
        <v>46041</v>
      </c>
      <c r="B3073" s="32" t="s">
        <v>9</v>
      </c>
      <c r="C3073" s="7"/>
      <c r="D3073" s="7"/>
      <c r="E3073" s="7"/>
      <c r="F3073" s="33"/>
      <c r="G3073" s="52">
        <v>429.59</v>
      </c>
    </row>
    <row r="3074" spans="1:7" ht="15.75" x14ac:dyDescent="0.25">
      <c r="A3074" s="5" t="s">
        <v>467</v>
      </c>
      <c r="B3074" s="32" t="s">
        <v>438</v>
      </c>
      <c r="C3074" s="7"/>
      <c r="D3074" s="7"/>
      <c r="E3074" s="7"/>
      <c r="F3074" s="33"/>
      <c r="G3074" s="52">
        <v>271.01</v>
      </c>
    </row>
    <row r="3075" spans="1:7" ht="15.75" x14ac:dyDescent="0.25">
      <c r="A3075" s="5">
        <v>46017</v>
      </c>
      <c r="B3075" s="32" t="s">
        <v>468</v>
      </c>
      <c r="C3075" s="7"/>
      <c r="D3075" s="7"/>
      <c r="E3075" s="7"/>
      <c r="F3075" s="33"/>
      <c r="G3075" s="52">
        <v>259.07</v>
      </c>
    </row>
    <row r="3076" spans="1:7" ht="15.75" x14ac:dyDescent="0.25">
      <c r="A3076" s="5">
        <v>46050</v>
      </c>
      <c r="B3076" s="32" t="s">
        <v>14</v>
      </c>
      <c r="C3076" s="7"/>
      <c r="D3076" s="7"/>
      <c r="E3076" s="7"/>
      <c r="F3076" s="33"/>
      <c r="G3076" s="52">
        <v>151.6</v>
      </c>
    </row>
    <row r="3077" spans="1:7" ht="15.75" x14ac:dyDescent="0.25">
      <c r="A3077" s="5">
        <v>46024</v>
      </c>
      <c r="B3077" s="32" t="s">
        <v>15</v>
      </c>
      <c r="C3077" s="7"/>
      <c r="D3077" s="7"/>
      <c r="E3077" s="7"/>
      <c r="F3077" s="33"/>
      <c r="G3077" s="52">
        <v>65</v>
      </c>
    </row>
    <row r="3078" spans="1:7" ht="21" x14ac:dyDescent="0.35">
      <c r="A3078" s="9" t="s">
        <v>16</v>
      </c>
      <c r="B3078" s="10"/>
      <c r="C3078" s="10"/>
      <c r="D3078" s="10"/>
      <c r="E3078" s="10"/>
      <c r="F3078" s="10"/>
      <c r="G3078" s="12">
        <f>SUM(G3071:G3077)</f>
        <v>3750.3200000000006</v>
      </c>
    </row>
    <row r="3079" spans="1:7" ht="21" x14ac:dyDescent="0.35">
      <c r="A3079" s="13" t="s">
        <v>17</v>
      </c>
      <c r="B3079" s="11"/>
      <c r="C3079" s="11"/>
      <c r="D3079" s="11"/>
      <c r="E3079" s="11"/>
      <c r="F3079" s="11"/>
      <c r="G3079" s="14">
        <f>ROUND(G3078/14,2)</f>
        <v>267.88</v>
      </c>
    </row>
    <row r="3080" spans="1:7" ht="21" x14ac:dyDescent="0.35">
      <c r="A3080" s="13" t="s">
        <v>74</v>
      </c>
      <c r="B3080" s="11"/>
      <c r="C3080" s="11"/>
      <c r="D3080" s="11"/>
      <c r="E3080" s="11"/>
      <c r="F3080" s="11"/>
      <c r="G3080" s="14">
        <f>ROUND(G3079/13,2)</f>
        <v>20.61</v>
      </c>
    </row>
    <row r="3081" spans="1:7" ht="21" x14ac:dyDescent="0.35">
      <c r="A3081" s="13" t="s">
        <v>196</v>
      </c>
      <c r="B3081" s="11"/>
      <c r="C3081" s="11"/>
      <c r="D3081" s="11"/>
      <c r="E3081" s="11"/>
      <c r="F3081" s="11"/>
      <c r="G3081" s="14">
        <v>150</v>
      </c>
    </row>
    <row r="3082" spans="1:7" ht="21" x14ac:dyDescent="0.35">
      <c r="A3082" s="13" t="s">
        <v>19</v>
      </c>
      <c r="B3082" s="11"/>
      <c r="C3082" s="11"/>
      <c r="D3082" s="11"/>
      <c r="E3082" s="11"/>
      <c r="F3082" s="11"/>
      <c r="G3082" s="12">
        <f>G3079+G3080+G3081</f>
        <v>438.49</v>
      </c>
    </row>
    <row r="3094" spans="1:7" ht="21" x14ac:dyDescent="0.35">
      <c r="A3094" s="88" t="s">
        <v>20</v>
      </c>
      <c r="B3094" s="89"/>
      <c r="C3094" s="89"/>
      <c r="D3094" s="89"/>
      <c r="E3094" s="89"/>
      <c r="F3094" s="89"/>
      <c r="G3094" s="90"/>
    </row>
    <row r="3095" spans="1:7" ht="18.75" x14ac:dyDescent="0.25">
      <c r="A3095" s="19" t="s">
        <v>471</v>
      </c>
      <c r="B3095" s="15"/>
      <c r="C3095" s="15"/>
      <c r="D3095" s="15"/>
      <c r="E3095" s="15"/>
      <c r="F3095" s="15"/>
      <c r="G3095" s="16"/>
    </row>
    <row r="3096" spans="1:7" ht="15.75" x14ac:dyDescent="0.25">
      <c r="A3096" s="17"/>
      <c r="B3096" s="18"/>
      <c r="C3096" s="18"/>
      <c r="D3096" s="18"/>
      <c r="E3096" s="18"/>
      <c r="F3096" s="18"/>
      <c r="G3096" s="18"/>
    </row>
    <row r="3097" spans="1:7" ht="15.75" x14ac:dyDescent="0.25">
      <c r="A3097" s="17"/>
      <c r="B3097" s="18"/>
      <c r="C3097" s="18"/>
      <c r="D3097" s="18"/>
      <c r="E3097" s="18"/>
      <c r="F3097" s="18"/>
      <c r="G3097" s="18"/>
    </row>
    <row r="3098" spans="1:7" ht="15.75" x14ac:dyDescent="0.25">
      <c r="A3098" s="20" t="s">
        <v>22</v>
      </c>
      <c r="B3098" s="21" t="s">
        <v>23</v>
      </c>
      <c r="C3098" s="22"/>
      <c r="D3098" s="21" t="s">
        <v>24</v>
      </c>
      <c r="E3098" s="22"/>
      <c r="F3098" s="59" t="s">
        <v>25</v>
      </c>
      <c r="G3098" s="60" t="s">
        <v>26</v>
      </c>
    </row>
    <row r="3099" spans="1:7" ht="15.75" x14ac:dyDescent="0.25">
      <c r="A3099" s="23" t="s">
        <v>27</v>
      </c>
      <c r="B3099" s="24" t="s">
        <v>28</v>
      </c>
      <c r="C3099" s="24" t="s">
        <v>29</v>
      </c>
      <c r="D3099" s="24" t="s">
        <v>28</v>
      </c>
      <c r="E3099" s="24" t="s">
        <v>30</v>
      </c>
      <c r="F3099" s="58" t="s">
        <v>31</v>
      </c>
      <c r="G3099" s="61" t="s">
        <v>31</v>
      </c>
    </row>
    <row r="3100" spans="1:7" ht="15.75" x14ac:dyDescent="0.25">
      <c r="A3100" s="25" t="s">
        <v>32</v>
      </c>
      <c r="B3100" s="26">
        <v>0</v>
      </c>
      <c r="C3100" s="27">
        <v>0</v>
      </c>
      <c r="D3100" s="28">
        <v>0</v>
      </c>
      <c r="E3100" s="27">
        <v>0</v>
      </c>
      <c r="F3100" s="29">
        <v>0</v>
      </c>
      <c r="G3100" s="27">
        <v>0</v>
      </c>
    </row>
    <row r="3101" spans="1:7" ht="15.75" x14ac:dyDescent="0.25">
      <c r="A3101" s="30">
        <v>201</v>
      </c>
      <c r="B3101" s="26">
        <v>22.318000000000001</v>
      </c>
      <c r="C3101" s="27">
        <v>215.88</v>
      </c>
      <c r="D3101" s="28">
        <v>1.2E-2</v>
      </c>
      <c r="E3101" s="27">
        <v>0.45</v>
      </c>
      <c r="F3101" s="27">
        <v>438.49</v>
      </c>
      <c r="G3101" s="27">
        <v>655</v>
      </c>
    </row>
    <row r="3102" spans="1:7" ht="15.75" x14ac:dyDescent="0.25">
      <c r="A3102" s="30">
        <v>202</v>
      </c>
      <c r="B3102" s="26">
        <v>27.556000000000001</v>
      </c>
      <c r="C3102" s="27">
        <v>266.32</v>
      </c>
      <c r="D3102" s="28">
        <v>4.2519999999999998</v>
      </c>
      <c r="E3102" s="27">
        <v>160.19</v>
      </c>
      <c r="F3102" s="27">
        <v>438.49</v>
      </c>
      <c r="G3102" s="27">
        <v>865</v>
      </c>
    </row>
    <row r="3103" spans="1:7" ht="15.75" x14ac:dyDescent="0.25">
      <c r="A3103" s="30">
        <v>301</v>
      </c>
      <c r="B3103" s="26">
        <v>23.588999999999999</v>
      </c>
      <c r="C3103" s="27">
        <v>227.57</v>
      </c>
      <c r="D3103" s="28">
        <v>3.3130000000000002</v>
      </c>
      <c r="E3103" s="27">
        <v>124.82</v>
      </c>
      <c r="F3103" s="27">
        <v>438.49</v>
      </c>
      <c r="G3103" s="27">
        <v>791</v>
      </c>
    </row>
    <row r="3104" spans="1:7" ht="15.75" x14ac:dyDescent="0.25">
      <c r="A3104" s="30">
        <v>302</v>
      </c>
      <c r="B3104" s="26">
        <v>29.619</v>
      </c>
      <c r="C3104" s="27">
        <v>286.64999999999998</v>
      </c>
      <c r="D3104" s="28">
        <v>1.696</v>
      </c>
      <c r="E3104" s="27">
        <v>63.9</v>
      </c>
      <c r="F3104" s="27">
        <v>438.49</v>
      </c>
      <c r="G3104" s="27">
        <v>790</v>
      </c>
    </row>
    <row r="3105" spans="1:7" ht="15.75" x14ac:dyDescent="0.25">
      <c r="A3105" s="30">
        <v>401</v>
      </c>
      <c r="B3105" s="26">
        <v>34.484000000000002</v>
      </c>
      <c r="C3105" s="27">
        <v>333.82</v>
      </c>
      <c r="D3105" s="28">
        <v>1.4750000000000001</v>
      </c>
      <c r="E3105" s="27">
        <v>55.57</v>
      </c>
      <c r="F3105" s="27">
        <v>438.49</v>
      </c>
      <c r="G3105" s="27">
        <v>828</v>
      </c>
    </row>
    <row r="3106" spans="1:7" ht="15.75" x14ac:dyDescent="0.25">
      <c r="A3106" s="30">
        <v>402</v>
      </c>
      <c r="B3106" s="26">
        <v>19.966999999999999</v>
      </c>
      <c r="C3106" s="27">
        <v>192.81</v>
      </c>
      <c r="D3106" s="28">
        <v>3.6669999999999998</v>
      </c>
      <c r="E3106" s="27">
        <v>138.15</v>
      </c>
      <c r="F3106" s="27">
        <v>438.49</v>
      </c>
      <c r="G3106" s="27">
        <v>770</v>
      </c>
    </row>
    <row r="3107" spans="1:7" ht="15.75" x14ac:dyDescent="0.25">
      <c r="A3107" s="30">
        <v>501</v>
      </c>
      <c r="B3107" s="26">
        <v>16.227</v>
      </c>
      <c r="C3107" s="27">
        <v>157.30000000000001</v>
      </c>
      <c r="D3107" s="28">
        <v>1.101</v>
      </c>
      <c r="E3107" s="27">
        <v>41.48</v>
      </c>
      <c r="F3107" s="27">
        <v>438.49</v>
      </c>
      <c r="G3107" s="27">
        <v>638</v>
      </c>
    </row>
    <row r="3108" spans="1:7" ht="15.75" x14ac:dyDescent="0.25">
      <c r="A3108" s="30">
        <v>502</v>
      </c>
      <c r="B3108" s="26">
        <v>15.316000000000001</v>
      </c>
      <c r="C3108" s="27">
        <v>147.9</v>
      </c>
      <c r="D3108" s="28">
        <v>1.2609999999999999</v>
      </c>
      <c r="E3108" s="27">
        <v>47.51</v>
      </c>
      <c r="F3108" s="27">
        <v>438.49</v>
      </c>
      <c r="G3108" s="27">
        <v>634</v>
      </c>
    </row>
    <row r="3109" spans="1:7" ht="15.75" x14ac:dyDescent="0.25">
      <c r="A3109" s="30">
        <v>601</v>
      </c>
      <c r="B3109" s="26">
        <v>6.1020000000000003</v>
      </c>
      <c r="C3109" s="27">
        <v>58.64</v>
      </c>
      <c r="D3109" s="28">
        <v>0.90700000000000003</v>
      </c>
      <c r="E3109" s="27">
        <v>34.17</v>
      </c>
      <c r="F3109" s="27">
        <v>438.49</v>
      </c>
      <c r="G3109" s="27">
        <v>532</v>
      </c>
    </row>
    <row r="3110" spans="1:7" ht="15.75" x14ac:dyDescent="0.25">
      <c r="A3110" s="30">
        <v>602</v>
      </c>
      <c r="B3110" s="26">
        <v>25.222000000000001</v>
      </c>
      <c r="C3110" s="27">
        <v>244.26</v>
      </c>
      <c r="D3110" s="28">
        <v>1.6259999999999999</v>
      </c>
      <c r="E3110" s="27">
        <v>61.26</v>
      </c>
      <c r="F3110" s="27">
        <v>438.49</v>
      </c>
      <c r="G3110" s="27">
        <v>745</v>
      </c>
    </row>
    <row r="3111" spans="1:7" ht="15.75" x14ac:dyDescent="0.25">
      <c r="A3111" s="30">
        <v>701</v>
      </c>
      <c r="B3111" s="26">
        <v>19.146999999999998</v>
      </c>
      <c r="C3111" s="27">
        <v>184.89</v>
      </c>
      <c r="D3111" s="28">
        <v>0.57699999999999996</v>
      </c>
      <c r="E3111" s="27">
        <v>21.74</v>
      </c>
      <c r="F3111" s="27">
        <v>438.49</v>
      </c>
      <c r="G3111" s="27">
        <v>646</v>
      </c>
    </row>
    <row r="3112" spans="1:7" ht="15.75" x14ac:dyDescent="0.25">
      <c r="A3112" s="30">
        <v>702</v>
      </c>
      <c r="B3112" s="26">
        <v>8.3190000000000008</v>
      </c>
      <c r="C3112" s="27">
        <v>80.849999999999994</v>
      </c>
      <c r="D3112" s="28">
        <v>3.4</v>
      </c>
      <c r="E3112" s="27">
        <v>128.1</v>
      </c>
      <c r="F3112" s="27">
        <v>438.49</v>
      </c>
      <c r="G3112" s="27">
        <v>648</v>
      </c>
    </row>
    <row r="3113" spans="1:7" ht="15.75" x14ac:dyDescent="0.25">
      <c r="A3113" s="30">
        <v>801</v>
      </c>
      <c r="B3113" s="26">
        <v>6.5789999999999997</v>
      </c>
      <c r="C3113" s="27">
        <v>63.48</v>
      </c>
      <c r="D3113" s="28">
        <v>0.38100000000000001</v>
      </c>
      <c r="E3113" s="27">
        <v>14.35</v>
      </c>
      <c r="F3113" s="27">
        <v>438.49</v>
      </c>
      <c r="G3113" s="27">
        <v>517</v>
      </c>
    </row>
    <row r="3114" spans="1:7" ht="15.75" x14ac:dyDescent="0.25">
      <c r="A3114" s="30">
        <v>802</v>
      </c>
      <c r="B3114" s="26">
        <v>17.960999999999999</v>
      </c>
      <c r="C3114" s="27">
        <v>173.74</v>
      </c>
      <c r="D3114" s="28">
        <v>2.2549999999999999</v>
      </c>
      <c r="E3114" s="27">
        <v>84.96</v>
      </c>
      <c r="F3114" s="63">
        <v>438.49</v>
      </c>
      <c r="G3114" s="63">
        <v>698</v>
      </c>
    </row>
    <row r="3115" spans="1:7" x14ac:dyDescent="0.25">
      <c r="A3115" s="79"/>
      <c r="B3115" s="79"/>
      <c r="C3115" s="80"/>
      <c r="D3115" s="79"/>
      <c r="E3115" s="79"/>
      <c r="F3115" s="79"/>
      <c r="G3115" s="79"/>
    </row>
    <row r="3116" spans="1:7" x14ac:dyDescent="0.25">
      <c r="C3116" s="78"/>
    </row>
    <row r="3117" spans="1:7" x14ac:dyDescent="0.25">
      <c r="C3117" s="78"/>
    </row>
    <row r="3118" spans="1:7" x14ac:dyDescent="0.25">
      <c r="C3118" s="78"/>
    </row>
    <row r="3119" spans="1:7" x14ac:dyDescent="0.25">
      <c r="A3119" s="76"/>
      <c r="B3119" s="76"/>
      <c r="C3119" s="77"/>
      <c r="D3119" s="76"/>
      <c r="E3119" s="76"/>
      <c r="F3119" s="76"/>
      <c r="G3119" s="76"/>
    </row>
    <row r="3120" spans="1:7" ht="15.75" x14ac:dyDescent="0.25">
      <c r="A3120" s="34" t="s">
        <v>424</v>
      </c>
      <c r="B3120" s="35"/>
      <c r="C3120" s="35"/>
      <c r="D3120" s="92">
        <v>45991</v>
      </c>
      <c r="E3120" s="92"/>
      <c r="F3120" s="36"/>
      <c r="G3120" s="72">
        <v>32585.599999999999</v>
      </c>
    </row>
    <row r="3121" spans="1:7" ht="15.75" x14ac:dyDescent="0.25">
      <c r="A3121" s="37" t="s">
        <v>423</v>
      </c>
      <c r="B3121" s="38"/>
      <c r="C3121" s="38"/>
      <c r="D3121" s="75">
        <v>45992</v>
      </c>
      <c r="E3121" s="38"/>
      <c r="F3121" s="39"/>
      <c r="G3121" s="72">
        <v>2100</v>
      </c>
    </row>
    <row r="3122" spans="1:7" ht="15.75" x14ac:dyDescent="0.25">
      <c r="A3122" s="37" t="s">
        <v>469</v>
      </c>
      <c r="B3122" s="38"/>
      <c r="C3122" s="38"/>
      <c r="D3122" s="38"/>
      <c r="E3122" s="38"/>
      <c r="F3122" s="39"/>
      <c r="G3122" s="72">
        <v>855</v>
      </c>
    </row>
    <row r="3123" spans="1:7" ht="15.75" x14ac:dyDescent="0.25">
      <c r="A3123" s="34" t="s">
        <v>422</v>
      </c>
      <c r="B3123" s="35"/>
      <c r="C3123" s="35"/>
      <c r="D3123" s="92">
        <v>46022</v>
      </c>
      <c r="E3123" s="92"/>
      <c r="F3123" s="36"/>
      <c r="G3123" s="72">
        <f>G3120+G3121-G3122</f>
        <v>33830.6</v>
      </c>
    </row>
    <row r="3124" spans="1:7" ht="18.75" x14ac:dyDescent="0.3">
      <c r="A3124" s="40"/>
      <c r="B3124" s="40"/>
      <c r="C3124" s="40"/>
      <c r="D3124" s="40"/>
      <c r="E3124" s="40"/>
      <c r="F3124" s="40"/>
      <c r="G3124" s="40"/>
    </row>
    <row r="3125" spans="1:7" ht="31.5" customHeight="1" x14ac:dyDescent="0.25">
      <c r="A3125" s="85" t="s">
        <v>54</v>
      </c>
      <c r="B3125" s="86"/>
      <c r="C3125" s="86"/>
      <c r="D3125" s="86"/>
      <c r="E3125" s="86"/>
      <c r="F3125" s="86"/>
      <c r="G3125" s="87"/>
    </row>
    <row r="3126" spans="1:7" ht="15.75" x14ac:dyDescent="0.25">
      <c r="A3126" s="41" t="s">
        <v>36</v>
      </c>
      <c r="B3126" s="42"/>
      <c r="C3126" s="42"/>
      <c r="D3126" s="42"/>
      <c r="E3126" s="42"/>
      <c r="F3126" s="42"/>
      <c r="G3126" s="43"/>
    </row>
    <row r="3127" spans="1:7" ht="15.75" x14ac:dyDescent="0.25">
      <c r="A3127" s="44" t="s">
        <v>37</v>
      </c>
      <c r="B3127" s="45"/>
      <c r="C3127" s="45"/>
      <c r="D3127" s="45"/>
      <c r="E3127" s="45"/>
      <c r="F3127" s="45"/>
      <c r="G3127" s="46"/>
    </row>
    <row r="3128" spans="1:7" ht="15.75" x14ac:dyDescent="0.25">
      <c r="A3128" s="47"/>
      <c r="B3128" s="47"/>
      <c r="C3128" s="47"/>
      <c r="D3128" s="47"/>
      <c r="E3128" s="47"/>
      <c r="F3128" s="47"/>
      <c r="G3128" s="47"/>
    </row>
    <row r="3129" spans="1:7" ht="15.75" x14ac:dyDescent="0.25">
      <c r="A3129" s="48" t="s">
        <v>50</v>
      </c>
      <c r="B3129" s="49"/>
      <c r="C3129" s="49"/>
      <c r="D3129" s="49"/>
      <c r="E3129" s="49"/>
      <c r="F3129" s="49"/>
      <c r="G3129" s="50"/>
    </row>
    <row r="3130" spans="1:7" ht="15.75" x14ac:dyDescent="0.25">
      <c r="A3130" s="47"/>
      <c r="B3130" s="47"/>
      <c r="C3130" s="47"/>
      <c r="D3130" s="47"/>
      <c r="E3130" s="47"/>
      <c r="F3130" s="47"/>
      <c r="G3130" s="47"/>
    </row>
    <row r="3131" spans="1:7" ht="15.75" x14ac:dyDescent="0.25">
      <c r="A3131" s="47"/>
      <c r="B3131" s="47"/>
      <c r="C3131" s="47"/>
      <c r="D3131" s="47"/>
      <c r="E3131" s="47"/>
      <c r="F3131" s="47"/>
      <c r="G3131" s="47"/>
    </row>
    <row r="3132" spans="1:7" ht="15.75" x14ac:dyDescent="0.25">
      <c r="A3132" s="47"/>
      <c r="B3132" s="47"/>
      <c r="C3132" s="47"/>
      <c r="D3132" s="47"/>
      <c r="E3132" s="47"/>
      <c r="F3132" s="47"/>
      <c r="G3132" s="47"/>
    </row>
    <row r="3140" spans="1:7" ht="21" x14ac:dyDescent="0.35">
      <c r="A3140" s="88" t="s">
        <v>20</v>
      </c>
      <c r="B3140" s="89"/>
      <c r="C3140" s="89"/>
      <c r="D3140" s="89"/>
      <c r="E3140" s="89"/>
      <c r="F3140" s="89"/>
      <c r="G3140" s="90"/>
    </row>
    <row r="3142" spans="1:7" ht="17.25" x14ac:dyDescent="0.3">
      <c r="A3142" s="51" t="s">
        <v>473</v>
      </c>
      <c r="B3142" s="51"/>
      <c r="C3142" s="51"/>
      <c r="D3142" s="51"/>
      <c r="E3142" s="51"/>
      <c r="F3142" s="51"/>
      <c r="G3142" s="51"/>
    </row>
    <row r="3143" spans="1:7" ht="17.25" x14ac:dyDescent="0.3">
      <c r="A3143" s="51"/>
      <c r="B3143" s="51"/>
      <c r="C3143" s="51"/>
      <c r="D3143" s="51"/>
      <c r="E3143" s="51"/>
      <c r="F3143" s="51"/>
      <c r="G3143" s="51"/>
    </row>
    <row r="3144" spans="1:7" ht="17.25" x14ac:dyDescent="0.3">
      <c r="A3144" s="51" t="s">
        <v>474</v>
      </c>
      <c r="B3144" s="51"/>
      <c r="C3144" s="51"/>
      <c r="D3144" s="51"/>
      <c r="E3144" s="51"/>
      <c r="F3144" s="51"/>
      <c r="G3144" s="51"/>
    </row>
    <row r="3145" spans="1:7" ht="17.25" x14ac:dyDescent="0.3">
      <c r="A3145" s="51"/>
      <c r="B3145" s="51"/>
      <c r="C3145" s="51"/>
      <c r="D3145" s="51"/>
      <c r="E3145" s="51"/>
      <c r="F3145" s="51"/>
      <c r="G3145" s="51"/>
    </row>
    <row r="3146" spans="1:7" ht="17.25" x14ac:dyDescent="0.3">
      <c r="A3146" s="51" t="s">
        <v>475</v>
      </c>
      <c r="B3146" s="51"/>
      <c r="C3146" s="51"/>
      <c r="D3146" s="51"/>
      <c r="E3146" s="51"/>
      <c r="F3146" s="51"/>
      <c r="G3146" s="51"/>
    </row>
    <row r="3147" spans="1:7" ht="17.25" x14ac:dyDescent="0.3">
      <c r="A3147" s="51"/>
      <c r="B3147" s="51"/>
      <c r="C3147" s="51"/>
      <c r="D3147" s="51"/>
      <c r="E3147" s="51"/>
      <c r="F3147" s="51"/>
      <c r="G3147" s="51"/>
    </row>
    <row r="3148" spans="1:7" ht="17.25" x14ac:dyDescent="0.3">
      <c r="A3148" s="51" t="s">
        <v>40</v>
      </c>
      <c r="B3148" s="51"/>
      <c r="C3148" s="51"/>
      <c r="D3148" s="51"/>
      <c r="E3148" s="51"/>
      <c r="F3148" s="51"/>
      <c r="G3148" s="51"/>
    </row>
    <row r="3149" spans="1:7" ht="17.25" x14ac:dyDescent="0.3">
      <c r="A3149" s="51"/>
      <c r="B3149" s="51"/>
      <c r="C3149" s="51"/>
      <c r="D3149" s="51"/>
      <c r="E3149" s="51"/>
      <c r="F3149" s="51"/>
      <c r="G3149" s="51"/>
    </row>
    <row r="3150" spans="1:7" ht="33" customHeight="1" x14ac:dyDescent="0.3">
      <c r="A3150" s="91" t="s">
        <v>476</v>
      </c>
      <c r="B3150" s="91"/>
      <c r="C3150" s="91"/>
      <c r="D3150" s="91"/>
      <c r="E3150" s="91"/>
      <c r="F3150" s="91"/>
      <c r="G3150" s="91"/>
    </row>
    <row r="3151" spans="1:7" ht="17.25" x14ac:dyDescent="0.3">
      <c r="A3151" s="51"/>
      <c r="B3151" s="51"/>
      <c r="C3151" s="51"/>
      <c r="D3151" s="51"/>
      <c r="E3151" s="51"/>
      <c r="F3151" s="51"/>
      <c r="G3151" s="51"/>
    </row>
    <row r="3152" spans="1:7" ht="33" customHeight="1" x14ac:dyDescent="0.3">
      <c r="A3152" s="91" t="s">
        <v>477</v>
      </c>
      <c r="B3152" s="91"/>
      <c r="C3152" s="91"/>
      <c r="D3152" s="91"/>
      <c r="E3152" s="91"/>
      <c r="F3152" s="91"/>
      <c r="G3152" s="91"/>
    </row>
    <row r="3153" spans="1:7" ht="17.25" x14ac:dyDescent="0.3">
      <c r="A3153" s="51"/>
      <c r="B3153" s="51"/>
      <c r="C3153" s="51"/>
      <c r="D3153" s="51"/>
      <c r="E3153" s="51"/>
      <c r="F3153" s="51"/>
      <c r="G3153" s="51"/>
    </row>
    <row r="3154" spans="1:7" ht="33" customHeight="1" x14ac:dyDescent="0.3">
      <c r="A3154" s="91"/>
      <c r="B3154" s="91"/>
      <c r="C3154" s="91"/>
      <c r="D3154" s="91"/>
      <c r="E3154" s="91"/>
      <c r="F3154" s="91"/>
      <c r="G3154" s="91"/>
    </row>
    <row r="3156" spans="1:7" ht="18.75" x14ac:dyDescent="0.3">
      <c r="A3156" s="1" t="s">
        <v>479</v>
      </c>
      <c r="B3156" s="2"/>
      <c r="C3156" s="2"/>
      <c r="D3156" s="2"/>
      <c r="E3156" s="2"/>
      <c r="F3156" s="2"/>
      <c r="G3156" s="53"/>
    </row>
    <row r="3157" spans="1:7" ht="15.75" x14ac:dyDescent="0.25">
      <c r="A3157" s="3" t="s">
        <v>1</v>
      </c>
      <c r="B3157" s="74" t="s">
        <v>3</v>
      </c>
      <c r="C3157" s="4"/>
      <c r="D3157" s="4"/>
      <c r="E3157" s="4"/>
      <c r="F3157" s="4"/>
      <c r="G3157" s="62" t="s">
        <v>30</v>
      </c>
    </row>
    <row r="3158" spans="1:7" ht="15.75" x14ac:dyDescent="0.25">
      <c r="A3158" s="5">
        <v>46063</v>
      </c>
      <c r="B3158" s="32" t="s">
        <v>5</v>
      </c>
      <c r="C3158" s="7"/>
      <c r="D3158" s="7"/>
      <c r="E3158" s="7"/>
      <c r="F3158" s="33"/>
      <c r="G3158" s="52">
        <v>1443.6599999999999</v>
      </c>
    </row>
    <row r="3159" spans="1:7" ht="15.75" x14ac:dyDescent="0.25">
      <c r="A3159" s="5">
        <v>46068</v>
      </c>
      <c r="B3159" s="32" t="s">
        <v>61</v>
      </c>
      <c r="C3159" s="7"/>
      <c r="D3159" s="7"/>
      <c r="E3159" s="7"/>
      <c r="F3159" s="33"/>
      <c r="G3159" s="52">
        <v>1231.1099999999999</v>
      </c>
    </row>
    <row r="3160" spans="1:7" ht="15.75" x14ac:dyDescent="0.25">
      <c r="A3160" s="5">
        <v>46070</v>
      </c>
      <c r="B3160" s="32" t="s">
        <v>9</v>
      </c>
      <c r="C3160" s="7"/>
      <c r="D3160" s="7"/>
      <c r="E3160" s="7"/>
      <c r="F3160" s="33"/>
      <c r="G3160" s="52">
        <v>470.4</v>
      </c>
    </row>
    <row r="3161" spans="1:7" ht="15.75" x14ac:dyDescent="0.25">
      <c r="A3161" s="5">
        <v>46073</v>
      </c>
      <c r="B3161" s="32" t="s">
        <v>438</v>
      </c>
      <c r="C3161" s="7"/>
      <c r="D3161" s="7"/>
      <c r="E3161" s="7"/>
      <c r="F3161" s="33"/>
      <c r="G3161" s="52">
        <v>238.46</v>
      </c>
    </row>
    <row r="3162" spans="1:7" ht="15.75" x14ac:dyDescent="0.25">
      <c r="A3162" s="5">
        <v>46051</v>
      </c>
      <c r="B3162" s="32" t="s">
        <v>478</v>
      </c>
      <c r="C3162" s="7"/>
      <c r="D3162" s="7"/>
      <c r="E3162" s="7"/>
      <c r="F3162" s="33"/>
      <c r="G3162" s="52">
        <v>259.77999999999997</v>
      </c>
    </row>
    <row r="3163" spans="1:7" ht="15.75" x14ac:dyDescent="0.25">
      <c r="A3163" s="5">
        <v>46080</v>
      </c>
      <c r="B3163" s="32" t="s">
        <v>14</v>
      </c>
      <c r="C3163" s="7"/>
      <c r="D3163" s="7"/>
      <c r="E3163" s="7"/>
      <c r="F3163" s="33"/>
      <c r="G3163" s="52">
        <v>163</v>
      </c>
    </row>
    <row r="3164" spans="1:7" ht="15.75" x14ac:dyDescent="0.25">
      <c r="A3164" s="5">
        <v>46055</v>
      </c>
      <c r="B3164" s="32" t="s">
        <v>15</v>
      </c>
      <c r="C3164" s="7"/>
      <c r="D3164" s="7"/>
      <c r="E3164" s="7"/>
      <c r="F3164" s="33"/>
      <c r="G3164" s="52">
        <v>65</v>
      </c>
    </row>
    <row r="3165" spans="1:7" ht="21" x14ac:dyDescent="0.35">
      <c r="A3165" s="9" t="s">
        <v>16</v>
      </c>
      <c r="B3165" s="10"/>
      <c r="C3165" s="10"/>
      <c r="D3165" s="10"/>
      <c r="E3165" s="10"/>
      <c r="F3165" s="10"/>
      <c r="G3165" s="12">
        <f>SUM(G3158:G3164)</f>
        <v>3871.41</v>
      </c>
    </row>
    <row r="3166" spans="1:7" ht="21" x14ac:dyDescent="0.35">
      <c r="A3166" s="13" t="s">
        <v>17</v>
      </c>
      <c r="B3166" s="11"/>
      <c r="C3166" s="11"/>
      <c r="D3166" s="11"/>
      <c r="E3166" s="11"/>
      <c r="F3166" s="11"/>
      <c r="G3166" s="14">
        <f>ROUND(G3165/14,2)</f>
        <v>276.52999999999997</v>
      </c>
    </row>
    <row r="3167" spans="1:7" ht="21" x14ac:dyDescent="0.35">
      <c r="A3167" s="13" t="s">
        <v>74</v>
      </c>
      <c r="B3167" s="11"/>
      <c r="C3167" s="11"/>
      <c r="D3167" s="11"/>
      <c r="E3167" s="11"/>
      <c r="F3167" s="11"/>
      <c r="G3167" s="14">
        <f>ROUND(G3166/13,2)</f>
        <v>21.27</v>
      </c>
    </row>
    <row r="3168" spans="1:7" ht="21" x14ac:dyDescent="0.35">
      <c r="A3168" s="13" t="s">
        <v>196</v>
      </c>
      <c r="B3168" s="11"/>
      <c r="C3168" s="11"/>
      <c r="D3168" s="11"/>
      <c r="E3168" s="11"/>
      <c r="F3168" s="11"/>
      <c r="G3168" s="14">
        <v>150</v>
      </c>
    </row>
    <row r="3169" spans="1:7" ht="21" x14ac:dyDescent="0.35">
      <c r="A3169" s="13" t="s">
        <v>19</v>
      </c>
      <c r="B3169" s="11"/>
      <c r="C3169" s="11"/>
      <c r="D3169" s="11"/>
      <c r="E3169" s="11"/>
      <c r="F3169" s="11"/>
      <c r="G3169" s="12">
        <f>G3166+G3167+G3168</f>
        <v>447.79999999999995</v>
      </c>
    </row>
    <row r="3181" spans="1:7" ht="21" x14ac:dyDescent="0.35">
      <c r="A3181" s="88" t="s">
        <v>20</v>
      </c>
      <c r="B3181" s="89"/>
      <c r="C3181" s="89"/>
      <c r="D3181" s="89"/>
      <c r="E3181" s="89"/>
      <c r="F3181" s="89"/>
      <c r="G3181" s="90"/>
    </row>
    <row r="3182" spans="1:7" ht="18.75" x14ac:dyDescent="0.25">
      <c r="A3182" s="19" t="s">
        <v>480</v>
      </c>
      <c r="B3182" s="15"/>
      <c r="C3182" s="15"/>
      <c r="D3182" s="15"/>
      <c r="E3182" s="15"/>
      <c r="F3182" s="15"/>
      <c r="G3182" s="16"/>
    </row>
    <row r="3183" spans="1:7" ht="15.75" x14ac:dyDescent="0.25">
      <c r="A3183" s="17"/>
      <c r="B3183" s="18"/>
      <c r="C3183" s="18"/>
      <c r="D3183" s="18"/>
      <c r="E3183" s="18"/>
      <c r="F3183" s="18"/>
      <c r="G3183" s="18"/>
    </row>
    <row r="3184" spans="1:7" ht="15.75" x14ac:dyDescent="0.25">
      <c r="A3184" s="17"/>
      <c r="B3184" s="18"/>
      <c r="C3184" s="18"/>
      <c r="D3184" s="18"/>
      <c r="E3184" s="18"/>
      <c r="F3184" s="18"/>
      <c r="G3184" s="18"/>
    </row>
    <row r="3185" spans="1:7" ht="15.75" x14ac:dyDescent="0.25">
      <c r="A3185" s="20" t="s">
        <v>22</v>
      </c>
      <c r="B3185" s="21" t="s">
        <v>23</v>
      </c>
      <c r="C3185" s="22"/>
      <c r="D3185" s="21" t="s">
        <v>24</v>
      </c>
      <c r="E3185" s="22"/>
      <c r="F3185" s="59" t="s">
        <v>25</v>
      </c>
      <c r="G3185" s="60" t="s">
        <v>26</v>
      </c>
    </row>
    <row r="3186" spans="1:7" ht="15.75" x14ac:dyDescent="0.25">
      <c r="A3186" s="23" t="s">
        <v>27</v>
      </c>
      <c r="B3186" s="24" t="s">
        <v>28</v>
      </c>
      <c r="C3186" s="24" t="s">
        <v>29</v>
      </c>
      <c r="D3186" s="24" t="s">
        <v>28</v>
      </c>
      <c r="E3186" s="24" t="s">
        <v>30</v>
      </c>
      <c r="F3186" s="58" t="s">
        <v>31</v>
      </c>
      <c r="G3186" s="61" t="s">
        <v>31</v>
      </c>
    </row>
    <row r="3187" spans="1:7" ht="15.75" x14ac:dyDescent="0.25">
      <c r="A3187" s="25" t="s">
        <v>32</v>
      </c>
      <c r="B3187" s="26">
        <v>0</v>
      </c>
      <c r="C3187" s="27">
        <v>0</v>
      </c>
      <c r="D3187" s="28">
        <v>0</v>
      </c>
      <c r="E3187" s="27">
        <v>0</v>
      </c>
      <c r="F3187" s="29">
        <v>0</v>
      </c>
      <c r="G3187" s="27">
        <v>0</v>
      </c>
    </row>
    <row r="3188" spans="1:7" ht="15.75" x14ac:dyDescent="0.25">
      <c r="A3188" s="30">
        <v>201</v>
      </c>
      <c r="B3188" s="26">
        <v>17.446000000000002</v>
      </c>
      <c r="C3188" s="27">
        <v>153.88</v>
      </c>
      <c r="D3188" s="28">
        <v>0</v>
      </c>
      <c r="E3188" s="27">
        <v>0</v>
      </c>
      <c r="F3188" s="27">
        <v>447.79999999999995</v>
      </c>
      <c r="G3188" s="27">
        <v>602</v>
      </c>
    </row>
    <row r="3189" spans="1:7" ht="15.75" x14ac:dyDescent="0.25">
      <c r="A3189" s="30">
        <v>202</v>
      </c>
      <c r="B3189" s="26">
        <v>25.308</v>
      </c>
      <c r="C3189" s="27">
        <v>223.12</v>
      </c>
      <c r="D3189" s="28">
        <v>4.6829999999999998</v>
      </c>
      <c r="E3189" s="27">
        <v>177.37</v>
      </c>
      <c r="F3189" s="27">
        <v>447.79999999999995</v>
      </c>
      <c r="G3189" s="27">
        <v>849</v>
      </c>
    </row>
    <row r="3190" spans="1:7" ht="15.75" x14ac:dyDescent="0.25">
      <c r="A3190" s="30">
        <v>301</v>
      </c>
      <c r="B3190" s="26">
        <v>21.478000000000002</v>
      </c>
      <c r="C3190" s="27">
        <v>189.21</v>
      </c>
      <c r="D3190" s="28">
        <v>3.34</v>
      </c>
      <c r="E3190" s="27">
        <v>126.5</v>
      </c>
      <c r="F3190" s="27">
        <v>447.79999999999995</v>
      </c>
      <c r="G3190" s="27">
        <v>764</v>
      </c>
    </row>
    <row r="3191" spans="1:7" ht="15.75" x14ac:dyDescent="0.25">
      <c r="A3191" s="30">
        <v>302</v>
      </c>
      <c r="B3191" s="26">
        <v>20.640999999999998</v>
      </c>
      <c r="C3191" s="27">
        <v>182.09</v>
      </c>
      <c r="D3191" s="28">
        <v>2.3199999999999998</v>
      </c>
      <c r="E3191" s="27">
        <v>87.87</v>
      </c>
      <c r="F3191" s="27">
        <v>447.79999999999995</v>
      </c>
      <c r="G3191" s="27">
        <v>718</v>
      </c>
    </row>
    <row r="3192" spans="1:7" ht="15.75" x14ac:dyDescent="0.25">
      <c r="A3192" s="30">
        <v>401</v>
      </c>
      <c r="B3192" s="26">
        <v>32.369999999999997</v>
      </c>
      <c r="C3192" s="27">
        <v>285.51</v>
      </c>
      <c r="D3192" s="28">
        <v>1.171</v>
      </c>
      <c r="E3192" s="27">
        <v>44.35</v>
      </c>
      <c r="F3192" s="27">
        <v>447.79999999999995</v>
      </c>
      <c r="G3192" s="27">
        <v>778</v>
      </c>
    </row>
    <row r="3193" spans="1:7" ht="15.75" x14ac:dyDescent="0.25">
      <c r="A3193" s="30">
        <v>402</v>
      </c>
      <c r="B3193" s="26">
        <v>19.622</v>
      </c>
      <c r="C3193" s="27">
        <v>173.29</v>
      </c>
      <c r="D3193" s="28">
        <v>4.8940000000000001</v>
      </c>
      <c r="E3193" s="27">
        <v>185.36</v>
      </c>
      <c r="F3193" s="27">
        <v>447.79999999999995</v>
      </c>
      <c r="G3193" s="27">
        <v>807</v>
      </c>
    </row>
    <row r="3194" spans="1:7" ht="15.75" x14ac:dyDescent="0.25">
      <c r="A3194" s="30">
        <v>501</v>
      </c>
      <c r="B3194" s="26">
        <v>29.184999999999999</v>
      </c>
      <c r="C3194" s="27">
        <v>257.77999999999997</v>
      </c>
      <c r="D3194" s="28">
        <v>0.81200000000000006</v>
      </c>
      <c r="E3194" s="27">
        <v>30.75</v>
      </c>
      <c r="F3194" s="27">
        <v>447.79999999999995</v>
      </c>
      <c r="G3194" s="27">
        <v>737</v>
      </c>
    </row>
    <row r="3195" spans="1:7" ht="15.75" x14ac:dyDescent="0.25">
      <c r="A3195" s="30">
        <v>502</v>
      </c>
      <c r="B3195" s="26">
        <v>15.702</v>
      </c>
      <c r="C3195" s="27">
        <v>138.74</v>
      </c>
      <c r="D3195" s="28">
        <v>1.419</v>
      </c>
      <c r="E3195" s="27">
        <v>53.74</v>
      </c>
      <c r="F3195" s="27">
        <v>447.79999999999995</v>
      </c>
      <c r="G3195" s="27">
        <v>641</v>
      </c>
    </row>
    <row r="3196" spans="1:7" ht="15.75" x14ac:dyDescent="0.25">
      <c r="A3196" s="30">
        <v>601</v>
      </c>
      <c r="B3196" s="26">
        <v>5.6150000000000002</v>
      </c>
      <c r="C3196" s="27">
        <v>49.75</v>
      </c>
      <c r="D3196" s="28">
        <v>0.45100000000000001</v>
      </c>
      <c r="E3196" s="27">
        <v>17.079999999999998</v>
      </c>
      <c r="F3196" s="27">
        <v>447.79999999999995</v>
      </c>
      <c r="G3196" s="27">
        <v>515</v>
      </c>
    </row>
    <row r="3197" spans="1:7" ht="15.75" x14ac:dyDescent="0.25">
      <c r="A3197" s="30">
        <v>602</v>
      </c>
      <c r="B3197" s="26">
        <v>1.341</v>
      </c>
      <c r="C3197" s="27">
        <v>11.89</v>
      </c>
      <c r="D3197" s="28">
        <v>1.4E-2</v>
      </c>
      <c r="E3197" s="27">
        <v>0.53</v>
      </c>
      <c r="F3197" s="27">
        <v>447.79999999999995</v>
      </c>
      <c r="G3197" s="27">
        <v>461</v>
      </c>
    </row>
    <row r="3198" spans="1:7" ht="15.75" x14ac:dyDescent="0.25">
      <c r="A3198" s="30">
        <v>701</v>
      </c>
      <c r="B3198" s="26">
        <v>13.455</v>
      </c>
      <c r="C3198" s="27">
        <v>118.83</v>
      </c>
      <c r="D3198" s="28">
        <v>0.80800000000000005</v>
      </c>
      <c r="E3198" s="27">
        <v>30.6</v>
      </c>
      <c r="F3198" s="27">
        <v>447.79999999999995</v>
      </c>
      <c r="G3198" s="27">
        <v>598</v>
      </c>
    </row>
    <row r="3199" spans="1:7" ht="15.75" x14ac:dyDescent="0.25">
      <c r="A3199" s="30">
        <v>702</v>
      </c>
      <c r="B3199" s="26">
        <v>7.7350000000000003</v>
      </c>
      <c r="C3199" s="27">
        <v>68.349999999999994</v>
      </c>
      <c r="D3199" s="28">
        <v>4.0380000000000003</v>
      </c>
      <c r="E3199" s="27">
        <v>152.94</v>
      </c>
      <c r="F3199" s="27">
        <v>447.79999999999995</v>
      </c>
      <c r="G3199" s="27">
        <v>670</v>
      </c>
    </row>
    <row r="3200" spans="1:7" ht="15.75" x14ac:dyDescent="0.25">
      <c r="A3200" s="30">
        <v>801</v>
      </c>
      <c r="B3200" s="26">
        <v>4.7709999999999999</v>
      </c>
      <c r="C3200" s="27">
        <v>42.17</v>
      </c>
      <c r="D3200" s="28">
        <v>0.316</v>
      </c>
      <c r="E3200" s="27">
        <v>11.97</v>
      </c>
      <c r="F3200" s="27">
        <v>447.79999999999995</v>
      </c>
      <c r="G3200" s="27">
        <v>502</v>
      </c>
    </row>
    <row r="3201" spans="1:7" ht="15.75" x14ac:dyDescent="0.25">
      <c r="A3201" s="30">
        <v>802</v>
      </c>
      <c r="B3201" s="26">
        <v>14.144</v>
      </c>
      <c r="C3201" s="27">
        <v>124.91</v>
      </c>
      <c r="D3201" s="28">
        <v>1.6379999999999999</v>
      </c>
      <c r="E3201" s="27">
        <v>62.04</v>
      </c>
      <c r="F3201" s="63">
        <v>447.79999999999995</v>
      </c>
      <c r="G3201" s="63">
        <v>635</v>
      </c>
    </row>
    <row r="3202" spans="1:7" x14ac:dyDescent="0.25">
      <c r="A3202" s="79"/>
      <c r="B3202" s="79"/>
      <c r="C3202" s="80"/>
      <c r="D3202" s="79"/>
      <c r="E3202" s="79"/>
      <c r="F3202" s="79"/>
      <c r="G3202" s="79"/>
    </row>
    <row r="3203" spans="1:7" x14ac:dyDescent="0.25">
      <c r="A3203" s="82"/>
      <c r="D3203" s="83"/>
    </row>
    <row r="3204" spans="1:7" x14ac:dyDescent="0.25">
      <c r="C3204" s="78"/>
    </row>
    <row r="3205" spans="1:7" x14ac:dyDescent="0.25">
      <c r="C3205" s="78"/>
    </row>
    <row r="3206" spans="1:7" x14ac:dyDescent="0.25">
      <c r="A3206" s="76"/>
      <c r="B3206" s="76"/>
      <c r="C3206" s="77"/>
      <c r="D3206" s="76"/>
      <c r="E3206" s="76"/>
      <c r="F3206" s="76"/>
      <c r="G3206" s="76"/>
    </row>
    <row r="3207" spans="1:7" ht="15.75" x14ac:dyDescent="0.25">
      <c r="A3207" s="34" t="s">
        <v>424</v>
      </c>
      <c r="B3207" s="35"/>
      <c r="C3207" s="35"/>
      <c r="D3207" s="92">
        <v>46022</v>
      </c>
      <c r="E3207" s="92"/>
      <c r="F3207" s="36"/>
      <c r="G3207" s="72">
        <v>33830.6</v>
      </c>
    </row>
    <row r="3208" spans="1:7" ht="15.75" x14ac:dyDescent="0.25">
      <c r="A3208" s="37" t="s">
        <v>423</v>
      </c>
      <c r="B3208" s="38"/>
      <c r="C3208" s="38"/>
      <c r="D3208" s="75">
        <v>46023</v>
      </c>
      <c r="E3208" s="38"/>
      <c r="F3208" s="39"/>
      <c r="G3208" s="72">
        <v>2100</v>
      </c>
    </row>
    <row r="3209" spans="1:7" ht="15.75" x14ac:dyDescent="0.25">
      <c r="A3209" s="37"/>
      <c r="B3209" s="38"/>
      <c r="C3209" s="38"/>
      <c r="D3209" s="38"/>
      <c r="E3209" s="38"/>
      <c r="F3209" s="39"/>
      <c r="G3209" s="84"/>
    </row>
    <row r="3210" spans="1:7" ht="15.75" x14ac:dyDescent="0.25">
      <c r="A3210" s="34" t="s">
        <v>422</v>
      </c>
      <c r="B3210" s="35"/>
      <c r="C3210" s="35"/>
      <c r="D3210" s="92">
        <f>'[1]VRS. DEVIDOS E OUTROS'!I3286</f>
        <v>0</v>
      </c>
      <c r="E3210" s="92"/>
      <c r="F3210" s="36"/>
      <c r="G3210" s="72">
        <f>G3207+G3208-G3209</f>
        <v>35930.6</v>
      </c>
    </row>
    <row r="3211" spans="1:7" ht="18.75" x14ac:dyDescent="0.3">
      <c r="A3211" s="40"/>
      <c r="B3211" s="40"/>
      <c r="C3211" s="40"/>
      <c r="D3211" s="40"/>
      <c r="E3211" s="40"/>
      <c r="F3211" s="40"/>
      <c r="G3211" s="40"/>
    </row>
    <row r="3212" spans="1:7" ht="31.5" customHeight="1" x14ac:dyDescent="0.25">
      <c r="A3212" s="85" t="s">
        <v>54</v>
      </c>
      <c r="B3212" s="86"/>
      <c r="C3212" s="86"/>
      <c r="D3212" s="86"/>
      <c r="E3212" s="86"/>
      <c r="F3212" s="86"/>
      <c r="G3212" s="87"/>
    </row>
    <row r="3213" spans="1:7" ht="15.75" x14ac:dyDescent="0.25">
      <c r="A3213" s="41" t="s">
        <v>36</v>
      </c>
      <c r="B3213" s="42"/>
      <c r="C3213" s="42"/>
      <c r="D3213" s="42"/>
      <c r="E3213" s="42"/>
      <c r="F3213" s="42"/>
      <c r="G3213" s="43"/>
    </row>
    <row r="3214" spans="1:7" ht="15.75" x14ac:dyDescent="0.25">
      <c r="A3214" s="44" t="s">
        <v>37</v>
      </c>
      <c r="B3214" s="45"/>
      <c r="C3214" s="45"/>
      <c r="D3214" s="45"/>
      <c r="E3214" s="45"/>
      <c r="F3214" s="45"/>
      <c r="G3214" s="46"/>
    </row>
    <row r="3215" spans="1:7" ht="15.75" x14ac:dyDescent="0.25">
      <c r="A3215" s="47"/>
      <c r="B3215" s="47"/>
      <c r="C3215" s="47"/>
      <c r="D3215" s="47"/>
      <c r="E3215" s="47"/>
      <c r="F3215" s="47"/>
      <c r="G3215" s="47"/>
    </row>
    <row r="3216" spans="1:7" ht="15.75" x14ac:dyDescent="0.25">
      <c r="A3216" s="48" t="s">
        <v>50</v>
      </c>
      <c r="B3216" s="49"/>
      <c r="C3216" s="49"/>
      <c r="D3216" s="49"/>
      <c r="E3216" s="49"/>
      <c r="F3216" s="49"/>
      <c r="G3216" s="50"/>
    </row>
    <row r="3217" spans="1:7" ht="15.75" x14ac:dyDescent="0.25">
      <c r="A3217" s="47"/>
      <c r="B3217" s="47"/>
      <c r="C3217" s="47"/>
      <c r="D3217" s="47"/>
      <c r="E3217" s="47"/>
      <c r="F3217" s="47"/>
      <c r="G3217" s="47"/>
    </row>
    <row r="3218" spans="1:7" ht="15.75" x14ac:dyDescent="0.25">
      <c r="A3218" s="47"/>
      <c r="B3218" s="47"/>
      <c r="C3218" s="47"/>
      <c r="D3218" s="47"/>
      <c r="E3218" s="47"/>
      <c r="F3218" s="47"/>
      <c r="G3218" s="47"/>
    </row>
    <row r="3219" spans="1:7" ht="15.75" x14ac:dyDescent="0.25">
      <c r="A3219" s="47"/>
      <c r="B3219" s="47"/>
      <c r="C3219" s="47"/>
      <c r="D3219" s="47"/>
      <c r="E3219" s="47"/>
      <c r="F3219" s="47"/>
      <c r="G3219" s="47"/>
    </row>
    <row r="3227" spans="1:7" ht="21" x14ac:dyDescent="0.35">
      <c r="A3227" s="88" t="s">
        <v>20</v>
      </c>
      <c r="B3227" s="89"/>
      <c r="C3227" s="89"/>
      <c r="D3227" s="89"/>
      <c r="E3227" s="89"/>
      <c r="F3227" s="89"/>
      <c r="G3227" s="90"/>
    </row>
    <row r="3229" spans="1:7" ht="17.25" x14ac:dyDescent="0.3">
      <c r="A3229" s="51" t="s">
        <v>481</v>
      </c>
      <c r="B3229" s="51"/>
      <c r="C3229" s="51"/>
      <c r="D3229" s="51"/>
      <c r="E3229" s="51"/>
      <c r="F3229" s="51"/>
      <c r="G3229" s="51"/>
    </row>
    <row r="3230" spans="1:7" ht="17.25" x14ac:dyDescent="0.3">
      <c r="A3230" s="51"/>
      <c r="B3230" s="51"/>
      <c r="C3230" s="51"/>
      <c r="D3230" s="51"/>
      <c r="E3230" s="51"/>
      <c r="F3230" s="51"/>
      <c r="G3230" s="51"/>
    </row>
    <row r="3231" spans="1:7" ht="17.25" x14ac:dyDescent="0.3">
      <c r="A3231" s="51" t="s">
        <v>482</v>
      </c>
      <c r="B3231" s="51"/>
      <c r="C3231" s="51"/>
      <c r="D3231" s="51"/>
      <c r="E3231" s="51"/>
      <c r="F3231" s="51"/>
      <c r="G3231" s="51"/>
    </row>
    <row r="3232" spans="1:7" ht="17.25" x14ac:dyDescent="0.3">
      <c r="A3232" s="51"/>
      <c r="B3232" s="51"/>
      <c r="C3232" s="51"/>
      <c r="D3232" s="51"/>
      <c r="E3232" s="51"/>
      <c r="F3232" s="51"/>
      <c r="G3232" s="51"/>
    </row>
    <row r="3233" spans="1:7" ht="17.25" x14ac:dyDescent="0.3">
      <c r="A3233" s="51" t="s">
        <v>483</v>
      </c>
      <c r="B3233" s="51"/>
      <c r="C3233" s="51"/>
      <c r="D3233" s="51"/>
      <c r="E3233" s="51"/>
      <c r="F3233" s="51"/>
      <c r="G3233" s="51"/>
    </row>
    <row r="3234" spans="1:7" ht="17.25" x14ac:dyDescent="0.3">
      <c r="A3234" s="51"/>
      <c r="B3234" s="51"/>
      <c r="C3234" s="51"/>
      <c r="D3234" s="51"/>
      <c r="E3234" s="51"/>
      <c r="F3234" s="51"/>
      <c r="G3234" s="51"/>
    </row>
    <row r="3235" spans="1:7" ht="17.25" x14ac:dyDescent="0.3">
      <c r="A3235" s="51" t="s">
        <v>40</v>
      </c>
      <c r="B3235" s="51"/>
      <c r="C3235" s="51"/>
      <c r="D3235" s="51"/>
      <c r="E3235" s="51"/>
      <c r="F3235" s="51"/>
      <c r="G3235" s="51"/>
    </row>
    <row r="3236" spans="1:7" ht="17.25" x14ac:dyDescent="0.3">
      <c r="A3236" s="51"/>
      <c r="B3236" s="51"/>
      <c r="C3236" s="51"/>
      <c r="D3236" s="51"/>
      <c r="E3236" s="51"/>
      <c r="F3236" s="51"/>
      <c r="G3236" s="51"/>
    </row>
    <row r="3237" spans="1:7" ht="33" customHeight="1" x14ac:dyDescent="0.3">
      <c r="A3237" s="91" t="s">
        <v>484</v>
      </c>
      <c r="B3237" s="91"/>
      <c r="C3237" s="91"/>
      <c r="D3237" s="91"/>
      <c r="E3237" s="91"/>
      <c r="F3237" s="91"/>
      <c r="G3237" s="91"/>
    </row>
    <row r="3238" spans="1:7" ht="17.25" x14ac:dyDescent="0.3">
      <c r="A3238" s="51"/>
      <c r="B3238" s="51"/>
      <c r="C3238" s="51"/>
      <c r="D3238" s="51"/>
      <c r="E3238" s="51"/>
      <c r="F3238" s="51"/>
      <c r="G3238" s="51"/>
    </row>
    <row r="3239" spans="1:7" ht="33" customHeight="1" x14ac:dyDescent="0.3">
      <c r="A3239" s="91" t="s">
        <v>485</v>
      </c>
      <c r="B3239" s="91"/>
      <c r="C3239" s="91"/>
      <c r="D3239" s="91"/>
      <c r="E3239" s="91"/>
      <c r="F3239" s="91"/>
      <c r="G3239" s="91"/>
    </row>
    <row r="3240" spans="1:7" ht="17.25" x14ac:dyDescent="0.3">
      <c r="A3240" s="51"/>
      <c r="B3240" s="51"/>
      <c r="C3240" s="51"/>
      <c r="D3240" s="51"/>
      <c r="E3240" s="51"/>
      <c r="F3240" s="51"/>
      <c r="G3240" s="51"/>
    </row>
    <row r="3241" spans="1:7" ht="33" customHeight="1" x14ac:dyDescent="0.3">
      <c r="A3241" s="91"/>
      <c r="B3241" s="91"/>
      <c r="C3241" s="91"/>
      <c r="D3241" s="91"/>
      <c r="E3241" s="91"/>
      <c r="F3241" s="91"/>
      <c r="G3241" s="91"/>
    </row>
    <row r="3243" spans="1:7" ht="18.75" x14ac:dyDescent="0.3">
      <c r="A3243" s="1" t="s">
        <v>487</v>
      </c>
      <c r="B3243" s="2"/>
      <c r="C3243" s="2"/>
      <c r="D3243" s="2"/>
      <c r="E3243" s="2"/>
      <c r="F3243" s="2"/>
      <c r="G3243" s="53"/>
    </row>
    <row r="3244" spans="1:7" ht="15.75" x14ac:dyDescent="0.25">
      <c r="A3244" s="3" t="s">
        <v>1</v>
      </c>
      <c r="B3244" s="74" t="s">
        <v>3</v>
      </c>
      <c r="C3244" s="4"/>
      <c r="D3244" s="4"/>
      <c r="E3244" s="4"/>
      <c r="F3244" s="4"/>
      <c r="G3244" s="62" t="s">
        <v>30</v>
      </c>
    </row>
    <row r="3245" spans="1:7" ht="15.75" x14ac:dyDescent="0.25">
      <c r="A3245" s="5">
        <v>46091</v>
      </c>
      <c r="B3245" s="32" t="s">
        <v>5</v>
      </c>
      <c r="C3245" s="7"/>
      <c r="D3245" s="7"/>
      <c r="E3245" s="7"/>
      <c r="F3245" s="33"/>
      <c r="G3245" s="52">
        <v>1443.66</v>
      </c>
    </row>
    <row r="3246" spans="1:7" ht="15.75" x14ac:dyDescent="0.25">
      <c r="A3246" s="5">
        <v>46096</v>
      </c>
      <c r="B3246" s="32" t="s">
        <v>61</v>
      </c>
      <c r="C3246" s="7"/>
      <c r="D3246" s="7"/>
      <c r="E3246" s="7"/>
      <c r="F3246" s="33"/>
      <c r="G3246" s="52">
        <v>1231.1099999999999</v>
      </c>
    </row>
    <row r="3247" spans="1:7" ht="15.75" x14ac:dyDescent="0.25">
      <c r="A3247" s="5">
        <v>46098</v>
      </c>
      <c r="B3247" s="32" t="s">
        <v>9</v>
      </c>
      <c r="C3247" s="7"/>
      <c r="D3247" s="7"/>
      <c r="E3247" s="7"/>
      <c r="F3247" s="33"/>
      <c r="G3247" s="52">
        <v>404.07</v>
      </c>
    </row>
    <row r="3248" spans="1:7" ht="15.75" x14ac:dyDescent="0.25">
      <c r="A3248" s="5">
        <v>46101</v>
      </c>
      <c r="B3248" s="32" t="s">
        <v>438</v>
      </c>
      <c r="C3248" s="7"/>
      <c r="D3248" s="7"/>
      <c r="E3248" s="7"/>
      <c r="F3248" s="33"/>
      <c r="G3248" s="52">
        <v>238.45</v>
      </c>
    </row>
    <row r="3249" spans="1:7" ht="15.75" x14ac:dyDescent="0.25">
      <c r="A3249" s="5">
        <v>46078</v>
      </c>
      <c r="B3249" s="32" t="s">
        <v>486</v>
      </c>
      <c r="C3249" s="7"/>
      <c r="D3249" s="7"/>
      <c r="E3249" s="7"/>
      <c r="F3249" s="33"/>
      <c r="G3249" s="52">
        <v>259.06</v>
      </c>
    </row>
    <row r="3250" spans="1:7" ht="15.75" x14ac:dyDescent="0.25">
      <c r="A3250" s="5">
        <v>46111</v>
      </c>
      <c r="B3250" s="32" t="s">
        <v>14</v>
      </c>
      <c r="C3250" s="7"/>
      <c r="D3250" s="7"/>
      <c r="E3250" s="7"/>
      <c r="F3250" s="33"/>
      <c r="G3250" s="52">
        <v>162</v>
      </c>
    </row>
    <row r="3251" spans="1:7" ht="15.75" x14ac:dyDescent="0.25">
      <c r="A3251" s="5">
        <v>46083</v>
      </c>
      <c r="B3251" s="32" t="s">
        <v>15</v>
      </c>
      <c r="C3251" s="7"/>
      <c r="D3251" s="7"/>
      <c r="E3251" s="7"/>
      <c r="F3251" s="33"/>
      <c r="G3251" s="52">
        <v>65</v>
      </c>
    </row>
    <row r="3252" spans="1:7" ht="21" x14ac:dyDescent="0.35">
      <c r="A3252" s="9" t="s">
        <v>16</v>
      </c>
      <c r="B3252" s="10"/>
      <c r="C3252" s="10"/>
      <c r="D3252" s="10"/>
      <c r="E3252" s="10"/>
      <c r="F3252" s="10"/>
      <c r="G3252" s="12">
        <f>SUM(G3245:G3251)</f>
        <v>3803.35</v>
      </c>
    </row>
    <row r="3253" spans="1:7" ht="21" x14ac:dyDescent="0.35">
      <c r="A3253" s="13" t="s">
        <v>17</v>
      </c>
      <c r="B3253" s="11"/>
      <c r="C3253" s="11"/>
      <c r="D3253" s="11"/>
      <c r="E3253" s="11"/>
      <c r="F3253" s="11"/>
      <c r="G3253" s="14">
        <f>ROUND(G3252/14,2)</f>
        <v>271.67</v>
      </c>
    </row>
    <row r="3254" spans="1:7" ht="21" x14ac:dyDescent="0.35">
      <c r="A3254" s="13" t="s">
        <v>74</v>
      </c>
      <c r="B3254" s="11"/>
      <c r="C3254" s="11"/>
      <c r="D3254" s="11"/>
      <c r="E3254" s="11"/>
      <c r="F3254" s="11"/>
      <c r="G3254" s="14">
        <f>ROUND(G3253/13,2)</f>
        <v>20.9</v>
      </c>
    </row>
    <row r="3255" spans="1:7" ht="21" x14ac:dyDescent="0.35">
      <c r="A3255" s="13" t="s">
        <v>196</v>
      </c>
      <c r="B3255" s="11"/>
      <c r="C3255" s="11"/>
      <c r="D3255" s="11"/>
      <c r="E3255" s="11"/>
      <c r="F3255" s="11"/>
      <c r="G3255" s="14">
        <v>150</v>
      </c>
    </row>
    <row r="3256" spans="1:7" ht="21" x14ac:dyDescent="0.35">
      <c r="A3256" s="13" t="s">
        <v>19</v>
      </c>
      <c r="B3256" s="11"/>
      <c r="C3256" s="11"/>
      <c r="D3256" s="11"/>
      <c r="E3256" s="11"/>
      <c r="F3256" s="11"/>
      <c r="G3256" s="12">
        <f>G3253+G3254+G3255</f>
        <v>442.57</v>
      </c>
    </row>
    <row r="3268" spans="1:7" ht="21" x14ac:dyDescent="0.35">
      <c r="A3268" s="88" t="s">
        <v>20</v>
      </c>
      <c r="B3268" s="89"/>
      <c r="C3268" s="89"/>
      <c r="D3268" s="89"/>
      <c r="E3268" s="89"/>
      <c r="F3268" s="89"/>
      <c r="G3268" s="90"/>
    </row>
    <row r="3269" spans="1:7" ht="18.75" x14ac:dyDescent="0.25">
      <c r="A3269" s="19" t="s">
        <v>488</v>
      </c>
      <c r="B3269" s="15"/>
      <c r="C3269" s="15"/>
      <c r="D3269" s="15"/>
      <c r="E3269" s="15"/>
      <c r="F3269" s="15"/>
      <c r="G3269" s="16"/>
    </row>
    <row r="3270" spans="1:7" ht="15.75" x14ac:dyDescent="0.25">
      <c r="A3270" s="17"/>
      <c r="B3270" s="18"/>
      <c r="C3270" s="18"/>
      <c r="D3270" s="18"/>
      <c r="E3270" s="18"/>
      <c r="F3270" s="18"/>
      <c r="G3270" s="18"/>
    </row>
    <row r="3271" spans="1:7" ht="15.75" x14ac:dyDescent="0.25">
      <c r="A3271" s="17"/>
      <c r="B3271" s="18"/>
      <c r="C3271" s="18"/>
      <c r="D3271" s="18"/>
      <c r="E3271" s="18"/>
      <c r="F3271" s="18"/>
      <c r="G3271" s="18"/>
    </row>
    <row r="3272" spans="1:7" ht="15.75" x14ac:dyDescent="0.25">
      <c r="A3272" s="20" t="s">
        <v>22</v>
      </c>
      <c r="B3272" s="21" t="s">
        <v>23</v>
      </c>
      <c r="C3272" s="22"/>
      <c r="D3272" s="21" t="s">
        <v>24</v>
      </c>
      <c r="E3272" s="22"/>
      <c r="F3272" s="59" t="s">
        <v>25</v>
      </c>
      <c r="G3272" s="60" t="s">
        <v>26</v>
      </c>
    </row>
    <row r="3273" spans="1:7" ht="15.75" x14ac:dyDescent="0.25">
      <c r="A3273" s="23" t="s">
        <v>27</v>
      </c>
      <c r="B3273" s="24" t="s">
        <v>28</v>
      </c>
      <c r="C3273" s="24" t="s">
        <v>29</v>
      </c>
      <c r="D3273" s="24" t="s">
        <v>28</v>
      </c>
      <c r="E3273" s="24" t="s">
        <v>30</v>
      </c>
      <c r="F3273" s="58" t="s">
        <v>31</v>
      </c>
      <c r="G3273" s="61" t="s">
        <v>31</v>
      </c>
    </row>
    <row r="3274" spans="1:7" ht="15.75" x14ac:dyDescent="0.25">
      <c r="A3274" s="25" t="s">
        <v>32</v>
      </c>
      <c r="B3274" s="26">
        <v>0</v>
      </c>
      <c r="C3274" s="27">
        <v>0</v>
      </c>
      <c r="D3274" s="28">
        <v>0</v>
      </c>
      <c r="E3274" s="27">
        <v>0</v>
      </c>
      <c r="F3274" s="29">
        <v>0</v>
      </c>
      <c r="G3274" s="27">
        <v>0</v>
      </c>
    </row>
    <row r="3275" spans="1:7" ht="15.75" x14ac:dyDescent="0.25">
      <c r="A3275" s="30">
        <v>201</v>
      </c>
      <c r="B3275" s="26">
        <v>21.012</v>
      </c>
      <c r="C3275" s="27">
        <v>182.2</v>
      </c>
      <c r="D3275" s="28">
        <v>1.4999999999999999E-2</v>
      </c>
      <c r="E3275" s="27">
        <v>0.56999999999999995</v>
      </c>
      <c r="F3275" s="27">
        <v>442.57</v>
      </c>
      <c r="G3275" s="27">
        <v>626</v>
      </c>
    </row>
    <row r="3276" spans="1:7" ht="15.75" x14ac:dyDescent="0.25">
      <c r="A3276" s="30">
        <v>202</v>
      </c>
      <c r="B3276" s="26">
        <v>24.456</v>
      </c>
      <c r="C3276" s="27">
        <v>211.74</v>
      </c>
      <c r="D3276" s="28">
        <v>4.4870000000000001</v>
      </c>
      <c r="E3276" s="27">
        <v>169.95</v>
      </c>
      <c r="F3276" s="27">
        <v>442.57</v>
      </c>
      <c r="G3276" s="27">
        <v>825</v>
      </c>
    </row>
    <row r="3277" spans="1:7" ht="15.75" x14ac:dyDescent="0.25">
      <c r="A3277" s="30">
        <v>301</v>
      </c>
      <c r="B3277" s="26">
        <v>21.675000000000001</v>
      </c>
      <c r="C3277" s="27">
        <v>187.68</v>
      </c>
      <c r="D3277" s="28">
        <v>3.78</v>
      </c>
      <c r="E3277" s="27">
        <v>143.16999999999999</v>
      </c>
      <c r="F3277" s="27">
        <v>442.57</v>
      </c>
      <c r="G3277" s="27">
        <v>774</v>
      </c>
    </row>
    <row r="3278" spans="1:7" ht="15.75" x14ac:dyDescent="0.25">
      <c r="A3278" s="30">
        <v>302</v>
      </c>
      <c r="B3278" s="26">
        <v>17.439</v>
      </c>
      <c r="C3278" s="27">
        <v>151.33000000000001</v>
      </c>
      <c r="D3278" s="28">
        <v>1.534</v>
      </c>
      <c r="E3278" s="27">
        <v>58.1</v>
      </c>
      <c r="F3278" s="27">
        <v>442.57</v>
      </c>
      <c r="G3278" s="27">
        <v>652</v>
      </c>
    </row>
    <row r="3279" spans="1:7" ht="15.75" x14ac:dyDescent="0.25">
      <c r="A3279" s="30">
        <v>401</v>
      </c>
      <c r="B3279" s="26">
        <v>34.058999999999997</v>
      </c>
      <c r="C3279" s="27">
        <v>295.27</v>
      </c>
      <c r="D3279" s="28">
        <v>1.6419999999999999</v>
      </c>
      <c r="E3279" s="27">
        <v>62.19</v>
      </c>
      <c r="F3279" s="27">
        <v>442.57</v>
      </c>
      <c r="G3279" s="27">
        <v>801</v>
      </c>
    </row>
    <row r="3280" spans="1:7" ht="15.75" x14ac:dyDescent="0.25">
      <c r="A3280" s="30">
        <v>402</v>
      </c>
      <c r="B3280" s="26">
        <v>23.427</v>
      </c>
      <c r="C3280" s="27">
        <v>203.28</v>
      </c>
      <c r="D3280" s="28">
        <v>4.851</v>
      </c>
      <c r="E3280" s="27">
        <v>183.73</v>
      </c>
      <c r="F3280" s="27">
        <v>442.57</v>
      </c>
      <c r="G3280" s="27">
        <v>830</v>
      </c>
    </row>
    <row r="3281" spans="1:7" ht="15.75" x14ac:dyDescent="0.25">
      <c r="A3281" s="30">
        <v>501</v>
      </c>
      <c r="B3281" s="26">
        <v>46.356999999999999</v>
      </c>
      <c r="C3281" s="27">
        <v>401.84</v>
      </c>
      <c r="D3281" s="28">
        <v>1.19</v>
      </c>
      <c r="E3281" s="27">
        <v>45.07</v>
      </c>
      <c r="F3281" s="27">
        <v>442.57</v>
      </c>
      <c r="G3281" s="27">
        <v>890</v>
      </c>
    </row>
    <row r="3282" spans="1:7" ht="15.75" x14ac:dyDescent="0.25">
      <c r="A3282" s="30">
        <v>502</v>
      </c>
      <c r="B3282" s="26">
        <v>14.163</v>
      </c>
      <c r="C3282" s="27">
        <v>122.97</v>
      </c>
      <c r="D3282" s="28">
        <v>1.254</v>
      </c>
      <c r="E3282" s="27">
        <v>47.5</v>
      </c>
      <c r="F3282" s="27">
        <v>442.57</v>
      </c>
      <c r="G3282" s="27">
        <v>614</v>
      </c>
    </row>
    <row r="3283" spans="1:7" ht="15.75" x14ac:dyDescent="0.25">
      <c r="A3283" s="30">
        <v>601</v>
      </c>
      <c r="B3283" s="26">
        <v>3.5939999999999999</v>
      </c>
      <c r="C3283" s="27">
        <v>31.01</v>
      </c>
      <c r="D3283" s="28">
        <v>0.60499999999999998</v>
      </c>
      <c r="E3283" s="27">
        <v>22.91</v>
      </c>
      <c r="F3283" s="27">
        <v>442.57</v>
      </c>
      <c r="G3283" s="27">
        <v>497</v>
      </c>
    </row>
    <row r="3284" spans="1:7" ht="15.75" x14ac:dyDescent="0.25">
      <c r="A3284" s="30">
        <v>602</v>
      </c>
      <c r="B3284" s="26">
        <v>5.3609999999999998</v>
      </c>
      <c r="C3284" s="27">
        <v>46.3</v>
      </c>
      <c r="D3284" s="28">
        <v>1.0999999999999999E-2</v>
      </c>
      <c r="E3284" s="27">
        <v>0.42</v>
      </c>
      <c r="F3284" s="27">
        <v>442.57</v>
      </c>
      <c r="G3284" s="27">
        <v>490</v>
      </c>
    </row>
    <row r="3285" spans="1:7" ht="15.75" x14ac:dyDescent="0.25">
      <c r="A3285" s="30">
        <v>701</v>
      </c>
      <c r="B3285" s="26">
        <v>13.923999999999999</v>
      </c>
      <c r="C3285" s="27">
        <v>120.88</v>
      </c>
      <c r="D3285" s="28">
        <v>0.64200000000000002</v>
      </c>
      <c r="E3285" s="27">
        <v>24.32</v>
      </c>
      <c r="F3285" s="27">
        <v>442.57</v>
      </c>
      <c r="G3285" s="27">
        <v>588</v>
      </c>
    </row>
    <row r="3286" spans="1:7" ht="15.75" x14ac:dyDescent="0.25">
      <c r="A3286" s="30">
        <v>702</v>
      </c>
      <c r="B3286" s="26">
        <v>6.4909999999999997</v>
      </c>
      <c r="C3286" s="27">
        <v>56.3</v>
      </c>
      <c r="D3286" s="28">
        <v>3.9039999999999999</v>
      </c>
      <c r="E3286" s="27">
        <v>147.86000000000001</v>
      </c>
      <c r="F3286" s="27">
        <v>442.57</v>
      </c>
      <c r="G3286" s="27">
        <v>647</v>
      </c>
    </row>
    <row r="3287" spans="1:7" ht="15.75" x14ac:dyDescent="0.25">
      <c r="A3287" s="30">
        <v>801</v>
      </c>
      <c r="B3287" s="26">
        <v>5.407</v>
      </c>
      <c r="C3287" s="27">
        <v>47.04</v>
      </c>
      <c r="D3287" s="28">
        <v>0.28000000000000003</v>
      </c>
      <c r="E3287" s="27">
        <v>10.61</v>
      </c>
      <c r="F3287" s="27">
        <v>442.57</v>
      </c>
      <c r="G3287" s="27">
        <v>501</v>
      </c>
    </row>
    <row r="3288" spans="1:7" ht="15.75" x14ac:dyDescent="0.25">
      <c r="A3288" s="30">
        <v>802</v>
      </c>
      <c r="B3288" s="26">
        <v>12.903</v>
      </c>
      <c r="C3288" s="27">
        <v>112.06</v>
      </c>
      <c r="D3288" s="28">
        <v>1.873</v>
      </c>
      <c r="E3288" s="27">
        <v>70.94</v>
      </c>
      <c r="F3288" s="63">
        <v>442.57</v>
      </c>
      <c r="G3288" s="63">
        <v>626</v>
      </c>
    </row>
    <row r="3289" spans="1:7" x14ac:dyDescent="0.25">
      <c r="A3289" s="79"/>
      <c r="B3289" s="79"/>
      <c r="C3289" s="80"/>
      <c r="D3289" s="79"/>
      <c r="E3289" s="79"/>
      <c r="F3289" s="79"/>
      <c r="G3289" s="79"/>
    </row>
    <row r="3290" spans="1:7" x14ac:dyDescent="0.25">
      <c r="A3290" s="82"/>
      <c r="D3290" s="83"/>
    </row>
    <row r="3291" spans="1:7" x14ac:dyDescent="0.25">
      <c r="C3291" s="78"/>
    </row>
    <row r="3292" spans="1:7" x14ac:dyDescent="0.25">
      <c r="C3292" s="78"/>
    </row>
    <row r="3293" spans="1:7" x14ac:dyDescent="0.25">
      <c r="A3293" s="76"/>
      <c r="B3293" s="76"/>
      <c r="C3293" s="77"/>
      <c r="D3293" s="76"/>
      <c r="E3293" s="76"/>
      <c r="F3293" s="76"/>
      <c r="G3293" s="76"/>
    </row>
    <row r="3294" spans="1:7" ht="15.75" x14ac:dyDescent="0.25">
      <c r="A3294" s="34" t="s">
        <v>424</v>
      </c>
      <c r="B3294" s="35"/>
      <c r="C3294" s="35"/>
      <c r="D3294" s="92">
        <v>46053</v>
      </c>
      <c r="E3294" s="92"/>
      <c r="F3294" s="36"/>
      <c r="G3294" s="72">
        <v>35930.6</v>
      </c>
    </row>
    <row r="3295" spans="1:7" ht="15.75" x14ac:dyDescent="0.25">
      <c r="A3295" s="37" t="s">
        <v>423</v>
      </c>
      <c r="B3295" s="38"/>
      <c r="C3295" s="38"/>
      <c r="D3295" s="75">
        <v>46054</v>
      </c>
      <c r="E3295" s="38"/>
      <c r="F3295" s="39"/>
      <c r="G3295" s="72">
        <v>2100</v>
      </c>
    </row>
    <row r="3296" spans="1:7" ht="15.75" x14ac:dyDescent="0.25">
      <c r="A3296" s="37"/>
      <c r="B3296" s="38"/>
      <c r="C3296" s="38"/>
      <c r="D3296" s="38"/>
      <c r="E3296" s="38"/>
      <c r="F3296" s="39"/>
      <c r="G3296" s="84"/>
    </row>
    <row r="3297" spans="1:7" ht="15.75" x14ac:dyDescent="0.25">
      <c r="A3297" s="34" t="s">
        <v>422</v>
      </c>
      <c r="B3297" s="35"/>
      <c r="C3297" s="35"/>
      <c r="D3297" s="92">
        <v>46081</v>
      </c>
      <c r="E3297" s="92"/>
      <c r="F3297" s="36"/>
      <c r="G3297" s="72">
        <f>G3294+G3295-G3296</f>
        <v>38030.6</v>
      </c>
    </row>
    <row r="3298" spans="1:7" ht="18.75" x14ac:dyDescent="0.3">
      <c r="A3298" s="40"/>
      <c r="B3298" s="40"/>
      <c r="C3298" s="40"/>
      <c r="D3298" s="40"/>
      <c r="E3298" s="40"/>
      <c r="F3298" s="40"/>
      <c r="G3298" s="40"/>
    </row>
    <row r="3299" spans="1:7" ht="31.5" customHeight="1" x14ac:dyDescent="0.25">
      <c r="A3299" s="85" t="s">
        <v>54</v>
      </c>
      <c r="B3299" s="86"/>
      <c r="C3299" s="86"/>
      <c r="D3299" s="86"/>
      <c r="E3299" s="86"/>
      <c r="F3299" s="86"/>
      <c r="G3299" s="87"/>
    </row>
    <row r="3300" spans="1:7" ht="15.75" x14ac:dyDescent="0.25">
      <c r="A3300" s="41" t="s">
        <v>36</v>
      </c>
      <c r="B3300" s="42"/>
      <c r="C3300" s="42"/>
      <c r="D3300" s="42"/>
      <c r="E3300" s="42"/>
      <c r="F3300" s="42"/>
      <c r="G3300" s="43"/>
    </row>
    <row r="3301" spans="1:7" ht="15.75" x14ac:dyDescent="0.25">
      <c r="A3301" s="44" t="s">
        <v>37</v>
      </c>
      <c r="B3301" s="45"/>
      <c r="C3301" s="45"/>
      <c r="D3301" s="45"/>
      <c r="E3301" s="45"/>
      <c r="F3301" s="45"/>
      <c r="G3301" s="46"/>
    </row>
    <row r="3302" spans="1:7" ht="15.75" x14ac:dyDescent="0.25">
      <c r="A3302" s="47"/>
      <c r="B3302" s="47"/>
      <c r="C3302" s="47"/>
      <c r="D3302" s="47"/>
      <c r="E3302" s="47"/>
      <c r="F3302" s="47"/>
      <c r="G3302" s="47"/>
    </row>
    <row r="3303" spans="1:7" ht="15.75" x14ac:dyDescent="0.25">
      <c r="A3303" s="48" t="s">
        <v>50</v>
      </c>
      <c r="B3303" s="49"/>
      <c r="C3303" s="49"/>
      <c r="D3303" s="49"/>
      <c r="E3303" s="49"/>
      <c r="F3303" s="49"/>
      <c r="G3303" s="50"/>
    </row>
    <row r="3304" spans="1:7" ht="15.75" x14ac:dyDescent="0.25">
      <c r="A3304" s="47"/>
      <c r="B3304" s="47"/>
      <c r="C3304" s="47"/>
      <c r="D3304" s="47"/>
      <c r="E3304" s="47"/>
      <c r="F3304" s="47"/>
      <c r="G3304" s="47"/>
    </row>
    <row r="3305" spans="1:7" ht="15.75" x14ac:dyDescent="0.25">
      <c r="A3305" s="47"/>
      <c r="B3305" s="47"/>
      <c r="C3305" s="47"/>
      <c r="D3305" s="47"/>
      <c r="E3305" s="47"/>
      <c r="F3305" s="47"/>
      <c r="G3305" s="47"/>
    </row>
    <row r="3306" spans="1:7" ht="15.75" x14ac:dyDescent="0.25">
      <c r="A3306" s="47"/>
      <c r="B3306" s="47"/>
      <c r="C3306" s="47"/>
      <c r="D3306" s="47"/>
      <c r="E3306" s="47"/>
      <c r="F3306" s="47"/>
      <c r="G3306" s="47"/>
    </row>
    <row r="3314" spans="1:7" ht="21" x14ac:dyDescent="0.35">
      <c r="A3314" s="88" t="s">
        <v>20</v>
      </c>
      <c r="B3314" s="89"/>
      <c r="C3314" s="89"/>
      <c r="D3314" s="89"/>
      <c r="E3314" s="89"/>
      <c r="F3314" s="89"/>
      <c r="G3314" s="90"/>
    </row>
    <row r="3316" spans="1:7" ht="17.25" x14ac:dyDescent="0.3">
      <c r="A3316" s="51" t="s">
        <v>489</v>
      </c>
      <c r="B3316" s="51"/>
      <c r="C3316" s="51"/>
      <c r="D3316" s="51"/>
      <c r="E3316" s="51"/>
      <c r="F3316" s="51"/>
      <c r="G3316" s="51"/>
    </row>
    <row r="3317" spans="1:7" ht="17.25" x14ac:dyDescent="0.3">
      <c r="A3317" s="51"/>
      <c r="B3317" s="51"/>
      <c r="C3317" s="51"/>
      <c r="D3317" s="51"/>
      <c r="E3317" s="51"/>
      <c r="F3317" s="51"/>
      <c r="G3317" s="51"/>
    </row>
    <row r="3318" spans="1:7" ht="17.25" x14ac:dyDescent="0.3">
      <c r="A3318" s="51" t="s">
        <v>490</v>
      </c>
      <c r="B3318" s="51"/>
      <c r="C3318" s="51"/>
      <c r="D3318" s="51"/>
      <c r="E3318" s="51"/>
      <c r="F3318" s="51"/>
      <c r="G3318" s="51"/>
    </row>
    <row r="3319" spans="1:7" ht="17.25" x14ac:dyDescent="0.3">
      <c r="A3319" s="51"/>
      <c r="B3319" s="51"/>
      <c r="C3319" s="51"/>
      <c r="D3319" s="51"/>
      <c r="E3319" s="51"/>
      <c r="F3319" s="51"/>
      <c r="G3319" s="51"/>
    </row>
    <row r="3320" spans="1:7" ht="17.25" x14ac:dyDescent="0.3">
      <c r="A3320" s="51" t="s">
        <v>491</v>
      </c>
      <c r="B3320" s="51"/>
      <c r="C3320" s="51"/>
      <c r="D3320" s="51"/>
      <c r="E3320" s="51"/>
      <c r="F3320" s="51"/>
      <c r="G3320" s="51"/>
    </row>
    <row r="3321" spans="1:7" ht="17.25" x14ac:dyDescent="0.3">
      <c r="A3321" s="51"/>
      <c r="B3321" s="51"/>
      <c r="C3321" s="51"/>
      <c r="D3321" s="51"/>
      <c r="E3321" s="51"/>
      <c r="F3321" s="51"/>
      <c r="G3321" s="51"/>
    </row>
    <row r="3322" spans="1:7" ht="17.25" x14ac:dyDescent="0.3">
      <c r="A3322" s="51" t="s">
        <v>40</v>
      </c>
      <c r="B3322" s="51"/>
      <c r="C3322" s="51"/>
      <c r="D3322" s="51"/>
      <c r="E3322" s="51"/>
      <c r="F3322" s="51"/>
      <c r="G3322" s="51"/>
    </row>
    <row r="3323" spans="1:7" ht="17.25" x14ac:dyDescent="0.3">
      <c r="A3323" s="51"/>
      <c r="B3323" s="51"/>
      <c r="C3323" s="51"/>
      <c r="D3323" s="51"/>
      <c r="E3323" s="51"/>
      <c r="F3323" s="51"/>
      <c r="G3323" s="51"/>
    </row>
    <row r="3324" spans="1:7" ht="33" customHeight="1" x14ac:dyDescent="0.3">
      <c r="A3324" s="91" t="s">
        <v>492</v>
      </c>
      <c r="B3324" s="91"/>
      <c r="C3324" s="91"/>
      <c r="D3324" s="91"/>
      <c r="E3324" s="91"/>
      <c r="F3324" s="91"/>
      <c r="G3324" s="91"/>
    </row>
    <row r="3325" spans="1:7" ht="17.25" x14ac:dyDescent="0.3">
      <c r="A3325" s="51"/>
      <c r="B3325" s="51"/>
      <c r="C3325" s="51"/>
      <c r="D3325" s="51"/>
      <c r="E3325" s="51"/>
      <c r="F3325" s="51"/>
      <c r="G3325" s="51"/>
    </row>
    <row r="3326" spans="1:7" ht="33" customHeight="1" x14ac:dyDescent="0.3">
      <c r="A3326" s="91" t="s">
        <v>493</v>
      </c>
      <c r="B3326" s="91"/>
      <c r="C3326" s="91"/>
      <c r="D3326" s="91"/>
      <c r="E3326" s="91"/>
      <c r="F3326" s="91"/>
      <c r="G3326" s="91"/>
    </row>
    <row r="3327" spans="1:7" ht="17.25" x14ac:dyDescent="0.3">
      <c r="A3327" s="51"/>
      <c r="B3327" s="51"/>
      <c r="C3327" s="51"/>
      <c r="D3327" s="51"/>
      <c r="E3327" s="51"/>
      <c r="F3327" s="51"/>
      <c r="G3327" s="51"/>
    </row>
    <row r="3328" spans="1:7" ht="33" customHeight="1" x14ac:dyDescent="0.3">
      <c r="A3328" s="91"/>
      <c r="B3328" s="91"/>
      <c r="C3328" s="91"/>
      <c r="D3328" s="91"/>
      <c r="E3328" s="91"/>
      <c r="F3328" s="91"/>
      <c r="G3328" s="91"/>
    </row>
    <row r="3330" spans="1:7" ht="18.75" x14ac:dyDescent="0.3">
      <c r="A3330" s="1" t="s">
        <v>494</v>
      </c>
      <c r="B3330" s="2"/>
      <c r="C3330" s="2"/>
      <c r="D3330" s="2"/>
      <c r="E3330" s="2"/>
      <c r="F3330" s="2"/>
      <c r="G3330" s="53"/>
    </row>
    <row r="3331" spans="1:7" ht="15.75" x14ac:dyDescent="0.25">
      <c r="A3331" s="3" t="s">
        <v>1</v>
      </c>
      <c r="B3331" s="74" t="s">
        <v>3</v>
      </c>
      <c r="C3331" s="4"/>
      <c r="D3331" s="4"/>
      <c r="E3331" s="4"/>
      <c r="F3331" s="4"/>
      <c r="G3331" s="62" t="s">
        <v>30</v>
      </c>
    </row>
    <row r="3332" spans="1:7" ht="15.75" x14ac:dyDescent="0.25">
      <c r="A3332" s="5">
        <v>46122</v>
      </c>
      <c r="B3332" s="32" t="s">
        <v>5</v>
      </c>
      <c r="C3332" s="7"/>
      <c r="D3332" s="7"/>
      <c r="E3332" s="7"/>
      <c r="F3332" s="33"/>
      <c r="G3332" s="52">
        <v>1443.66</v>
      </c>
    </row>
    <row r="3333" spans="1:7" ht="15.75" x14ac:dyDescent="0.25">
      <c r="A3333" s="5">
        <v>46127</v>
      </c>
      <c r="B3333" s="32" t="s">
        <v>61</v>
      </c>
      <c r="C3333" s="7"/>
      <c r="D3333" s="7"/>
      <c r="E3333" s="7"/>
      <c r="F3333" s="33"/>
      <c r="G3333" s="52">
        <v>1231.1099999999999</v>
      </c>
    </row>
    <row r="3334" spans="1:7" ht="15.75" x14ac:dyDescent="0.25">
      <c r="A3334" s="5">
        <v>46127</v>
      </c>
      <c r="B3334" s="32" t="s">
        <v>449</v>
      </c>
      <c r="C3334" s="7"/>
      <c r="D3334" s="7"/>
      <c r="E3334" s="7"/>
      <c r="F3334" s="33"/>
      <c r="G3334" s="52">
        <v>236.41</v>
      </c>
    </row>
    <row r="3335" spans="1:7" ht="15.75" x14ac:dyDescent="0.25">
      <c r="A3335" s="5">
        <v>46129</v>
      </c>
      <c r="B3335" s="32" t="s">
        <v>9</v>
      </c>
      <c r="C3335" s="7"/>
      <c r="D3335" s="7"/>
      <c r="E3335" s="7"/>
      <c r="F3335" s="33"/>
      <c r="G3335" s="52">
        <v>429.96</v>
      </c>
    </row>
    <row r="3336" spans="1:7" ht="15.75" x14ac:dyDescent="0.25">
      <c r="A3336" s="5">
        <v>46132</v>
      </c>
      <c r="B3336" s="32" t="s">
        <v>438</v>
      </c>
      <c r="C3336" s="7"/>
      <c r="D3336" s="7"/>
      <c r="E3336" s="7"/>
      <c r="F3336" s="33"/>
      <c r="G3336" s="52">
        <v>238.45</v>
      </c>
    </row>
    <row r="3337" spans="1:7" ht="15.75" x14ac:dyDescent="0.25">
      <c r="A3337" s="5">
        <v>46106</v>
      </c>
      <c r="B3337" s="32" t="s">
        <v>496</v>
      </c>
      <c r="C3337" s="7"/>
      <c r="D3337" s="7"/>
      <c r="E3337" s="7"/>
      <c r="F3337" s="33"/>
      <c r="G3337" s="52">
        <v>259.06</v>
      </c>
    </row>
    <row r="3338" spans="1:7" ht="15.75" x14ac:dyDescent="0.25">
      <c r="A3338" s="5">
        <v>46140</v>
      </c>
      <c r="B3338" s="32" t="s">
        <v>14</v>
      </c>
      <c r="C3338" s="7"/>
      <c r="D3338" s="7"/>
      <c r="E3338" s="7"/>
      <c r="F3338" s="33"/>
      <c r="G3338" s="52">
        <v>162</v>
      </c>
    </row>
    <row r="3339" spans="1:7" ht="15.75" x14ac:dyDescent="0.25">
      <c r="A3339" s="5">
        <v>46113</v>
      </c>
      <c r="B3339" s="32" t="s">
        <v>15</v>
      </c>
      <c r="C3339" s="7"/>
      <c r="D3339" s="7"/>
      <c r="E3339" s="7"/>
      <c r="F3339" s="33"/>
      <c r="G3339" s="52">
        <v>65</v>
      </c>
    </row>
    <row r="3340" spans="1:7" ht="21" x14ac:dyDescent="0.35">
      <c r="A3340" s="9" t="s">
        <v>16</v>
      </c>
      <c r="B3340" s="10"/>
      <c r="C3340" s="10"/>
      <c r="D3340" s="10"/>
      <c r="E3340" s="10"/>
      <c r="F3340" s="10"/>
      <c r="G3340" s="12">
        <f>SUM(G3332:G3339)</f>
        <v>4065.6499999999996</v>
      </c>
    </row>
    <row r="3341" spans="1:7" ht="21" x14ac:dyDescent="0.35">
      <c r="A3341" s="13" t="s">
        <v>17</v>
      </c>
      <c r="B3341" s="11"/>
      <c r="C3341" s="11"/>
      <c r="D3341" s="11"/>
      <c r="E3341" s="11"/>
      <c r="F3341" s="11"/>
      <c r="G3341" s="14">
        <f>ROUND(G3340/14,2)</f>
        <v>290.39999999999998</v>
      </c>
    </row>
    <row r="3342" spans="1:7" ht="21" x14ac:dyDescent="0.35">
      <c r="A3342" s="13" t="s">
        <v>74</v>
      </c>
      <c r="B3342" s="11"/>
      <c r="C3342" s="11"/>
      <c r="D3342" s="11"/>
      <c r="E3342" s="11"/>
      <c r="F3342" s="11"/>
      <c r="G3342" s="14">
        <f>ROUND(G3341/13,2)</f>
        <v>22.34</v>
      </c>
    </row>
    <row r="3343" spans="1:7" ht="21" x14ac:dyDescent="0.35">
      <c r="A3343" s="13" t="s">
        <v>196</v>
      </c>
      <c r="B3343" s="11"/>
      <c r="C3343" s="11"/>
      <c r="D3343" s="11"/>
      <c r="E3343" s="11"/>
      <c r="F3343" s="11"/>
      <c r="G3343" s="14">
        <v>150</v>
      </c>
    </row>
    <row r="3344" spans="1:7" ht="21" x14ac:dyDescent="0.35">
      <c r="A3344" s="13" t="s">
        <v>19</v>
      </c>
      <c r="B3344" s="11"/>
      <c r="C3344" s="11"/>
      <c r="D3344" s="11"/>
      <c r="E3344" s="11"/>
      <c r="F3344" s="11"/>
      <c r="G3344" s="12">
        <f>G3341+G3342+G3343</f>
        <v>462.73999999999995</v>
      </c>
    </row>
    <row r="3355" spans="1:7" ht="21" x14ac:dyDescent="0.35">
      <c r="A3355" s="88" t="s">
        <v>20</v>
      </c>
      <c r="B3355" s="89"/>
      <c r="C3355" s="89"/>
      <c r="D3355" s="89"/>
      <c r="E3355" s="89"/>
      <c r="F3355" s="89"/>
      <c r="G3355" s="90"/>
    </row>
    <row r="3356" spans="1:7" ht="18.75" x14ac:dyDescent="0.25">
      <c r="A3356" s="19" t="s">
        <v>495</v>
      </c>
      <c r="B3356" s="15"/>
      <c r="C3356" s="15"/>
      <c r="D3356" s="15"/>
      <c r="E3356" s="15"/>
      <c r="F3356" s="15"/>
      <c r="G3356" s="16"/>
    </row>
    <row r="3357" spans="1:7" ht="15.75" x14ac:dyDescent="0.25">
      <c r="A3357" s="17"/>
      <c r="B3357" s="18"/>
      <c r="C3357" s="18"/>
      <c r="D3357" s="18"/>
      <c r="E3357" s="18"/>
      <c r="F3357" s="18"/>
      <c r="G3357" s="18"/>
    </row>
    <row r="3358" spans="1:7" ht="15.75" x14ac:dyDescent="0.25">
      <c r="A3358" s="17"/>
      <c r="B3358" s="18"/>
      <c r="C3358" s="18"/>
      <c r="D3358" s="18"/>
      <c r="E3358" s="18"/>
      <c r="F3358" s="18"/>
      <c r="G3358" s="18"/>
    </row>
    <row r="3359" spans="1:7" ht="15.75" x14ac:dyDescent="0.25">
      <c r="A3359" s="20" t="s">
        <v>22</v>
      </c>
      <c r="B3359" s="21" t="s">
        <v>23</v>
      </c>
      <c r="C3359" s="22"/>
      <c r="D3359" s="21" t="s">
        <v>24</v>
      </c>
      <c r="E3359" s="22"/>
      <c r="F3359" s="59" t="s">
        <v>25</v>
      </c>
      <c r="G3359" s="60" t="s">
        <v>26</v>
      </c>
    </row>
    <row r="3360" spans="1:7" ht="15.75" x14ac:dyDescent="0.25">
      <c r="A3360" s="23" t="s">
        <v>27</v>
      </c>
      <c r="B3360" s="24" t="s">
        <v>28</v>
      </c>
      <c r="C3360" s="24" t="s">
        <v>29</v>
      </c>
      <c r="D3360" s="24" t="s">
        <v>28</v>
      </c>
      <c r="E3360" s="24" t="s">
        <v>30</v>
      </c>
      <c r="F3360" s="58" t="s">
        <v>31</v>
      </c>
      <c r="G3360" s="61" t="s">
        <v>31</v>
      </c>
    </row>
    <row r="3361" spans="1:7" ht="15.75" x14ac:dyDescent="0.25">
      <c r="A3361" s="25" t="s">
        <v>32</v>
      </c>
      <c r="B3361" s="26">
        <v>18.457000000000001</v>
      </c>
      <c r="C3361" s="27">
        <v>236.41</v>
      </c>
      <c r="D3361" s="28">
        <v>0</v>
      </c>
      <c r="E3361" s="27">
        <v>0</v>
      </c>
      <c r="F3361" s="29">
        <v>0</v>
      </c>
      <c r="G3361" s="27">
        <v>0</v>
      </c>
    </row>
    <row r="3362" spans="1:7" ht="15.75" x14ac:dyDescent="0.25">
      <c r="A3362" s="30">
        <v>201</v>
      </c>
      <c r="B3362" s="26">
        <v>21.885999999999999</v>
      </c>
      <c r="C3362" s="27">
        <v>281.88</v>
      </c>
      <c r="D3362" s="28">
        <v>0</v>
      </c>
      <c r="E3362" s="27">
        <v>0</v>
      </c>
      <c r="F3362" s="27">
        <v>462.73999999999995</v>
      </c>
      <c r="G3362" s="27">
        <v>745</v>
      </c>
    </row>
    <row r="3363" spans="1:7" ht="15.75" x14ac:dyDescent="0.25">
      <c r="A3363" s="30">
        <v>202</v>
      </c>
      <c r="B3363" s="26">
        <v>16.763000000000002</v>
      </c>
      <c r="C3363" s="27">
        <v>215.24</v>
      </c>
      <c r="D3363" s="28">
        <v>2.7410000000000001</v>
      </c>
      <c r="E3363" s="27">
        <v>103.82</v>
      </c>
      <c r="F3363" s="27">
        <v>462.73999999999995</v>
      </c>
      <c r="G3363" s="27">
        <v>782</v>
      </c>
    </row>
    <row r="3364" spans="1:7" ht="15.75" x14ac:dyDescent="0.25">
      <c r="A3364" s="30">
        <v>301</v>
      </c>
      <c r="B3364" s="26">
        <v>19.759</v>
      </c>
      <c r="C3364" s="27">
        <v>253.65</v>
      </c>
      <c r="D3364" s="28">
        <v>4.0590000000000002</v>
      </c>
      <c r="E3364" s="27">
        <v>153.72999999999999</v>
      </c>
      <c r="F3364" s="27">
        <v>462.73999999999995</v>
      </c>
      <c r="G3364" s="27">
        <v>871</v>
      </c>
    </row>
    <row r="3365" spans="1:7" ht="15.75" x14ac:dyDescent="0.25">
      <c r="A3365" s="30">
        <v>302</v>
      </c>
      <c r="B3365" s="26">
        <v>19.988</v>
      </c>
      <c r="C3365" s="27">
        <v>256.58999999999997</v>
      </c>
      <c r="D3365" s="28">
        <v>2.4289999999999998</v>
      </c>
      <c r="E3365" s="27">
        <v>92</v>
      </c>
      <c r="F3365" s="27">
        <v>462.73999999999995</v>
      </c>
      <c r="G3365" s="27">
        <v>812</v>
      </c>
    </row>
    <row r="3366" spans="1:7" ht="15.75" x14ac:dyDescent="0.25">
      <c r="A3366" s="30">
        <v>401</v>
      </c>
      <c r="B3366" s="26">
        <v>25.559000000000001</v>
      </c>
      <c r="C3366" s="27">
        <v>329.05</v>
      </c>
      <c r="D3366" s="28">
        <v>1.4139999999999999</v>
      </c>
      <c r="E3366" s="27">
        <v>53.56</v>
      </c>
      <c r="F3366" s="27">
        <v>462.73999999999995</v>
      </c>
      <c r="G3366" s="27">
        <v>846</v>
      </c>
    </row>
    <row r="3367" spans="1:7" ht="15.75" x14ac:dyDescent="0.25">
      <c r="A3367" s="30">
        <v>402</v>
      </c>
      <c r="B3367" s="26">
        <v>23.777000000000001</v>
      </c>
      <c r="C3367" s="27">
        <v>305.87</v>
      </c>
      <c r="D3367" s="28">
        <v>4.82</v>
      </c>
      <c r="E3367" s="27">
        <v>182.56</v>
      </c>
      <c r="F3367" s="27">
        <v>462.73999999999995</v>
      </c>
      <c r="G3367" s="27">
        <v>952</v>
      </c>
    </row>
    <row r="3368" spans="1:7" ht="15.75" x14ac:dyDescent="0.25">
      <c r="A3368" s="30">
        <v>501</v>
      </c>
      <c r="B3368" s="26">
        <v>25.420999999999999</v>
      </c>
      <c r="C3368" s="27">
        <v>326.77999999999997</v>
      </c>
      <c r="D3368" s="28">
        <v>1.2130000000000001</v>
      </c>
      <c r="E3368" s="27">
        <v>45.94</v>
      </c>
      <c r="F3368" s="27">
        <v>462.73999999999995</v>
      </c>
      <c r="G3368" s="27">
        <v>836</v>
      </c>
    </row>
    <row r="3369" spans="1:7" ht="15.75" x14ac:dyDescent="0.25">
      <c r="A3369" s="30">
        <v>502</v>
      </c>
      <c r="B3369" s="26">
        <v>13.441000000000001</v>
      </c>
      <c r="C3369" s="27">
        <v>173.17</v>
      </c>
      <c r="D3369" s="28">
        <v>1.0289999999999999</v>
      </c>
      <c r="E3369" s="27">
        <v>38.97</v>
      </c>
      <c r="F3369" s="27">
        <v>462.73999999999995</v>
      </c>
      <c r="G3369" s="27">
        <v>675</v>
      </c>
    </row>
    <row r="3370" spans="1:7" ht="15.75" x14ac:dyDescent="0.25">
      <c r="A3370" s="30">
        <v>601</v>
      </c>
      <c r="B3370" s="26">
        <v>3.9790000000000001</v>
      </c>
      <c r="C3370" s="27">
        <v>50.68</v>
      </c>
      <c r="D3370" s="28">
        <v>0.58199999999999996</v>
      </c>
      <c r="E3370" s="27">
        <v>22.04</v>
      </c>
      <c r="F3370" s="27">
        <v>462.73999999999995</v>
      </c>
      <c r="G3370" s="27">
        <v>536</v>
      </c>
    </row>
    <row r="3371" spans="1:7" ht="15.75" x14ac:dyDescent="0.25">
      <c r="A3371" s="30">
        <v>602</v>
      </c>
      <c r="B3371" s="26">
        <v>0.68200000000000005</v>
      </c>
      <c r="C3371" s="27">
        <v>8.7899999999999991</v>
      </c>
      <c r="D3371" s="28">
        <v>0.13</v>
      </c>
      <c r="E3371" s="27">
        <v>4.92</v>
      </c>
      <c r="F3371" s="27">
        <v>462.73999999999995</v>
      </c>
      <c r="G3371" s="27">
        <v>477</v>
      </c>
    </row>
    <row r="3372" spans="1:7" ht="15.75" x14ac:dyDescent="0.25">
      <c r="A3372" s="30">
        <v>701</v>
      </c>
      <c r="B3372" s="26">
        <v>13.458</v>
      </c>
      <c r="C3372" s="27">
        <v>173.29</v>
      </c>
      <c r="D3372" s="28">
        <v>0.78500000000000003</v>
      </c>
      <c r="E3372" s="27">
        <v>29.73</v>
      </c>
      <c r="F3372" s="27">
        <v>462.73999999999995</v>
      </c>
      <c r="G3372" s="27">
        <v>666</v>
      </c>
    </row>
    <row r="3373" spans="1:7" ht="15.75" x14ac:dyDescent="0.25">
      <c r="A3373" s="30">
        <v>702</v>
      </c>
      <c r="B3373" s="26">
        <v>7.19</v>
      </c>
      <c r="C3373" s="27">
        <v>91.93</v>
      </c>
      <c r="D3373" s="28">
        <v>3.7610000000000001</v>
      </c>
      <c r="E3373" s="27">
        <v>142.44999999999999</v>
      </c>
      <c r="F3373" s="27">
        <v>462.73999999999995</v>
      </c>
      <c r="G3373" s="27">
        <v>698</v>
      </c>
    </row>
    <row r="3374" spans="1:7" ht="15.75" x14ac:dyDescent="0.25">
      <c r="A3374" s="30">
        <v>801</v>
      </c>
      <c r="B3374" s="26">
        <v>4.5309999999999997</v>
      </c>
      <c r="C3374" s="27">
        <v>58.51</v>
      </c>
      <c r="D3374" s="28">
        <v>0.42299999999999999</v>
      </c>
      <c r="E3374" s="27">
        <v>16.02</v>
      </c>
      <c r="F3374" s="27">
        <v>462.73999999999995</v>
      </c>
      <c r="G3374" s="27">
        <v>538</v>
      </c>
    </row>
    <row r="3375" spans="1:7" ht="15.75" x14ac:dyDescent="0.25">
      <c r="A3375" s="30">
        <v>802</v>
      </c>
      <c r="B3375" s="26">
        <v>14.109</v>
      </c>
      <c r="C3375" s="27">
        <v>181.86</v>
      </c>
      <c r="D3375" s="28">
        <v>2.44</v>
      </c>
      <c r="E3375" s="27">
        <v>92.42</v>
      </c>
      <c r="F3375" s="63">
        <v>462.73999999999995</v>
      </c>
      <c r="G3375" s="63">
        <v>738</v>
      </c>
    </row>
    <row r="3376" spans="1:7" x14ac:dyDescent="0.25">
      <c r="A3376" s="79"/>
      <c r="B3376" s="79"/>
      <c r="C3376" s="80"/>
      <c r="D3376" s="79"/>
      <c r="E3376" s="79"/>
      <c r="F3376" s="79"/>
      <c r="G3376" s="79"/>
    </row>
    <row r="3377" spans="1:7" x14ac:dyDescent="0.25">
      <c r="A3377" s="82"/>
      <c r="D3377" s="83"/>
    </row>
    <row r="3378" spans="1:7" x14ac:dyDescent="0.25">
      <c r="C3378" s="78"/>
    </row>
    <row r="3379" spans="1:7" x14ac:dyDescent="0.25">
      <c r="C3379" s="78"/>
    </row>
    <row r="3380" spans="1:7" x14ac:dyDescent="0.25">
      <c r="A3380" s="76"/>
      <c r="B3380" s="76"/>
      <c r="C3380" s="77"/>
      <c r="D3380" s="76"/>
      <c r="E3380" s="76"/>
      <c r="F3380" s="76"/>
      <c r="G3380" s="76"/>
    </row>
    <row r="3381" spans="1:7" ht="15.75" x14ac:dyDescent="0.25">
      <c r="A3381" s="34" t="s">
        <v>424</v>
      </c>
      <c r="B3381" s="35"/>
      <c r="C3381" s="35"/>
      <c r="D3381" s="92">
        <v>46081</v>
      </c>
      <c r="E3381" s="92"/>
      <c r="F3381" s="36"/>
      <c r="G3381" s="72">
        <v>38030.6</v>
      </c>
    </row>
    <row r="3382" spans="1:7" ht="15.75" x14ac:dyDescent="0.25">
      <c r="A3382" s="37" t="s">
        <v>423</v>
      </c>
      <c r="B3382" s="38"/>
      <c r="C3382" s="38"/>
      <c r="D3382" s="75">
        <v>46082</v>
      </c>
      <c r="E3382" s="38"/>
      <c r="F3382" s="39"/>
      <c r="G3382" s="72">
        <v>2100</v>
      </c>
    </row>
    <row r="3383" spans="1:7" ht="15.75" x14ac:dyDescent="0.25">
      <c r="A3383" s="37"/>
      <c r="B3383" s="38"/>
      <c r="C3383" s="38"/>
      <c r="D3383" s="38"/>
      <c r="E3383" s="38"/>
      <c r="F3383" s="39"/>
      <c r="G3383" s="84">
        <f>'[1]VRS. DEVIDOS E OUTROS'!F3480</f>
        <v>0</v>
      </c>
    </row>
    <row r="3384" spans="1:7" ht="15.75" x14ac:dyDescent="0.25">
      <c r="A3384" s="34" t="s">
        <v>422</v>
      </c>
      <c r="B3384" s="35"/>
      <c r="C3384" s="35"/>
      <c r="D3384" s="92">
        <v>46112</v>
      </c>
      <c r="E3384" s="92"/>
      <c r="F3384" s="36"/>
      <c r="G3384" s="72">
        <f>G3381+G3382-G3383</f>
        <v>40130.6</v>
      </c>
    </row>
    <row r="3385" spans="1:7" ht="18.75" x14ac:dyDescent="0.3">
      <c r="A3385" s="40"/>
      <c r="B3385" s="40"/>
      <c r="C3385" s="40"/>
      <c r="D3385" s="40"/>
      <c r="E3385" s="40"/>
      <c r="F3385" s="40"/>
      <c r="G3385" s="40"/>
    </row>
    <row r="3386" spans="1:7" ht="31.5" customHeight="1" x14ac:dyDescent="0.25">
      <c r="A3386" s="85" t="s">
        <v>54</v>
      </c>
      <c r="B3386" s="86"/>
      <c r="C3386" s="86"/>
      <c r="D3386" s="86"/>
      <c r="E3386" s="86"/>
      <c r="F3386" s="86"/>
      <c r="G3386" s="87"/>
    </row>
    <row r="3387" spans="1:7" ht="15.75" x14ac:dyDescent="0.25">
      <c r="A3387" s="41" t="s">
        <v>36</v>
      </c>
      <c r="B3387" s="42"/>
      <c r="C3387" s="42"/>
      <c r="D3387" s="42"/>
      <c r="E3387" s="42"/>
      <c r="F3387" s="42"/>
      <c r="G3387" s="43"/>
    </row>
    <row r="3388" spans="1:7" ht="15.75" x14ac:dyDescent="0.25">
      <c r="A3388" s="44" t="s">
        <v>37</v>
      </c>
      <c r="B3388" s="45"/>
      <c r="C3388" s="45"/>
      <c r="D3388" s="45"/>
      <c r="E3388" s="45"/>
      <c r="F3388" s="45"/>
      <c r="G3388" s="46"/>
    </row>
    <row r="3389" spans="1:7" ht="15.75" x14ac:dyDescent="0.25">
      <c r="A3389" s="47"/>
      <c r="B3389" s="47"/>
      <c r="C3389" s="47"/>
      <c r="D3389" s="47"/>
      <c r="E3389" s="47"/>
      <c r="F3389" s="47"/>
      <c r="G3389" s="47"/>
    </row>
    <row r="3390" spans="1:7" ht="15.75" x14ac:dyDescent="0.25">
      <c r="A3390" s="48" t="s">
        <v>50</v>
      </c>
      <c r="B3390" s="49"/>
      <c r="C3390" s="49"/>
      <c r="D3390" s="49"/>
      <c r="E3390" s="49"/>
      <c r="F3390" s="49"/>
      <c r="G3390" s="50"/>
    </row>
    <row r="3391" spans="1:7" ht="15.75" x14ac:dyDescent="0.25">
      <c r="A3391" s="47"/>
      <c r="B3391" s="47"/>
      <c r="C3391" s="47"/>
      <c r="D3391" s="47"/>
      <c r="E3391" s="47"/>
      <c r="F3391" s="47"/>
      <c r="G3391" s="47"/>
    </row>
    <row r="3392" spans="1:7" ht="15.75" x14ac:dyDescent="0.25">
      <c r="A3392" s="47"/>
      <c r="B3392" s="47"/>
      <c r="C3392" s="47"/>
      <c r="D3392" s="47"/>
      <c r="E3392" s="47"/>
      <c r="F3392" s="47"/>
      <c r="G3392" s="47"/>
    </row>
    <row r="3393" spans="1:7" ht="15.75" x14ac:dyDescent="0.25">
      <c r="A3393" s="47"/>
      <c r="B3393" s="47"/>
      <c r="C3393" s="47"/>
      <c r="D3393" s="47"/>
      <c r="E3393" s="47"/>
      <c r="F3393" s="47"/>
      <c r="G3393" s="47"/>
    </row>
  </sheetData>
  <mergeCells count="251">
    <mergeCell ref="A3140:G3140"/>
    <mergeCell ref="A3150:G3150"/>
    <mergeCell ref="A3152:G3152"/>
    <mergeCell ref="A3154:G3154"/>
    <mergeCell ref="A3181:G3181"/>
    <mergeCell ref="D3207:E3207"/>
    <mergeCell ref="D3210:E3210"/>
    <mergeCell ref="A3212:G3212"/>
    <mergeCell ref="A979:G979"/>
    <mergeCell ref="A981:G981"/>
    <mergeCell ref="A1007:G1007"/>
    <mergeCell ref="A1414:G1414"/>
    <mergeCell ref="A1154:G1154"/>
    <mergeCell ref="A1615:G1615"/>
    <mergeCell ref="A1354:G1354"/>
    <mergeCell ref="A1267:G1267"/>
    <mergeCell ref="A1180:G1180"/>
    <mergeCell ref="A1065:G1065"/>
    <mergeCell ref="A1210:G1210"/>
    <mergeCell ref="C1166:F1166"/>
    <mergeCell ref="A1067:G1067"/>
    <mergeCell ref="A1297:G1297"/>
    <mergeCell ref="A1226:G1226"/>
    <mergeCell ref="A1236:G1236"/>
    <mergeCell ref="A1327:G1327"/>
    <mergeCell ref="A1126:G1126"/>
    <mergeCell ref="A1069:G1069"/>
    <mergeCell ref="A1094:G1094"/>
    <mergeCell ref="A75:G75"/>
    <mergeCell ref="A1:G1"/>
    <mergeCell ref="A11:G11"/>
    <mergeCell ref="A13:G13"/>
    <mergeCell ref="A15:G15"/>
    <mergeCell ref="A43:G43"/>
    <mergeCell ref="A250:G250"/>
    <mergeCell ref="A177:G177"/>
    <mergeCell ref="A189:G189"/>
    <mergeCell ref="A191:G191"/>
    <mergeCell ref="A193:G193"/>
    <mergeCell ref="A218:G218"/>
    <mergeCell ref="A89:G89"/>
    <mergeCell ref="A131:G131"/>
    <mergeCell ref="A163:G163"/>
    <mergeCell ref="A101:G101"/>
    <mergeCell ref="A103:G103"/>
    <mergeCell ref="A105:G105"/>
    <mergeCell ref="A368:G368"/>
    <mergeCell ref="A393:G393"/>
    <mergeCell ref="A425:G425"/>
    <mergeCell ref="A703:G703"/>
    <mergeCell ref="A715:G715"/>
    <mergeCell ref="A717:G717"/>
    <mergeCell ref="A338:G338"/>
    <mergeCell ref="A264:G264"/>
    <mergeCell ref="A276:G276"/>
    <mergeCell ref="A278:G278"/>
    <mergeCell ref="A280:G280"/>
    <mergeCell ref="A306:G306"/>
    <mergeCell ref="A455:G455"/>
    <mergeCell ref="A352:G352"/>
    <mergeCell ref="A364:G364"/>
    <mergeCell ref="A439:G439"/>
    <mergeCell ref="A481:G481"/>
    <mergeCell ref="A513:G513"/>
    <mergeCell ref="A451:G451"/>
    <mergeCell ref="A453:G453"/>
    <mergeCell ref="A366:G366"/>
    <mergeCell ref="A776:G776"/>
    <mergeCell ref="A744:G744"/>
    <mergeCell ref="A864:G864"/>
    <mergeCell ref="A790:G790"/>
    <mergeCell ref="A878:G878"/>
    <mergeCell ref="A890:G890"/>
    <mergeCell ref="A689:G689"/>
    <mergeCell ref="A601:G601"/>
    <mergeCell ref="A527:G527"/>
    <mergeCell ref="A539:G539"/>
    <mergeCell ref="A541:G541"/>
    <mergeCell ref="A543:G543"/>
    <mergeCell ref="A569:G569"/>
    <mergeCell ref="A615:G615"/>
    <mergeCell ref="A629:G629"/>
    <mergeCell ref="A631:G631"/>
    <mergeCell ref="A657:G657"/>
    <mergeCell ref="A627:G627"/>
    <mergeCell ref="A719:G719"/>
    <mergeCell ref="A1384:G1384"/>
    <mergeCell ref="A1400:G1400"/>
    <mergeCell ref="A1410:G1410"/>
    <mergeCell ref="A1412:G1412"/>
    <mergeCell ref="A892:G892"/>
    <mergeCell ref="A894:G894"/>
    <mergeCell ref="A919:G919"/>
    <mergeCell ref="A802:G802"/>
    <mergeCell ref="A804:G804"/>
    <mergeCell ref="A806:G806"/>
    <mergeCell ref="A832:G832"/>
    <mergeCell ref="A951:G951"/>
    <mergeCell ref="A1039:G1039"/>
    <mergeCell ref="A1053:G1053"/>
    <mergeCell ref="A1313:G1313"/>
    <mergeCell ref="A1323:G1323"/>
    <mergeCell ref="A1325:G1325"/>
    <mergeCell ref="A1238:G1238"/>
    <mergeCell ref="A1240:G1240"/>
    <mergeCell ref="A1140:G1140"/>
    <mergeCell ref="A1150:G1150"/>
    <mergeCell ref="A1152:G1152"/>
    <mergeCell ref="A965:G965"/>
    <mergeCell ref="A977:G977"/>
    <mergeCell ref="A1748:G1748"/>
    <mergeCell ref="A1673:G1673"/>
    <mergeCell ref="A1675:G1675"/>
    <mergeCell ref="A1702:G1702"/>
    <mergeCell ref="A1574:G1574"/>
    <mergeCell ref="A1733:G1733"/>
    <mergeCell ref="A1441:G1441"/>
    <mergeCell ref="A1661:G1661"/>
    <mergeCell ref="A1671:G1671"/>
    <mergeCell ref="A1584:G1584"/>
    <mergeCell ref="A1586:G1586"/>
    <mergeCell ref="A1588:G1588"/>
    <mergeCell ref="A1472:G1472"/>
    <mergeCell ref="A1646:G1646"/>
    <mergeCell ref="A1487:G1487"/>
    <mergeCell ref="A1497:G1497"/>
    <mergeCell ref="A1499:G1499"/>
    <mergeCell ref="A1501:G1501"/>
    <mergeCell ref="A1528:G1528"/>
    <mergeCell ref="A1559:G1559"/>
    <mergeCell ref="A1758:G1758"/>
    <mergeCell ref="A1760:G1760"/>
    <mergeCell ref="A1762:G1762"/>
    <mergeCell ref="A1789:G1789"/>
    <mergeCell ref="A1820:G1820"/>
    <mergeCell ref="A1835:G1835"/>
    <mergeCell ref="A1849:G1849"/>
    <mergeCell ref="A1876:G1876"/>
    <mergeCell ref="A2023:G2023"/>
    <mergeCell ref="A2050:G2050"/>
    <mergeCell ref="A2081:G2081"/>
    <mergeCell ref="A2096:G2096"/>
    <mergeCell ref="A2106:G2106"/>
    <mergeCell ref="A2108:G2108"/>
    <mergeCell ref="A2183:G2183"/>
    <mergeCell ref="A1845:G1845"/>
    <mergeCell ref="A1847:G1847"/>
    <mergeCell ref="A2110:G2110"/>
    <mergeCell ref="A2137:G2137"/>
    <mergeCell ref="A2168:G2168"/>
    <mergeCell ref="A1936:G1936"/>
    <mergeCell ref="A1963:G1963"/>
    <mergeCell ref="A1994:G1994"/>
    <mergeCell ref="A2009:G2009"/>
    <mergeCell ref="A2019:G2019"/>
    <mergeCell ref="A2021:G2021"/>
    <mergeCell ref="A1907:G1907"/>
    <mergeCell ref="A1922:G1922"/>
    <mergeCell ref="A1932:G1932"/>
    <mergeCell ref="A1934:G1934"/>
    <mergeCell ref="A2541:G2541"/>
    <mergeCell ref="A2193:G2193"/>
    <mergeCell ref="A2195:G2195"/>
    <mergeCell ref="A2197:G2197"/>
    <mergeCell ref="A2224:G2224"/>
    <mergeCell ref="A2255:G2255"/>
    <mergeCell ref="A2270:G2270"/>
    <mergeCell ref="A2284:G2284"/>
    <mergeCell ref="A2311:G2311"/>
    <mergeCell ref="A2342:G2342"/>
    <mergeCell ref="A2280:G2280"/>
    <mergeCell ref="A2282:G2282"/>
    <mergeCell ref="A2371:G2371"/>
    <mergeCell ref="A2398:G2398"/>
    <mergeCell ref="A2429:G2429"/>
    <mergeCell ref="A2444:G2444"/>
    <mergeCell ref="A2454:G2454"/>
    <mergeCell ref="A2357:G2357"/>
    <mergeCell ref="A2367:G2367"/>
    <mergeCell ref="A2369:G2369"/>
    <mergeCell ref="A2531:G2531"/>
    <mergeCell ref="A2456:G2456"/>
    <mergeCell ref="A2458:G2458"/>
    <mergeCell ref="A2485:G2485"/>
    <mergeCell ref="A2516:G2516"/>
    <mergeCell ref="A2792:G2792"/>
    <mergeCell ref="A2802:G2802"/>
    <mergeCell ref="A2804:G2804"/>
    <mergeCell ref="A2806:G2806"/>
    <mergeCell ref="A2833:G2833"/>
    <mergeCell ref="D2859:E2859"/>
    <mergeCell ref="D2862:E2862"/>
    <mergeCell ref="A2864:G2864"/>
    <mergeCell ref="A2543:G2543"/>
    <mergeCell ref="A2545:G2545"/>
    <mergeCell ref="A2572:G2572"/>
    <mergeCell ref="A2603:G2603"/>
    <mergeCell ref="A2777:G2777"/>
    <mergeCell ref="D2775:E2775"/>
    <mergeCell ref="A2618:G2618"/>
    <mergeCell ref="A2628:G2628"/>
    <mergeCell ref="A2630:G2630"/>
    <mergeCell ref="A2632:G2632"/>
    <mergeCell ref="A2659:G2659"/>
    <mergeCell ref="A2690:G2690"/>
    <mergeCell ref="A2705:G2705"/>
    <mergeCell ref="A2715:G2715"/>
    <mergeCell ref="A2717:G2717"/>
    <mergeCell ref="A2719:G2719"/>
    <mergeCell ref="A2966:G2966"/>
    <mergeCell ref="A2976:G2976"/>
    <mergeCell ref="A2978:G2978"/>
    <mergeCell ref="A2980:G2980"/>
    <mergeCell ref="A3007:G3007"/>
    <mergeCell ref="D3033:E3033"/>
    <mergeCell ref="D3036:E3036"/>
    <mergeCell ref="A3038:G3038"/>
    <mergeCell ref="A2951:G2951"/>
    <mergeCell ref="A2746:G2746"/>
    <mergeCell ref="D2772:E2772"/>
    <mergeCell ref="A2879:G2879"/>
    <mergeCell ref="A2889:G2889"/>
    <mergeCell ref="A2891:G2891"/>
    <mergeCell ref="A2893:G2893"/>
    <mergeCell ref="A2920:G2920"/>
    <mergeCell ref="D2946:E2946"/>
    <mergeCell ref="D2949:E2949"/>
    <mergeCell ref="A3314:G3314"/>
    <mergeCell ref="A3324:G3324"/>
    <mergeCell ref="A3326:G3326"/>
    <mergeCell ref="A3328:G3328"/>
    <mergeCell ref="A3355:G3355"/>
    <mergeCell ref="D3381:E3381"/>
    <mergeCell ref="D3384:E3384"/>
    <mergeCell ref="A3386:G3386"/>
    <mergeCell ref="A3053:G3053"/>
    <mergeCell ref="A3063:G3063"/>
    <mergeCell ref="A3065:G3065"/>
    <mergeCell ref="A3067:G3067"/>
    <mergeCell ref="A3094:G3094"/>
    <mergeCell ref="D3120:E3120"/>
    <mergeCell ref="D3123:E3123"/>
    <mergeCell ref="A3227:G3227"/>
    <mergeCell ref="A3237:G3237"/>
    <mergeCell ref="A3239:G3239"/>
    <mergeCell ref="A3241:G3241"/>
    <mergeCell ref="A3268:G3268"/>
    <mergeCell ref="D3294:E3294"/>
    <mergeCell ref="D3297:E3297"/>
    <mergeCell ref="A3299:G3299"/>
    <mergeCell ref="A3125:G3125"/>
  </mergeCells>
  <printOptions horizontalCentered="1"/>
  <pageMargins left="0.98425196850393704" right="0.78740157480314965" top="0.78740157480314965" bottom="0.78740157480314965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D102-D417-40AB-A8C8-6009C2C1B4A9}">
  <dimension ref="A1:I84"/>
  <sheetViews>
    <sheetView view="pageBreakPreview" zoomScaleNormal="100" zoomScaleSheetLayoutView="100" workbookViewId="0">
      <selection sqref="A1:G1"/>
    </sheetView>
  </sheetViews>
  <sheetFormatPr defaultRowHeight="15" x14ac:dyDescent="0.25"/>
  <cols>
    <col min="2" max="2" width="9.28515625" customWidth="1"/>
    <col min="3" max="3" width="24.85546875" customWidth="1"/>
    <col min="7" max="7" width="12" customWidth="1"/>
  </cols>
  <sheetData>
    <row r="1" spans="1:9" ht="21" x14ac:dyDescent="0.35">
      <c r="A1" s="88" t="s">
        <v>20</v>
      </c>
      <c r="B1" s="89"/>
      <c r="C1" s="89"/>
      <c r="D1" s="89"/>
      <c r="E1" s="89"/>
      <c r="F1" s="89"/>
      <c r="G1" s="90"/>
      <c r="H1" s="56"/>
      <c r="I1" s="56"/>
    </row>
    <row r="3" spans="1:9" ht="17.25" x14ac:dyDescent="0.3">
      <c r="A3" s="51" t="s">
        <v>410</v>
      </c>
      <c r="B3" s="51"/>
      <c r="C3" s="51"/>
      <c r="D3" s="51"/>
      <c r="E3" s="51"/>
      <c r="F3" s="51"/>
      <c r="G3" s="51"/>
      <c r="H3" s="51"/>
      <c r="I3" s="51"/>
    </row>
    <row r="4" spans="1:9" ht="17.25" x14ac:dyDescent="0.3">
      <c r="A4" s="51"/>
      <c r="B4" s="51"/>
      <c r="C4" s="51"/>
      <c r="D4" s="51"/>
      <c r="E4" s="51"/>
      <c r="F4" s="51"/>
      <c r="G4" s="51"/>
      <c r="H4" s="51"/>
      <c r="I4" s="51"/>
    </row>
    <row r="5" spans="1:9" ht="17.25" x14ac:dyDescent="0.3">
      <c r="A5" s="51" t="s">
        <v>411</v>
      </c>
      <c r="B5" s="51"/>
      <c r="C5" s="51"/>
      <c r="D5" s="51"/>
      <c r="E5" s="51"/>
      <c r="F5" s="51"/>
      <c r="G5" s="51"/>
      <c r="H5" s="51"/>
      <c r="I5" s="51"/>
    </row>
    <row r="6" spans="1:9" ht="17.25" x14ac:dyDescent="0.3">
      <c r="A6" s="51"/>
      <c r="B6" s="51"/>
      <c r="C6" s="51"/>
      <c r="D6" s="51"/>
      <c r="E6" s="51"/>
      <c r="F6" s="51"/>
      <c r="G6" s="51"/>
      <c r="H6" s="51"/>
      <c r="I6" s="51"/>
    </row>
    <row r="7" spans="1:9" ht="17.25" x14ac:dyDescent="0.3">
      <c r="A7" s="51" t="s">
        <v>412</v>
      </c>
      <c r="B7" s="51"/>
      <c r="C7" s="51"/>
      <c r="D7" s="51"/>
      <c r="E7" s="51"/>
      <c r="F7" s="51"/>
      <c r="G7" s="51"/>
      <c r="H7" s="51"/>
      <c r="I7" s="51"/>
    </row>
    <row r="8" spans="1:9" ht="17.25" x14ac:dyDescent="0.3">
      <c r="A8" s="51"/>
      <c r="B8" s="51"/>
      <c r="C8" s="51"/>
      <c r="D8" s="51"/>
      <c r="E8" s="51"/>
      <c r="F8" s="51"/>
      <c r="G8" s="51"/>
      <c r="H8" s="51"/>
      <c r="I8" s="51"/>
    </row>
    <row r="9" spans="1:9" ht="17.25" x14ac:dyDescent="0.3">
      <c r="A9" s="51" t="s">
        <v>40</v>
      </c>
      <c r="B9" s="51"/>
      <c r="C9" s="51"/>
      <c r="D9" s="51"/>
      <c r="E9" s="51"/>
      <c r="F9" s="51"/>
      <c r="G9" s="51"/>
      <c r="H9" s="51"/>
      <c r="I9" s="51"/>
    </row>
    <row r="10" spans="1:9" ht="17.25" x14ac:dyDescent="0.3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33" customHeight="1" x14ac:dyDescent="0.3">
      <c r="A11" s="91" t="s">
        <v>413</v>
      </c>
      <c r="B11" s="91"/>
      <c r="C11" s="91"/>
      <c r="D11" s="91"/>
      <c r="E11" s="91"/>
      <c r="F11" s="91"/>
      <c r="G11" s="91"/>
      <c r="H11" s="55"/>
      <c r="I11" s="55"/>
    </row>
    <row r="12" spans="1:9" ht="17.25" x14ac:dyDescent="0.3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33" customHeight="1" x14ac:dyDescent="0.3">
      <c r="A13" s="91" t="s">
        <v>414</v>
      </c>
      <c r="B13" s="91"/>
      <c r="C13" s="91"/>
      <c r="D13" s="91"/>
      <c r="E13" s="91"/>
      <c r="F13" s="91"/>
      <c r="G13" s="91"/>
      <c r="H13" s="55"/>
      <c r="I13" s="55"/>
    </row>
    <row r="14" spans="1:9" ht="17.25" x14ac:dyDescent="0.3">
      <c r="A14" s="51"/>
      <c r="B14" s="51"/>
      <c r="C14" s="51"/>
      <c r="D14" s="51"/>
      <c r="E14" s="51"/>
      <c r="F14" s="51"/>
      <c r="G14" s="51"/>
      <c r="H14" s="51"/>
      <c r="I14" s="51"/>
    </row>
    <row r="15" spans="1:9" ht="33" customHeight="1" x14ac:dyDescent="0.3">
      <c r="A15" s="91"/>
      <c r="B15" s="91"/>
      <c r="C15" s="91"/>
      <c r="D15" s="91"/>
      <c r="E15" s="91"/>
      <c r="F15" s="91"/>
      <c r="G15" s="91"/>
      <c r="H15" s="55"/>
      <c r="I15" s="55"/>
    </row>
    <row r="17" spans="1:7" ht="18.75" x14ac:dyDescent="0.3">
      <c r="A17" s="1" t="s">
        <v>415</v>
      </c>
      <c r="B17" s="2"/>
      <c r="C17" s="2"/>
      <c r="D17" s="2"/>
      <c r="E17" s="2"/>
      <c r="F17" s="2"/>
      <c r="G17" s="53"/>
    </row>
    <row r="18" spans="1:7" ht="15.75" x14ac:dyDescent="0.25">
      <c r="A18" s="3" t="s">
        <v>1</v>
      </c>
      <c r="B18" s="74" t="s">
        <v>3</v>
      </c>
      <c r="C18" s="4"/>
      <c r="D18" s="4"/>
      <c r="E18" s="4"/>
      <c r="F18" s="4"/>
      <c r="G18" s="62" t="s">
        <v>30</v>
      </c>
    </row>
    <row r="19" spans="1:7" ht="15.75" x14ac:dyDescent="0.25">
      <c r="A19" s="5">
        <v>45880</v>
      </c>
      <c r="B19" s="32" t="s">
        <v>5</v>
      </c>
      <c r="C19" s="7"/>
      <c r="D19" s="7"/>
      <c r="E19" s="7"/>
      <c r="F19" s="33"/>
      <c r="G19" s="52">
        <v>1342.94</v>
      </c>
    </row>
    <row r="20" spans="1:7" ht="15.75" x14ac:dyDescent="0.25">
      <c r="A20" s="5">
        <v>45884</v>
      </c>
      <c r="B20" s="32" t="s">
        <v>61</v>
      </c>
      <c r="C20" s="7"/>
      <c r="D20" s="7"/>
      <c r="E20" s="7"/>
      <c r="F20" s="33"/>
      <c r="G20" s="52">
        <v>1231.1099999999999</v>
      </c>
    </row>
    <row r="21" spans="1:7" ht="15.75" x14ac:dyDescent="0.25">
      <c r="A21" s="5">
        <v>45887</v>
      </c>
      <c r="B21" s="32" t="s">
        <v>9</v>
      </c>
      <c r="C21" s="7"/>
      <c r="D21" s="7"/>
      <c r="E21" s="7"/>
      <c r="F21" s="33"/>
      <c r="G21" s="52">
        <v>440.76</v>
      </c>
    </row>
    <row r="22" spans="1:7" ht="15.75" x14ac:dyDescent="0.25">
      <c r="A22" s="5">
        <v>45889</v>
      </c>
      <c r="B22" s="32" t="s">
        <v>47</v>
      </c>
      <c r="C22" s="7"/>
      <c r="D22" s="7"/>
      <c r="E22" s="7"/>
      <c r="F22" s="33"/>
      <c r="G22" s="52">
        <v>226.01</v>
      </c>
    </row>
    <row r="23" spans="1:7" ht="15.75" x14ac:dyDescent="0.25">
      <c r="A23" s="5">
        <v>45870</v>
      </c>
      <c r="B23" s="32" t="s">
        <v>421</v>
      </c>
      <c r="C23" s="7"/>
      <c r="D23" s="7"/>
      <c r="E23" s="7"/>
      <c r="F23" s="33"/>
      <c r="G23" s="52">
        <v>24.6</v>
      </c>
    </row>
    <row r="24" spans="1:7" ht="15.75" x14ac:dyDescent="0.25">
      <c r="A24" s="5">
        <v>45845</v>
      </c>
      <c r="B24" s="32" t="s">
        <v>417</v>
      </c>
      <c r="C24" s="7"/>
      <c r="D24" s="7"/>
      <c r="E24" s="7"/>
      <c r="F24" s="33"/>
      <c r="G24" s="52">
        <v>28.9</v>
      </c>
    </row>
    <row r="25" spans="1:7" ht="15.75" x14ac:dyDescent="0.25">
      <c r="A25" s="5">
        <v>45897</v>
      </c>
      <c r="B25" s="32" t="s">
        <v>14</v>
      </c>
      <c r="C25" s="7"/>
      <c r="D25" s="7"/>
      <c r="E25" s="7"/>
      <c r="F25" s="33"/>
      <c r="G25" s="52">
        <v>151.6</v>
      </c>
    </row>
    <row r="26" spans="1:7" ht="15.75" customHeight="1" x14ac:dyDescent="0.25">
      <c r="A26" s="8">
        <v>45870</v>
      </c>
      <c r="B26" s="32" t="s">
        <v>15</v>
      </c>
      <c r="C26" s="7"/>
      <c r="D26" s="67"/>
      <c r="E26" s="67"/>
      <c r="F26" s="68"/>
      <c r="G26" s="52">
        <v>65</v>
      </c>
    </row>
    <row r="27" spans="1:7" ht="21" x14ac:dyDescent="0.35">
      <c r="A27" s="9" t="s">
        <v>16</v>
      </c>
      <c r="B27" s="10"/>
      <c r="C27" s="10"/>
      <c r="D27" s="10"/>
      <c r="E27" s="10"/>
      <c r="F27" s="10"/>
      <c r="G27" s="12">
        <f>SUM(G19:G26)</f>
        <v>3510.9200000000005</v>
      </c>
    </row>
    <row r="28" spans="1:7" ht="21" x14ac:dyDescent="0.35">
      <c r="A28" s="13" t="s">
        <v>17</v>
      </c>
      <c r="B28" s="11"/>
      <c r="C28" s="11"/>
      <c r="D28" s="11"/>
      <c r="E28" s="11"/>
      <c r="F28" s="11"/>
      <c r="G28" s="14">
        <f>ROUND(G27/14,2)</f>
        <v>250.78</v>
      </c>
    </row>
    <row r="29" spans="1:7" ht="21" x14ac:dyDescent="0.35">
      <c r="A29" s="13" t="s">
        <v>74</v>
      </c>
      <c r="B29" s="11"/>
      <c r="C29" s="11"/>
      <c r="D29" s="11"/>
      <c r="E29" s="11"/>
      <c r="F29" s="11"/>
      <c r="G29" s="14">
        <f>ROUND(G28/13,2)</f>
        <v>19.29</v>
      </c>
    </row>
    <row r="30" spans="1:7" ht="21" x14ac:dyDescent="0.35">
      <c r="A30" s="13" t="s">
        <v>196</v>
      </c>
      <c r="B30" s="11"/>
      <c r="C30" s="11"/>
      <c r="D30" s="11"/>
      <c r="E30" s="11"/>
      <c r="F30" s="11"/>
      <c r="G30" s="14">
        <v>150</v>
      </c>
    </row>
    <row r="31" spans="1:7" ht="21" x14ac:dyDescent="0.35">
      <c r="A31" s="13" t="s">
        <v>19</v>
      </c>
      <c r="B31" s="11"/>
      <c r="C31" s="11"/>
      <c r="D31" s="11"/>
      <c r="E31" s="11"/>
      <c r="F31" s="11"/>
      <c r="G31" s="12">
        <f>G28+G29+G30</f>
        <v>420.07</v>
      </c>
    </row>
    <row r="42" spans="1:7" ht="21" x14ac:dyDescent="0.35">
      <c r="A42" s="88" t="s">
        <v>20</v>
      </c>
      <c r="B42" s="89"/>
      <c r="C42" s="89"/>
      <c r="D42" s="89"/>
      <c r="E42" s="89"/>
      <c r="F42" s="89"/>
      <c r="G42" s="90"/>
    </row>
    <row r="43" spans="1:7" ht="18.75" x14ac:dyDescent="0.25">
      <c r="A43" s="19" t="s">
        <v>416</v>
      </c>
      <c r="B43" s="15"/>
      <c r="C43" s="15"/>
      <c r="D43" s="15"/>
      <c r="E43" s="15"/>
      <c r="F43" s="15"/>
      <c r="G43" s="16"/>
    </row>
    <row r="44" spans="1:7" ht="15.75" x14ac:dyDescent="0.25">
      <c r="A44" s="17"/>
      <c r="B44" s="18"/>
      <c r="C44" s="18"/>
      <c r="D44" s="18"/>
      <c r="E44" s="18"/>
      <c r="F44" s="18"/>
      <c r="G44" s="18"/>
    </row>
    <row r="45" spans="1:7" ht="15.75" x14ac:dyDescent="0.25">
      <c r="A45" s="17"/>
      <c r="B45" s="18"/>
      <c r="C45" s="18"/>
      <c r="D45" s="18"/>
      <c r="E45" s="18"/>
      <c r="F45" s="18"/>
      <c r="G45" s="18"/>
    </row>
    <row r="46" spans="1:7" ht="15.75" x14ac:dyDescent="0.25">
      <c r="A46" s="20" t="s">
        <v>22</v>
      </c>
      <c r="B46" s="21" t="s">
        <v>23</v>
      </c>
      <c r="C46" s="22"/>
      <c r="D46" s="21" t="s">
        <v>24</v>
      </c>
      <c r="E46" s="22"/>
      <c r="F46" s="59" t="s">
        <v>25</v>
      </c>
      <c r="G46" s="60" t="s">
        <v>26</v>
      </c>
    </row>
    <row r="47" spans="1:7" ht="15.75" x14ac:dyDescent="0.25">
      <c r="A47" s="23" t="s">
        <v>27</v>
      </c>
      <c r="B47" s="24" t="s">
        <v>28</v>
      </c>
      <c r="C47" s="24" t="s">
        <v>29</v>
      </c>
      <c r="D47" s="24" t="s">
        <v>28</v>
      </c>
      <c r="E47" s="24" t="s">
        <v>30</v>
      </c>
      <c r="F47" s="58" t="s">
        <v>31</v>
      </c>
      <c r="G47" s="61" t="s">
        <v>31</v>
      </c>
    </row>
    <row r="48" spans="1:7" ht="15.75" x14ac:dyDescent="0.25">
      <c r="A48" s="25" t="s">
        <v>32</v>
      </c>
      <c r="B48" s="26">
        <v>0</v>
      </c>
      <c r="C48" s="27">
        <v>0</v>
      </c>
      <c r="D48" s="28">
        <v>0</v>
      </c>
      <c r="E48" s="27">
        <v>0</v>
      </c>
      <c r="F48" s="29">
        <v>0</v>
      </c>
      <c r="G48" s="27">
        <v>0</v>
      </c>
    </row>
    <row r="49" spans="1:7" ht="15.75" x14ac:dyDescent="0.25">
      <c r="A49" s="30">
        <v>201</v>
      </c>
      <c r="B49" s="26">
        <v>14.55</v>
      </c>
      <c r="C49" s="27">
        <v>196.36</v>
      </c>
      <c r="D49" s="31">
        <v>2.5999999999999999E-2</v>
      </c>
      <c r="E49" s="27">
        <v>0.98</v>
      </c>
      <c r="F49" s="27">
        <v>420.07</v>
      </c>
      <c r="G49" s="27">
        <v>618</v>
      </c>
    </row>
    <row r="50" spans="1:7" ht="15.75" x14ac:dyDescent="0.25">
      <c r="A50" s="30">
        <v>202</v>
      </c>
      <c r="B50" s="26">
        <v>30.318999999999999</v>
      </c>
      <c r="C50" s="27">
        <v>407.09</v>
      </c>
      <c r="D50" s="28">
        <v>4.9009999999999998</v>
      </c>
      <c r="E50" s="27">
        <v>184.65</v>
      </c>
      <c r="F50" s="27">
        <v>420.07</v>
      </c>
      <c r="G50" s="27">
        <v>1012</v>
      </c>
    </row>
    <row r="51" spans="1:7" ht="15.75" x14ac:dyDescent="0.25">
      <c r="A51" s="30">
        <v>301</v>
      </c>
      <c r="B51" s="26">
        <v>18.923999999999999</v>
      </c>
      <c r="C51" s="27">
        <v>254.85</v>
      </c>
      <c r="D51" s="28">
        <v>3.3370000000000002</v>
      </c>
      <c r="E51" s="27">
        <v>125.72</v>
      </c>
      <c r="F51" s="27">
        <v>420.07</v>
      </c>
      <c r="G51" s="27">
        <v>801</v>
      </c>
    </row>
    <row r="52" spans="1:7" ht="15.75" x14ac:dyDescent="0.25">
      <c r="A52" s="30">
        <v>302</v>
      </c>
      <c r="B52" s="26">
        <v>27.603000000000002</v>
      </c>
      <c r="C52" s="27">
        <v>371.29</v>
      </c>
      <c r="D52" s="28">
        <v>1.764</v>
      </c>
      <c r="E52" s="27">
        <v>66.459999999999994</v>
      </c>
      <c r="F52" s="27">
        <v>420.07</v>
      </c>
      <c r="G52" s="27">
        <v>858</v>
      </c>
    </row>
    <row r="53" spans="1:7" ht="15.75" x14ac:dyDescent="0.25">
      <c r="A53" s="30">
        <v>401</v>
      </c>
      <c r="B53" s="26">
        <v>27.395</v>
      </c>
      <c r="C53" s="27">
        <v>368.04</v>
      </c>
      <c r="D53" s="28">
        <v>1.798</v>
      </c>
      <c r="E53" s="27">
        <v>67.739999999999995</v>
      </c>
      <c r="F53" s="27">
        <v>420.07</v>
      </c>
      <c r="G53" s="27">
        <v>856</v>
      </c>
    </row>
    <row r="54" spans="1:7" ht="15.75" x14ac:dyDescent="0.25">
      <c r="A54" s="30">
        <v>402</v>
      </c>
      <c r="B54" s="26">
        <v>56.386000000000003</v>
      </c>
      <c r="C54" s="27">
        <v>758.28</v>
      </c>
      <c r="D54" s="28">
        <v>4.4749999999999996</v>
      </c>
      <c r="E54" s="27">
        <v>168.6</v>
      </c>
      <c r="F54" s="27">
        <v>420.07</v>
      </c>
      <c r="G54" s="27">
        <v>1347</v>
      </c>
    </row>
    <row r="55" spans="1:7" ht="15.75" x14ac:dyDescent="0.25">
      <c r="A55" s="30">
        <v>501</v>
      </c>
      <c r="B55" s="26">
        <v>15.234</v>
      </c>
      <c r="C55" s="27">
        <v>204.94</v>
      </c>
      <c r="D55" s="28">
        <v>1.143</v>
      </c>
      <c r="E55" s="27">
        <v>43.06</v>
      </c>
      <c r="F55" s="27">
        <v>420.07</v>
      </c>
      <c r="G55" s="27">
        <v>669</v>
      </c>
    </row>
    <row r="56" spans="1:7" ht="15.75" x14ac:dyDescent="0.25">
      <c r="A56" s="30">
        <v>502</v>
      </c>
      <c r="B56" s="26">
        <v>14.728</v>
      </c>
      <c r="C56" s="27">
        <v>197.74</v>
      </c>
      <c r="D56" s="28">
        <v>1.3460000000000001</v>
      </c>
      <c r="E56" s="27">
        <v>50.71</v>
      </c>
      <c r="F56" s="27">
        <v>420.07</v>
      </c>
      <c r="G56" s="27">
        <v>669</v>
      </c>
    </row>
    <row r="57" spans="1:7" ht="15.75" x14ac:dyDescent="0.25">
      <c r="A57" s="30">
        <v>601</v>
      </c>
      <c r="B57" s="26">
        <v>3.8610000000000002</v>
      </c>
      <c r="C57" s="27">
        <v>51.23</v>
      </c>
      <c r="D57" s="28">
        <v>0.40300000000000002</v>
      </c>
      <c r="E57" s="27">
        <v>15.18</v>
      </c>
      <c r="F57" s="27">
        <v>420.07</v>
      </c>
      <c r="G57" s="27">
        <v>487</v>
      </c>
    </row>
    <row r="58" spans="1:7" ht="15.75" x14ac:dyDescent="0.25">
      <c r="A58" s="30">
        <v>602</v>
      </c>
      <c r="B58" s="26">
        <v>12.961</v>
      </c>
      <c r="C58" s="27">
        <v>174.21</v>
      </c>
      <c r="D58" s="28">
        <v>1.3360000000000001</v>
      </c>
      <c r="E58" s="27">
        <v>50.33</v>
      </c>
      <c r="F58" s="27">
        <v>420.07</v>
      </c>
      <c r="G58" s="27">
        <v>645</v>
      </c>
    </row>
    <row r="59" spans="1:7" ht="15.75" x14ac:dyDescent="0.25">
      <c r="A59" s="30">
        <v>701</v>
      </c>
      <c r="B59" s="26">
        <v>16.448</v>
      </c>
      <c r="C59" s="27">
        <v>220.9</v>
      </c>
      <c r="D59" s="28">
        <v>1.5289999999999999</v>
      </c>
      <c r="E59" s="27">
        <v>57.61</v>
      </c>
      <c r="F59" s="27">
        <v>420.07</v>
      </c>
      <c r="G59" s="27">
        <v>699</v>
      </c>
    </row>
    <row r="60" spans="1:7" ht="15.75" x14ac:dyDescent="0.25">
      <c r="A60" s="30">
        <v>702</v>
      </c>
      <c r="B60" s="26">
        <v>6.7519999999999998</v>
      </c>
      <c r="C60" s="27">
        <v>90.02</v>
      </c>
      <c r="D60" s="28">
        <v>4.1289999999999996</v>
      </c>
      <c r="E60" s="27">
        <v>155.56</v>
      </c>
      <c r="F60" s="27">
        <v>420.07</v>
      </c>
      <c r="G60" s="27">
        <v>666</v>
      </c>
    </row>
    <row r="61" spans="1:7" ht="15.75" x14ac:dyDescent="0.25">
      <c r="A61" s="30">
        <v>801</v>
      </c>
      <c r="B61" s="26">
        <v>5.867</v>
      </c>
      <c r="C61" s="27">
        <v>78.25</v>
      </c>
      <c r="D61" s="28">
        <v>1.0999999999999999E-2</v>
      </c>
      <c r="E61" s="27">
        <v>0.41</v>
      </c>
      <c r="F61" s="27">
        <v>420.07</v>
      </c>
      <c r="G61" s="27">
        <v>499</v>
      </c>
    </row>
    <row r="62" spans="1:7" ht="15.75" x14ac:dyDescent="0.25">
      <c r="A62" s="30">
        <v>802</v>
      </c>
      <c r="B62" s="26">
        <v>16.04</v>
      </c>
      <c r="C62" s="27">
        <v>216.1</v>
      </c>
      <c r="D62" s="28">
        <v>2.09</v>
      </c>
      <c r="E62" s="27">
        <v>78.739999999999995</v>
      </c>
      <c r="F62" s="27">
        <v>420.07</v>
      </c>
      <c r="G62" s="63">
        <v>715</v>
      </c>
    </row>
    <row r="64" spans="1:7" x14ac:dyDescent="0.25">
      <c r="A64" s="32"/>
      <c r="B64" s="7"/>
      <c r="C64" s="7"/>
      <c r="D64" s="7"/>
      <c r="E64" s="7"/>
      <c r="F64" s="7"/>
      <c r="G64" s="33"/>
    </row>
    <row r="65" spans="1:7" x14ac:dyDescent="0.25">
      <c r="A65" s="32"/>
      <c r="B65" s="7"/>
      <c r="C65" s="7"/>
      <c r="D65" s="7"/>
      <c r="E65" s="7"/>
      <c r="F65" s="7"/>
      <c r="G65" s="33"/>
    </row>
    <row r="66" spans="1:7" x14ac:dyDescent="0.25">
      <c r="A66" s="32"/>
      <c r="B66" s="7"/>
      <c r="C66" s="7"/>
      <c r="D66" s="7"/>
      <c r="E66" s="7"/>
      <c r="F66" s="7"/>
      <c r="G66" s="33"/>
    </row>
    <row r="68" spans="1:7" ht="15.75" x14ac:dyDescent="0.25">
      <c r="A68" s="34" t="s">
        <v>418</v>
      </c>
      <c r="B68" s="35"/>
      <c r="C68" s="35"/>
      <c r="D68" s="35"/>
      <c r="E68" s="35"/>
      <c r="F68" s="36"/>
      <c r="G68" s="72">
        <v>34040.28</v>
      </c>
    </row>
    <row r="69" spans="1:7" ht="15.75" x14ac:dyDescent="0.25">
      <c r="A69" s="37" t="s">
        <v>419</v>
      </c>
      <c r="B69" s="38"/>
      <c r="C69" s="38"/>
      <c r="D69" s="38"/>
      <c r="E69" s="38"/>
      <c r="F69" s="39"/>
      <c r="G69" s="72">
        <v>2100</v>
      </c>
    </row>
    <row r="70" spans="1:7" ht="15.75" x14ac:dyDescent="0.25">
      <c r="A70" s="37" t="s">
        <v>408</v>
      </c>
      <c r="B70" s="38"/>
      <c r="C70" s="38"/>
      <c r="D70" s="38"/>
      <c r="E70" s="38"/>
      <c r="F70" s="39"/>
      <c r="G70" s="72">
        <v>-9982.5400000000009</v>
      </c>
    </row>
    <row r="71" spans="1:7" ht="15.75" x14ac:dyDescent="0.25">
      <c r="A71" s="34" t="s">
        <v>420</v>
      </c>
      <c r="B71" s="35"/>
      <c r="C71" s="35"/>
      <c r="D71" s="35"/>
      <c r="E71" s="35"/>
      <c r="F71" s="36"/>
      <c r="G71" s="72">
        <f>SUM(G68:G70)</f>
        <v>26157.739999999998</v>
      </c>
    </row>
    <row r="72" spans="1:7" ht="18.75" x14ac:dyDescent="0.3">
      <c r="A72" s="40"/>
      <c r="B72" s="40"/>
      <c r="C72" s="40"/>
      <c r="D72" s="40"/>
      <c r="E72" s="40"/>
      <c r="F72" s="40"/>
      <c r="G72" s="40"/>
    </row>
    <row r="73" spans="1:7" ht="31.5" customHeight="1" x14ac:dyDescent="0.25">
      <c r="A73" s="85" t="s">
        <v>54</v>
      </c>
      <c r="B73" s="86"/>
      <c r="C73" s="86"/>
      <c r="D73" s="86"/>
      <c r="E73" s="86"/>
      <c r="F73" s="86"/>
      <c r="G73" s="87"/>
    </row>
    <row r="74" spans="1:7" ht="15.75" x14ac:dyDescent="0.25">
      <c r="A74" s="41" t="s">
        <v>36</v>
      </c>
      <c r="B74" s="42"/>
      <c r="C74" s="42"/>
      <c r="D74" s="42"/>
      <c r="E74" s="42"/>
      <c r="F74" s="42"/>
      <c r="G74" s="43"/>
    </row>
    <row r="75" spans="1:7" ht="15.75" x14ac:dyDescent="0.25">
      <c r="A75" s="44" t="s">
        <v>37</v>
      </c>
      <c r="B75" s="45"/>
      <c r="C75" s="45"/>
      <c r="D75" s="45"/>
      <c r="E75" s="45"/>
      <c r="F75" s="45"/>
      <c r="G75" s="46"/>
    </row>
    <row r="76" spans="1:7" ht="15.75" x14ac:dyDescent="0.25">
      <c r="A76" s="47"/>
      <c r="B76" s="47"/>
      <c r="C76" s="47"/>
      <c r="D76" s="47"/>
      <c r="E76" s="47"/>
      <c r="F76" s="47"/>
      <c r="G76" s="47"/>
    </row>
    <row r="77" spans="1:7" ht="15.75" x14ac:dyDescent="0.25">
      <c r="A77" s="48" t="s">
        <v>50</v>
      </c>
      <c r="B77" s="49"/>
      <c r="C77" s="49"/>
      <c r="D77" s="49"/>
      <c r="E77" s="49"/>
      <c r="F77" s="49"/>
      <c r="G77" s="50"/>
    </row>
    <row r="78" spans="1:7" ht="15.75" x14ac:dyDescent="0.25">
      <c r="A78" s="47"/>
      <c r="B78" s="47"/>
      <c r="C78" s="47"/>
      <c r="D78" s="47"/>
      <c r="E78" s="47"/>
      <c r="F78" s="47"/>
      <c r="G78" s="47"/>
    </row>
    <row r="79" spans="1:7" ht="15.75" x14ac:dyDescent="0.25">
      <c r="A79" s="47"/>
      <c r="B79" s="47"/>
      <c r="C79" s="47"/>
      <c r="D79" s="47"/>
      <c r="E79" s="47"/>
      <c r="F79" s="47"/>
      <c r="G79" s="47"/>
    </row>
    <row r="80" spans="1:7" ht="15.75" x14ac:dyDescent="0.25">
      <c r="A80" s="47"/>
      <c r="B80" s="47"/>
      <c r="C80" s="47"/>
      <c r="D80" s="47"/>
      <c r="E80" s="47"/>
      <c r="F80" s="47"/>
      <c r="G80" s="47"/>
    </row>
    <row r="81" customFormat="1" x14ac:dyDescent="0.25"/>
    <row r="82" customFormat="1" x14ac:dyDescent="0.25"/>
    <row r="83" customFormat="1" x14ac:dyDescent="0.25"/>
    <row r="84" customFormat="1" x14ac:dyDescent="0.25"/>
  </sheetData>
  <mergeCells count="6">
    <mergeCell ref="A42:G42"/>
    <mergeCell ref="A73:G73"/>
    <mergeCell ref="A1:G1"/>
    <mergeCell ref="A11:G11"/>
    <mergeCell ref="A13:G13"/>
    <mergeCell ref="A15:G15"/>
  </mergeCells>
  <printOptions horizontalCentered="1"/>
  <pageMargins left="0.98425196850393704" right="0.78740157480314965" top="0.78740157480314965" bottom="0.7874015748031496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9A49-3EEB-4A5A-8388-D86541B57292}">
  <dimension ref="A1:I84"/>
  <sheetViews>
    <sheetView view="pageBreakPreview" zoomScaleNormal="100" zoomScaleSheetLayoutView="100" workbookViewId="0">
      <selection sqref="A1:G1"/>
    </sheetView>
  </sheetViews>
  <sheetFormatPr defaultRowHeight="15" x14ac:dyDescent="0.25"/>
  <cols>
    <col min="2" max="2" width="9.28515625" customWidth="1"/>
    <col min="3" max="3" width="24.85546875" customWidth="1"/>
    <col min="7" max="7" width="12" customWidth="1"/>
  </cols>
  <sheetData>
    <row r="1" spans="1:9" ht="21" x14ac:dyDescent="0.35">
      <c r="A1" s="88" t="s">
        <v>20</v>
      </c>
      <c r="B1" s="89"/>
      <c r="C1" s="89"/>
      <c r="D1" s="89"/>
      <c r="E1" s="89"/>
      <c r="F1" s="89"/>
      <c r="G1" s="90"/>
      <c r="H1" s="56"/>
      <c r="I1" s="56"/>
    </row>
    <row r="3" spans="1:9" ht="17.25" x14ac:dyDescent="0.3">
      <c r="A3" s="51" t="s">
        <v>410</v>
      </c>
      <c r="B3" s="51"/>
      <c r="C3" s="51"/>
      <c r="D3" s="51"/>
      <c r="E3" s="51"/>
      <c r="F3" s="51"/>
      <c r="G3" s="51"/>
      <c r="H3" s="51"/>
      <c r="I3" s="51"/>
    </row>
    <row r="4" spans="1:9" ht="17.25" x14ac:dyDescent="0.3">
      <c r="A4" s="51"/>
      <c r="B4" s="51"/>
      <c r="C4" s="51"/>
      <c r="D4" s="51"/>
      <c r="E4" s="51"/>
      <c r="F4" s="51"/>
      <c r="G4" s="51"/>
      <c r="H4" s="51"/>
      <c r="I4" s="51"/>
    </row>
    <row r="5" spans="1:9" ht="17.25" x14ac:dyDescent="0.3">
      <c r="A5" s="51" t="s">
        <v>411</v>
      </c>
      <c r="B5" s="51"/>
      <c r="C5" s="51"/>
      <c r="D5" s="51"/>
      <c r="E5" s="51"/>
      <c r="F5" s="51"/>
      <c r="G5" s="51"/>
      <c r="H5" s="51"/>
      <c r="I5" s="51"/>
    </row>
    <row r="6" spans="1:9" ht="17.25" x14ac:dyDescent="0.3">
      <c r="A6" s="51"/>
      <c r="B6" s="51"/>
      <c r="C6" s="51"/>
      <c r="D6" s="51"/>
      <c r="E6" s="51"/>
      <c r="F6" s="51"/>
      <c r="G6" s="51"/>
      <c r="H6" s="51"/>
      <c r="I6" s="51"/>
    </row>
    <row r="7" spans="1:9" ht="17.25" x14ac:dyDescent="0.3">
      <c r="A7" s="51" t="s">
        <v>412</v>
      </c>
      <c r="B7" s="51"/>
      <c r="C7" s="51"/>
      <c r="D7" s="51"/>
      <c r="E7" s="51"/>
      <c r="F7" s="51"/>
      <c r="G7" s="51"/>
      <c r="H7" s="51"/>
      <c r="I7" s="51"/>
    </row>
    <row r="8" spans="1:9" ht="17.25" x14ac:dyDescent="0.3">
      <c r="A8" s="51"/>
      <c r="B8" s="51"/>
      <c r="C8" s="51"/>
      <c r="D8" s="51"/>
      <c r="E8" s="51"/>
      <c r="F8" s="51"/>
      <c r="G8" s="51"/>
      <c r="H8" s="51"/>
      <c r="I8" s="51"/>
    </row>
    <row r="9" spans="1:9" ht="17.25" x14ac:dyDescent="0.3">
      <c r="A9" s="51" t="s">
        <v>40</v>
      </c>
      <c r="B9" s="51"/>
      <c r="C9" s="51"/>
      <c r="D9" s="51"/>
      <c r="E9" s="51"/>
      <c r="F9" s="51"/>
      <c r="G9" s="51"/>
      <c r="H9" s="51"/>
      <c r="I9" s="51"/>
    </row>
    <row r="10" spans="1:9" ht="17.25" x14ac:dyDescent="0.3">
      <c r="A10" s="51"/>
      <c r="B10" s="51"/>
      <c r="C10" s="51"/>
      <c r="D10" s="51"/>
      <c r="E10" s="51"/>
      <c r="F10" s="51"/>
      <c r="G10" s="51"/>
      <c r="H10" s="51"/>
      <c r="I10" s="51"/>
    </row>
    <row r="11" spans="1:9" ht="33" customHeight="1" x14ac:dyDescent="0.3">
      <c r="A11" s="91" t="s">
        <v>413</v>
      </c>
      <c r="B11" s="91"/>
      <c r="C11" s="91"/>
      <c r="D11" s="91"/>
      <c r="E11" s="91"/>
      <c r="F11" s="91"/>
      <c r="G11" s="91"/>
      <c r="H11" s="55"/>
      <c r="I11" s="55"/>
    </row>
    <row r="12" spans="1:9" ht="17.25" x14ac:dyDescent="0.3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33" customHeight="1" x14ac:dyDescent="0.3">
      <c r="A13" s="91" t="s">
        <v>414</v>
      </c>
      <c r="B13" s="91"/>
      <c r="C13" s="91"/>
      <c r="D13" s="91"/>
      <c r="E13" s="91"/>
      <c r="F13" s="91"/>
      <c r="G13" s="91"/>
      <c r="H13" s="55"/>
      <c r="I13" s="55"/>
    </row>
    <row r="14" spans="1:9" ht="17.25" x14ac:dyDescent="0.3">
      <c r="A14" s="51"/>
      <c r="B14" s="51"/>
      <c r="C14" s="51"/>
      <c r="D14" s="51"/>
      <c r="E14" s="51"/>
      <c r="F14" s="51"/>
      <c r="G14" s="51"/>
      <c r="H14" s="51"/>
      <c r="I14" s="51"/>
    </row>
    <row r="15" spans="1:9" ht="33" customHeight="1" x14ac:dyDescent="0.3">
      <c r="A15" s="91"/>
      <c r="B15" s="91"/>
      <c r="C15" s="91"/>
      <c r="D15" s="91"/>
      <c r="E15" s="91"/>
      <c r="F15" s="91"/>
      <c r="G15" s="91"/>
      <c r="H15" s="55"/>
      <c r="I15" s="55"/>
    </row>
    <row r="17" spans="1:7" ht="18.75" x14ac:dyDescent="0.3">
      <c r="A17" s="1" t="s">
        <v>415</v>
      </c>
      <c r="B17" s="2"/>
      <c r="C17" s="2"/>
      <c r="D17" s="2"/>
      <c r="E17" s="2"/>
      <c r="F17" s="2"/>
      <c r="G17" s="53"/>
    </row>
    <row r="18" spans="1:7" ht="15.75" x14ac:dyDescent="0.25">
      <c r="A18" s="3" t="s">
        <v>1</v>
      </c>
      <c r="B18" s="74" t="s">
        <v>3</v>
      </c>
      <c r="C18" s="4"/>
      <c r="D18" s="4"/>
      <c r="E18" s="4"/>
      <c r="F18" s="4"/>
      <c r="G18" s="62" t="s">
        <v>30</v>
      </c>
    </row>
    <row r="19" spans="1:7" ht="15.75" x14ac:dyDescent="0.25">
      <c r="A19" s="5">
        <v>45880</v>
      </c>
      <c r="B19" s="32" t="s">
        <v>5</v>
      </c>
      <c r="C19" s="7"/>
      <c r="D19" s="7"/>
      <c r="E19" s="7"/>
      <c r="F19" s="33"/>
      <c r="G19" s="52">
        <v>1342.94</v>
      </c>
    </row>
    <row r="20" spans="1:7" ht="15.75" x14ac:dyDescent="0.25">
      <c r="A20" s="5">
        <v>45884</v>
      </c>
      <c r="B20" s="32" t="s">
        <v>61</v>
      </c>
      <c r="C20" s="7"/>
      <c r="D20" s="7"/>
      <c r="E20" s="7"/>
      <c r="F20" s="33"/>
      <c r="G20" s="52">
        <v>1231.1099999999999</v>
      </c>
    </row>
    <row r="21" spans="1:7" ht="15.75" x14ac:dyDescent="0.25">
      <c r="A21" s="5">
        <v>45887</v>
      </c>
      <c r="B21" s="32" t="s">
        <v>9</v>
      </c>
      <c r="C21" s="7"/>
      <c r="D21" s="7"/>
      <c r="E21" s="7"/>
      <c r="F21" s="33"/>
      <c r="G21" s="52">
        <v>440.76</v>
      </c>
    </row>
    <row r="22" spans="1:7" ht="15.75" x14ac:dyDescent="0.25">
      <c r="A22" s="5">
        <v>45889</v>
      </c>
      <c r="B22" s="32" t="s">
        <v>47</v>
      </c>
      <c r="C22" s="7"/>
      <c r="D22" s="7"/>
      <c r="E22" s="7"/>
      <c r="F22" s="33"/>
      <c r="G22" s="52">
        <v>226.01</v>
      </c>
    </row>
    <row r="23" spans="1:7" ht="15.75" x14ac:dyDescent="0.25">
      <c r="A23" s="5">
        <v>45870</v>
      </c>
      <c r="B23" s="32" t="s">
        <v>421</v>
      </c>
      <c r="C23" s="7"/>
      <c r="D23" s="7"/>
      <c r="E23" s="7"/>
      <c r="F23" s="33"/>
      <c r="G23" s="52">
        <v>24.6</v>
      </c>
    </row>
    <row r="24" spans="1:7" ht="15.75" x14ac:dyDescent="0.25">
      <c r="A24" s="5">
        <v>45845</v>
      </c>
      <c r="B24" s="32" t="s">
        <v>417</v>
      </c>
      <c r="C24" s="7"/>
      <c r="D24" s="7"/>
      <c r="E24" s="7"/>
      <c r="F24" s="33"/>
      <c r="G24" s="52">
        <v>28.9</v>
      </c>
    </row>
    <row r="25" spans="1:7" ht="15.75" x14ac:dyDescent="0.25">
      <c r="A25" s="5">
        <v>45897</v>
      </c>
      <c r="B25" s="32" t="s">
        <v>14</v>
      </c>
      <c r="C25" s="7"/>
      <c r="D25" s="7"/>
      <c r="E25" s="7"/>
      <c r="F25" s="33"/>
      <c r="G25" s="52">
        <v>151.6</v>
      </c>
    </row>
    <row r="26" spans="1:7" ht="15.75" customHeight="1" x14ac:dyDescent="0.25">
      <c r="A26" s="8">
        <v>45870</v>
      </c>
      <c r="B26" s="32" t="s">
        <v>15</v>
      </c>
      <c r="C26" s="7"/>
      <c r="D26" s="67"/>
      <c r="E26" s="67"/>
      <c r="F26" s="68"/>
      <c r="G26" s="52">
        <v>65</v>
      </c>
    </row>
    <row r="27" spans="1:7" ht="21" x14ac:dyDescent="0.35">
      <c r="A27" s="9" t="s">
        <v>16</v>
      </c>
      <c r="B27" s="10"/>
      <c r="C27" s="10"/>
      <c r="D27" s="10"/>
      <c r="E27" s="10"/>
      <c r="F27" s="10"/>
      <c r="G27" s="12">
        <f>SUM(G19:G26)</f>
        <v>3510.9200000000005</v>
      </c>
    </row>
    <row r="28" spans="1:7" ht="21" x14ac:dyDescent="0.35">
      <c r="A28" s="13" t="s">
        <v>17</v>
      </c>
      <c r="B28" s="11"/>
      <c r="C28" s="11"/>
      <c r="D28" s="11"/>
      <c r="E28" s="11"/>
      <c r="F28" s="11"/>
      <c r="G28" s="14">
        <f>ROUND(G27/14,2)</f>
        <v>250.78</v>
      </c>
    </row>
    <row r="29" spans="1:7" ht="21" x14ac:dyDescent="0.35">
      <c r="A29" s="13" t="s">
        <v>74</v>
      </c>
      <c r="B29" s="11"/>
      <c r="C29" s="11"/>
      <c r="D29" s="11"/>
      <c r="E29" s="11"/>
      <c r="F29" s="11"/>
      <c r="G29" s="14">
        <f>ROUND(G28/13,2)</f>
        <v>19.29</v>
      </c>
    </row>
    <row r="30" spans="1:7" ht="21" x14ac:dyDescent="0.35">
      <c r="A30" s="13" t="s">
        <v>196</v>
      </c>
      <c r="B30" s="11"/>
      <c r="C30" s="11"/>
      <c r="D30" s="11"/>
      <c r="E30" s="11"/>
      <c r="F30" s="11"/>
      <c r="G30" s="14">
        <v>150</v>
      </c>
    </row>
    <row r="31" spans="1:7" ht="21" x14ac:dyDescent="0.35">
      <c r="A31" s="13" t="s">
        <v>19</v>
      </c>
      <c r="B31" s="11"/>
      <c r="C31" s="11"/>
      <c r="D31" s="11"/>
      <c r="E31" s="11"/>
      <c r="F31" s="11"/>
      <c r="G31" s="12">
        <f>G28+G29+G30</f>
        <v>420.07</v>
      </c>
    </row>
    <row r="42" spans="1:7" ht="21" x14ac:dyDescent="0.35">
      <c r="A42" s="88" t="s">
        <v>20</v>
      </c>
      <c r="B42" s="89"/>
      <c r="C42" s="89"/>
      <c r="D42" s="89"/>
      <c r="E42" s="89"/>
      <c r="F42" s="89"/>
      <c r="G42" s="90"/>
    </row>
    <row r="43" spans="1:7" ht="18.75" x14ac:dyDescent="0.25">
      <c r="A43" s="19" t="s">
        <v>416</v>
      </c>
      <c r="B43" s="15"/>
      <c r="C43" s="15"/>
      <c r="D43" s="15"/>
      <c r="E43" s="15"/>
      <c r="F43" s="15"/>
      <c r="G43" s="16"/>
    </row>
    <row r="44" spans="1:7" ht="15.75" x14ac:dyDescent="0.25">
      <c r="A44" s="17"/>
      <c r="B44" s="18"/>
      <c r="C44" s="18"/>
      <c r="D44" s="18"/>
      <c r="E44" s="18"/>
      <c r="F44" s="18"/>
      <c r="G44" s="18"/>
    </row>
    <row r="45" spans="1:7" ht="15.75" x14ac:dyDescent="0.25">
      <c r="A45" s="17"/>
      <c r="B45" s="18"/>
      <c r="C45" s="18"/>
      <c r="D45" s="18"/>
      <c r="E45" s="18"/>
      <c r="F45" s="18"/>
      <c r="G45" s="18"/>
    </row>
    <row r="46" spans="1:7" ht="15.75" x14ac:dyDescent="0.25">
      <c r="A46" s="20" t="s">
        <v>22</v>
      </c>
      <c r="B46" s="21" t="s">
        <v>23</v>
      </c>
      <c r="C46" s="22"/>
      <c r="D46" s="21" t="s">
        <v>24</v>
      </c>
      <c r="E46" s="22"/>
      <c r="F46" s="59" t="s">
        <v>25</v>
      </c>
      <c r="G46" s="60" t="s">
        <v>26</v>
      </c>
    </row>
    <row r="47" spans="1:7" ht="15.75" x14ac:dyDescent="0.25">
      <c r="A47" s="23" t="s">
        <v>27</v>
      </c>
      <c r="B47" s="24" t="s">
        <v>28</v>
      </c>
      <c r="C47" s="24" t="s">
        <v>29</v>
      </c>
      <c r="D47" s="24" t="s">
        <v>28</v>
      </c>
      <c r="E47" s="24" t="s">
        <v>30</v>
      </c>
      <c r="F47" s="58" t="s">
        <v>31</v>
      </c>
      <c r="G47" s="61" t="s">
        <v>31</v>
      </c>
    </row>
    <row r="48" spans="1:7" ht="15.75" x14ac:dyDescent="0.25">
      <c r="A48" s="25" t="s">
        <v>32</v>
      </c>
      <c r="B48" s="26">
        <v>0</v>
      </c>
      <c r="C48" s="27">
        <v>0</v>
      </c>
      <c r="D48" s="28">
        <v>0</v>
      </c>
      <c r="E48" s="27">
        <v>0</v>
      </c>
      <c r="F48" s="29">
        <v>0</v>
      </c>
      <c r="G48" s="27">
        <v>0</v>
      </c>
    </row>
    <row r="49" spans="1:7" ht="15.75" x14ac:dyDescent="0.25">
      <c r="A49" s="30">
        <v>201</v>
      </c>
      <c r="B49" s="26">
        <v>14.55</v>
      </c>
      <c r="C49" s="27">
        <v>473.44</v>
      </c>
      <c r="D49" s="31">
        <v>2.5999999999999999E-2</v>
      </c>
      <c r="E49" s="27">
        <v>0.98</v>
      </c>
      <c r="F49" s="27">
        <v>420.07</v>
      </c>
      <c r="G49" s="27">
        <v>895</v>
      </c>
    </row>
    <row r="50" spans="1:7" ht="15.75" x14ac:dyDescent="0.25">
      <c r="A50" s="30">
        <v>202</v>
      </c>
      <c r="B50" s="26">
        <v>30.318999999999999</v>
      </c>
      <c r="C50" s="27">
        <v>986.54</v>
      </c>
      <c r="D50" s="28">
        <v>4.9009999999999998</v>
      </c>
      <c r="E50" s="27">
        <v>184.65</v>
      </c>
      <c r="F50" s="27">
        <v>420.07</v>
      </c>
      <c r="G50" s="27">
        <v>1592</v>
      </c>
    </row>
    <row r="51" spans="1:7" ht="15.75" x14ac:dyDescent="0.25">
      <c r="A51" s="30">
        <v>301</v>
      </c>
      <c r="B51" s="26">
        <v>18.923999999999999</v>
      </c>
      <c r="C51" s="27">
        <v>615.76</v>
      </c>
      <c r="D51" s="28">
        <v>3.3370000000000002</v>
      </c>
      <c r="E51" s="27">
        <v>125.72</v>
      </c>
      <c r="F51" s="27">
        <v>420.07</v>
      </c>
      <c r="G51" s="27">
        <v>1162</v>
      </c>
    </row>
    <row r="52" spans="1:7" ht="15.75" x14ac:dyDescent="0.25">
      <c r="A52" s="30">
        <v>302</v>
      </c>
      <c r="B52" s="26">
        <v>27.603000000000002</v>
      </c>
      <c r="C52" s="27">
        <v>898.17</v>
      </c>
      <c r="D52" s="28">
        <v>1.764</v>
      </c>
      <c r="E52" s="27">
        <v>66.459999999999994</v>
      </c>
      <c r="F52" s="27">
        <v>420.07</v>
      </c>
      <c r="G52" s="27">
        <v>1385</v>
      </c>
    </row>
    <row r="53" spans="1:7" ht="15.75" x14ac:dyDescent="0.25">
      <c r="A53" s="30">
        <v>401</v>
      </c>
      <c r="B53" s="26">
        <v>27.395</v>
      </c>
      <c r="C53" s="27">
        <v>891.4</v>
      </c>
      <c r="D53" s="28">
        <v>1.798</v>
      </c>
      <c r="E53" s="27">
        <v>67.739999999999995</v>
      </c>
      <c r="F53" s="27">
        <v>420.07</v>
      </c>
      <c r="G53" s="27">
        <v>1380</v>
      </c>
    </row>
    <row r="54" spans="1:7" ht="15.75" x14ac:dyDescent="0.25">
      <c r="A54" s="30">
        <v>402</v>
      </c>
      <c r="B54" s="26">
        <v>56.386000000000003</v>
      </c>
      <c r="C54" s="27">
        <v>1834.73</v>
      </c>
      <c r="D54" s="28">
        <v>4.4749999999999996</v>
      </c>
      <c r="E54" s="27">
        <v>168.6</v>
      </c>
      <c r="F54" s="27">
        <v>420.07</v>
      </c>
      <c r="G54" s="27">
        <v>2424</v>
      </c>
    </row>
    <row r="55" spans="1:7" ht="15.75" x14ac:dyDescent="0.25">
      <c r="A55" s="30">
        <v>501</v>
      </c>
      <c r="B55" s="26">
        <v>15.234</v>
      </c>
      <c r="C55" s="27">
        <v>495.69</v>
      </c>
      <c r="D55" s="28">
        <v>1.143</v>
      </c>
      <c r="E55" s="27">
        <v>43.06</v>
      </c>
      <c r="F55" s="27">
        <v>420.07</v>
      </c>
      <c r="G55" s="27">
        <v>959</v>
      </c>
    </row>
    <row r="56" spans="1:7" ht="15.75" x14ac:dyDescent="0.25">
      <c r="A56" s="30">
        <v>502</v>
      </c>
      <c r="B56" s="26">
        <v>14.728</v>
      </c>
      <c r="C56" s="27">
        <v>479.23</v>
      </c>
      <c r="D56" s="28">
        <v>1.3460000000000001</v>
      </c>
      <c r="E56" s="27">
        <v>50.71</v>
      </c>
      <c r="F56" s="27">
        <v>420.07</v>
      </c>
      <c r="G56" s="27">
        <v>951</v>
      </c>
    </row>
    <row r="57" spans="1:7" ht="15.75" x14ac:dyDescent="0.25">
      <c r="A57" s="30">
        <v>601</v>
      </c>
      <c r="B57" s="26">
        <v>3.8610000000000002</v>
      </c>
      <c r="C57" s="27">
        <v>125.63</v>
      </c>
      <c r="D57" s="28">
        <v>0.40300000000000002</v>
      </c>
      <c r="E57" s="27">
        <v>15.18</v>
      </c>
      <c r="F57" s="27">
        <v>420.07</v>
      </c>
      <c r="G57" s="27">
        <v>561</v>
      </c>
    </row>
    <row r="58" spans="1:7" ht="15.75" x14ac:dyDescent="0.25">
      <c r="A58" s="30">
        <v>602</v>
      </c>
      <c r="B58" s="26">
        <v>12.961</v>
      </c>
      <c r="C58" s="27">
        <v>421.73</v>
      </c>
      <c r="D58" s="28">
        <v>1.3360000000000001</v>
      </c>
      <c r="E58" s="27">
        <v>50.33</v>
      </c>
      <c r="F58" s="27">
        <v>420.07</v>
      </c>
      <c r="G58" s="27">
        <v>893</v>
      </c>
    </row>
    <row r="59" spans="1:7" ht="15.75" x14ac:dyDescent="0.25">
      <c r="A59" s="30">
        <v>701</v>
      </c>
      <c r="B59" s="26">
        <v>16.448</v>
      </c>
      <c r="C59" s="27">
        <v>535.20000000000005</v>
      </c>
      <c r="D59" s="28">
        <v>1.5289999999999999</v>
      </c>
      <c r="E59" s="27">
        <v>57.61</v>
      </c>
      <c r="F59" s="27">
        <v>420.07</v>
      </c>
      <c r="G59" s="27">
        <v>1013</v>
      </c>
    </row>
    <row r="60" spans="1:7" ht="15.75" x14ac:dyDescent="0.25">
      <c r="A60" s="30">
        <v>702</v>
      </c>
      <c r="B60" s="26">
        <v>6.7519999999999998</v>
      </c>
      <c r="C60" s="27">
        <v>219.7</v>
      </c>
      <c r="D60" s="28">
        <v>4.1289999999999996</v>
      </c>
      <c r="E60" s="27">
        <v>155.56</v>
      </c>
      <c r="F60" s="27">
        <v>420.07</v>
      </c>
      <c r="G60" s="27">
        <v>796</v>
      </c>
    </row>
    <row r="61" spans="1:7" ht="15.75" x14ac:dyDescent="0.25">
      <c r="A61" s="30">
        <v>801</v>
      </c>
      <c r="B61" s="26">
        <v>5.867</v>
      </c>
      <c r="C61" s="27">
        <v>190.9</v>
      </c>
      <c r="D61" s="28">
        <v>1.0999999999999999E-2</v>
      </c>
      <c r="E61" s="27">
        <v>0.41</v>
      </c>
      <c r="F61" s="27">
        <v>420.07</v>
      </c>
      <c r="G61" s="27">
        <v>612</v>
      </c>
    </row>
    <row r="62" spans="1:7" ht="15.75" x14ac:dyDescent="0.25">
      <c r="A62" s="30">
        <v>802</v>
      </c>
      <c r="B62" s="26">
        <v>16.04</v>
      </c>
      <c r="C62" s="27">
        <v>521.91999999999996</v>
      </c>
      <c r="D62" s="28">
        <v>2.09</v>
      </c>
      <c r="E62" s="27">
        <v>78.739999999999995</v>
      </c>
      <c r="F62" s="27">
        <v>420.07</v>
      </c>
      <c r="G62" s="63">
        <v>1021</v>
      </c>
    </row>
    <row r="63" spans="1:7" x14ac:dyDescent="0.25">
      <c r="A63" s="32"/>
      <c r="B63" s="7"/>
      <c r="C63" s="7"/>
      <c r="D63" s="7"/>
      <c r="E63" s="7"/>
      <c r="F63" s="7"/>
      <c r="G63" s="33"/>
    </row>
    <row r="64" spans="1:7" x14ac:dyDescent="0.25">
      <c r="A64" s="32"/>
      <c r="B64" s="7"/>
      <c r="C64" s="7"/>
      <c r="D64" s="7"/>
      <c r="E64" s="7"/>
      <c r="F64" s="7"/>
      <c r="G64" s="33"/>
    </row>
    <row r="65" spans="1:7" x14ac:dyDescent="0.25">
      <c r="A65" s="32"/>
      <c r="B65" s="7"/>
      <c r="C65" s="7"/>
      <c r="D65" s="7"/>
      <c r="E65" s="7"/>
      <c r="F65" s="7"/>
      <c r="G65" s="33"/>
    </row>
    <row r="66" spans="1:7" x14ac:dyDescent="0.25">
      <c r="A66" s="32"/>
      <c r="B66" s="7"/>
      <c r="C66" s="7"/>
      <c r="D66" s="7"/>
      <c r="E66" s="7"/>
      <c r="F66" s="7"/>
      <c r="G66" s="33"/>
    </row>
    <row r="67" spans="1:7" x14ac:dyDescent="0.25">
      <c r="A67" s="32"/>
      <c r="B67" s="7"/>
      <c r="C67" s="7"/>
      <c r="D67" s="7"/>
      <c r="E67" s="7"/>
      <c r="F67" s="7"/>
      <c r="G67" s="33"/>
    </row>
    <row r="68" spans="1:7" ht="15.75" x14ac:dyDescent="0.25">
      <c r="A68" s="34" t="s">
        <v>418</v>
      </c>
      <c r="B68" s="35"/>
      <c r="C68" s="35"/>
      <c r="D68" s="35"/>
      <c r="E68" s="35"/>
      <c r="F68" s="36"/>
      <c r="G68" s="72">
        <v>34040.28</v>
      </c>
    </row>
    <row r="69" spans="1:7" ht="15.75" x14ac:dyDescent="0.25">
      <c r="A69" s="37" t="s">
        <v>419</v>
      </c>
      <c r="B69" s="38"/>
      <c r="C69" s="38"/>
      <c r="D69" s="38"/>
      <c r="E69" s="38"/>
      <c r="F69" s="39"/>
      <c r="G69" s="72">
        <v>2100</v>
      </c>
    </row>
    <row r="70" spans="1:7" ht="15.75" x14ac:dyDescent="0.25">
      <c r="A70" s="37" t="s">
        <v>408</v>
      </c>
      <c r="B70" s="38"/>
      <c r="C70" s="38"/>
      <c r="D70" s="38"/>
      <c r="E70" s="38"/>
      <c r="F70" s="39"/>
      <c r="G70" s="72">
        <v>-9982.5400000000009</v>
      </c>
    </row>
    <row r="71" spans="1:7" ht="15.75" x14ac:dyDescent="0.25">
      <c r="A71" s="34" t="s">
        <v>420</v>
      </c>
      <c r="B71" s="35"/>
      <c r="C71" s="35"/>
      <c r="D71" s="35"/>
      <c r="E71" s="35"/>
      <c r="F71" s="36"/>
      <c r="G71" s="72">
        <f>SUM(G68:G70)</f>
        <v>26157.739999999998</v>
      </c>
    </row>
    <row r="72" spans="1:7" ht="18.75" x14ac:dyDescent="0.3">
      <c r="A72" s="40"/>
      <c r="B72" s="40"/>
      <c r="C72" s="40"/>
      <c r="D72" s="40"/>
      <c r="E72" s="40"/>
      <c r="F72" s="40"/>
      <c r="G72" s="40"/>
    </row>
    <row r="73" spans="1:7" ht="31.5" customHeight="1" x14ac:dyDescent="0.25">
      <c r="A73" s="85" t="s">
        <v>54</v>
      </c>
      <c r="B73" s="86"/>
      <c r="C73" s="86"/>
      <c r="D73" s="86"/>
      <c r="E73" s="86"/>
      <c r="F73" s="86"/>
      <c r="G73" s="87"/>
    </row>
    <row r="74" spans="1:7" ht="15.75" x14ac:dyDescent="0.25">
      <c r="A74" s="41" t="s">
        <v>36</v>
      </c>
      <c r="B74" s="42"/>
      <c r="C74" s="42"/>
      <c r="D74" s="42"/>
      <c r="E74" s="42"/>
      <c r="F74" s="42"/>
      <c r="G74" s="43"/>
    </row>
    <row r="75" spans="1:7" ht="15.75" x14ac:dyDescent="0.25">
      <c r="A75" s="44" t="s">
        <v>37</v>
      </c>
      <c r="B75" s="45"/>
      <c r="C75" s="45"/>
      <c r="D75" s="45"/>
      <c r="E75" s="45"/>
      <c r="F75" s="45"/>
      <c r="G75" s="46"/>
    </row>
    <row r="76" spans="1:7" ht="15.75" x14ac:dyDescent="0.25">
      <c r="A76" s="47"/>
      <c r="B76" s="47"/>
      <c r="C76" s="47"/>
      <c r="D76" s="47"/>
      <c r="E76" s="47"/>
      <c r="F76" s="47"/>
      <c r="G76" s="47"/>
    </row>
    <row r="77" spans="1:7" ht="15.75" x14ac:dyDescent="0.25">
      <c r="A77" s="48" t="s">
        <v>50</v>
      </c>
      <c r="B77" s="49"/>
      <c r="C77" s="49"/>
      <c r="D77" s="49"/>
      <c r="E77" s="49"/>
      <c r="F77" s="49"/>
      <c r="G77" s="50"/>
    </row>
    <row r="78" spans="1:7" ht="15.75" x14ac:dyDescent="0.25">
      <c r="A78" s="47"/>
      <c r="B78" s="47"/>
      <c r="C78" s="47"/>
      <c r="D78" s="47"/>
      <c r="E78" s="47"/>
      <c r="F78" s="47"/>
      <c r="G78" s="47"/>
    </row>
    <row r="79" spans="1:7" ht="15.75" x14ac:dyDescent="0.25">
      <c r="A79" s="47"/>
      <c r="B79" s="47"/>
      <c r="C79" s="47"/>
      <c r="D79" s="47"/>
      <c r="E79" s="47"/>
      <c r="F79" s="47"/>
      <c r="G79" s="47"/>
    </row>
    <row r="80" spans="1:7" ht="15.75" x14ac:dyDescent="0.25">
      <c r="A80" s="47"/>
      <c r="B80" s="47"/>
      <c r="C80" s="47"/>
      <c r="D80" s="47"/>
      <c r="E80" s="47"/>
      <c r="F80" s="47"/>
      <c r="G80" s="47"/>
    </row>
    <row r="81" customFormat="1" x14ac:dyDescent="0.25"/>
    <row r="82" customFormat="1" x14ac:dyDescent="0.25"/>
    <row r="83" customFormat="1" x14ac:dyDescent="0.25"/>
    <row r="84" customFormat="1" x14ac:dyDescent="0.25"/>
  </sheetData>
  <mergeCells count="6">
    <mergeCell ref="A73:G73"/>
    <mergeCell ref="A1:G1"/>
    <mergeCell ref="A11:G11"/>
    <mergeCell ref="A13:G13"/>
    <mergeCell ref="A15:G15"/>
    <mergeCell ref="A42:G42"/>
  </mergeCells>
  <printOptions horizontalCentered="1"/>
  <pageMargins left="0.98425196850393704" right="0.78740157480314965" top="0.78740157480314965" bottom="0.78740157480314965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TODAS</vt:lpstr>
      <vt:lpstr>202508 VÁLIDA</vt:lpstr>
      <vt:lpstr>202508 INUTILIZADA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</dc:creator>
  <cp:lastModifiedBy>Robson Dias Ribeiro</cp:lastModifiedBy>
  <cp:lastPrinted>2026-02-01T15:10:09Z</cp:lastPrinted>
  <dcterms:created xsi:type="dcterms:W3CDTF">2023-03-04T20:08:57Z</dcterms:created>
  <dcterms:modified xsi:type="dcterms:W3CDTF">2026-04-01T22:18:29Z</dcterms:modified>
</cp:coreProperties>
</file>