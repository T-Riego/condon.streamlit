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69ee896845d55b/"/>
    </mc:Choice>
  </mc:AlternateContent>
  <xr:revisionPtr revIDLastSave="2" documentId="8_{146E89D3-C6A3-4E43-970C-0B58A140E1EC}" xr6:coauthVersionLast="47" xr6:coauthVersionMax="47" xr10:uidLastSave="{1787741A-ACDF-4A1C-A01B-BD517868F76E}"/>
  <bookViews>
    <workbookView xWindow="-120" yWindow="-120" windowWidth="29040" windowHeight="15720" activeTab="1" xr2:uid="{8BF6C648-E5BC-465C-8527-CE1CDF9C0DF1}"/>
  </bookViews>
  <sheets>
    <sheet name="PLANILHA GERAL" sheetId="1" r:id="rId1"/>
    <sheet name="Planilha2" sheetId="4" r:id="rId2"/>
  </sheets>
  <definedNames>
    <definedName name="_xlnm._FilterDatabase" localSheetId="0" hidden="1">'PLANILHA GERAL'!#REF!</definedName>
    <definedName name="D.ACESS.SOBRE_TOT.PROD">#REF!</definedName>
    <definedName name="DESP.ACESS.">#REF!</definedName>
    <definedName name="ICMS_ST_DO_TOTAL_DOS_PRODUTOS">#REF!</definedName>
    <definedName name="PERCENT_ICMS_ST_DO_TOTAL_DOS_PRODUTOS">#REF!</definedName>
    <definedName name="QT.A">#REF!</definedName>
    <definedName name="QT.B">#REF!</definedName>
    <definedName name="QT.C">#REF!</definedName>
    <definedName name="QT.D">#REF!</definedName>
    <definedName name="QTD._A">#REF!</definedName>
    <definedName name="QTD._B">#REF!</definedName>
    <definedName name="QTD._C">#REF!</definedName>
    <definedName name="QTD.A">#REF!</definedName>
    <definedName name="QTD.B">#REF!</definedName>
    <definedName name="QTD.C">#REF!</definedName>
    <definedName name="QTD.D">#REF!</definedName>
    <definedName name="TOT_NF">#REF!</definedName>
    <definedName name="TOT_PROD">#REF!</definedName>
    <definedName name="VALOR_DO_ICMS_ST">#REF!</definedName>
    <definedName name="VALOR_TOTAL_DA_NOTA">#REF!</definedName>
    <definedName name="VALOR_TOTAL_DOS_PRODUTOS">#REF!</definedName>
    <definedName name="VLR.TOTAL_A">#REF!</definedName>
    <definedName name="VLR.TOTAL_B">#REF!</definedName>
    <definedName name="VLR.TOTAL_C">#REF!</definedName>
    <definedName name="VLR.TOTAL_D">#REF!</definedName>
    <definedName name="VR.TOT.A">#REF!</definedName>
    <definedName name="VR.TOT.B">#REF!</definedName>
    <definedName name="VR.TOT.C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" i="1" l="1"/>
  <c r="C11" i="1"/>
  <c r="D11" i="1"/>
  <c r="D13" i="1"/>
  <c r="E11" i="1"/>
  <c r="F11" i="1"/>
  <c r="G11" i="1"/>
  <c r="H11" i="1"/>
  <c r="I11" i="1"/>
  <c r="I13" i="1"/>
  <c r="J11" i="1"/>
  <c r="K11" i="1"/>
  <c r="L11" i="1"/>
  <c r="L13" i="1"/>
  <c r="M11" i="1"/>
  <c r="M13" i="1"/>
  <c r="N11" i="1"/>
  <c r="O11" i="1"/>
  <c r="P11" i="1"/>
  <c r="Q11" i="1"/>
  <c r="Q13" i="1"/>
  <c r="C12" i="1"/>
  <c r="D12" i="1"/>
  <c r="E12" i="1"/>
  <c r="F12" i="1"/>
  <c r="F13" i="1"/>
  <c r="G12" i="1"/>
  <c r="H12" i="1"/>
  <c r="I12" i="1"/>
  <c r="J12" i="1"/>
  <c r="J13" i="1"/>
  <c r="K12" i="1"/>
  <c r="L12" i="1"/>
  <c r="M12" i="1"/>
  <c r="N12" i="1"/>
  <c r="N13" i="1"/>
  <c r="O12" i="1"/>
  <c r="P12" i="1"/>
  <c r="Q12" i="1"/>
  <c r="C13" i="1"/>
  <c r="G13" i="1"/>
  <c r="H13" i="1"/>
  <c r="K13" i="1"/>
  <c r="O13" i="1"/>
  <c r="P13" i="1"/>
  <c r="R4" i="1"/>
  <c r="C5" i="1"/>
  <c r="D5" i="1"/>
  <c r="E5" i="1"/>
  <c r="F5" i="1"/>
  <c r="G5" i="1"/>
  <c r="H5" i="1"/>
  <c r="I5" i="1"/>
  <c r="J5" i="1"/>
  <c r="K5" i="1"/>
  <c r="L5" i="1"/>
  <c r="L7" i="1"/>
  <c r="M5" i="1"/>
  <c r="N5" i="1"/>
  <c r="O5" i="1"/>
  <c r="P5" i="1"/>
  <c r="Q5" i="1"/>
  <c r="C6" i="1"/>
  <c r="D6" i="1"/>
  <c r="E6" i="1"/>
  <c r="F6" i="1"/>
  <c r="G6" i="1"/>
  <c r="H6" i="1"/>
  <c r="I6" i="1"/>
  <c r="J6" i="1"/>
  <c r="J7" i="1"/>
  <c r="K6" i="1"/>
  <c r="L6" i="1"/>
  <c r="M6" i="1"/>
  <c r="N6" i="1"/>
  <c r="N7" i="1"/>
  <c r="O6" i="1"/>
  <c r="P6" i="1"/>
  <c r="Q6" i="1"/>
  <c r="G7" i="1"/>
  <c r="R8" i="1"/>
  <c r="R9" i="1"/>
  <c r="E17" i="4"/>
  <c r="C17" i="4"/>
  <c r="D17" i="4"/>
  <c r="B17" i="4"/>
  <c r="R3" i="1"/>
  <c r="R2" i="1"/>
  <c r="P7" i="1"/>
  <c r="H7" i="1"/>
  <c r="D7" i="1"/>
  <c r="O7" i="1"/>
  <c r="K7" i="1"/>
  <c r="C7" i="1"/>
  <c r="F7" i="1"/>
  <c r="R12" i="1"/>
  <c r="Q7" i="1"/>
  <c r="M7" i="1"/>
  <c r="I7" i="1"/>
  <c r="E7" i="1"/>
  <c r="R6" i="1"/>
  <c r="R11" i="1"/>
  <c r="E13" i="1"/>
  <c r="R13" i="1"/>
  <c r="R5" i="1"/>
  <c r="R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Robson</author>
  </authors>
  <commentList>
    <comment ref="B5" authorId="0" shapeId="0" xr:uid="{9ADB1A57-9B11-4187-9984-93557084C65D}">
      <text>
        <r>
          <rPr>
            <sz val="8"/>
            <color indexed="81"/>
            <rFont val="Segoe UI"/>
            <family val="2"/>
          </rPr>
          <t>1-COPIAR/COLAR TEXTO EM ESPAÇO LIVRE (CÉLULA "U80" OU PRÓXIMA); 2-COPIAR/TRANSPOR P/ESPAÇO LIVRE (CÉLULA "AL80" OU PRÓXIMA); 3- APLICAR FÓRMULA "ARRED" (CÉLULA "AM80" OU PRÓXIMA); 4-COPIAR/COLAR TEXTO NA COLUNA DE CONSUMO DA TABELA "CONDOMÍNIO NEÁPOLIS / VALORES DEVIDOS POR UNIDADE, A PARTIR DA LINHA 74 OU PRÓXIMA</t>
        </r>
      </text>
    </comment>
    <comment ref="B7" authorId="0" shapeId="0" xr:uid="{3627B4F9-90AD-4216-B215-C41B25BDC471}">
      <text>
        <r>
          <rPr>
            <sz val="8"/>
            <color indexed="81"/>
            <rFont val="Segoe UI"/>
            <family val="2"/>
          </rPr>
          <t>ALERTAR CONDÔMINO NO CASO DE EXCESSO DE CONSUMO</t>
        </r>
      </text>
    </comment>
    <comment ref="B11" authorId="0" shapeId="0" xr:uid="{0584CDD5-E5B5-4B4C-8F82-23191909C8AD}">
      <text>
        <r>
          <rPr>
            <sz val="8"/>
            <color indexed="81"/>
            <rFont val="Segoe UI"/>
            <family val="2"/>
          </rPr>
          <t>1-COPIAR/COLAR TEXTO EM ESPAÇO LIVRE (CÉLULA "U81" OU PRÓXIMA); 2-COPIAR/TRANSPOR P/ESPAÇO LIVRE (CÉLULA "AN80" OU PRÓXIMA); 3- APLICAR FÓRMULA "ARRED" (CÉLULA "AO80" OU PRÓXIMA); 4-COPIAR/COLAR TEXTO NA COLUNA DE CONSUMO DA TABELA "CONDOMÍNIO NEÁPOLIS / VALORES DEVIDOS POR UNIDADE, A PARTIR DA LINHA 74 OU PRÓXIMA</t>
        </r>
      </text>
    </comment>
    <comment ref="B13" authorId="0" shapeId="0" xr:uid="{DB883084-7BCE-487D-B05A-705E69FDFA78}">
      <text>
        <r>
          <rPr>
            <sz val="8"/>
            <color indexed="81"/>
            <rFont val="Segoe UI"/>
            <family val="2"/>
          </rPr>
          <t>ALERTAR CONDÔMINO NO CASO DE EXCESSO DE CONSUMO</t>
        </r>
      </text>
    </comment>
  </commentList>
</comments>
</file>

<file path=xl/sharedStrings.xml><?xml version="1.0" encoding="utf-8"?>
<sst xmlns="http://schemas.openxmlformats.org/spreadsheetml/2006/main" count="24" uniqueCount="11">
  <si>
    <t>DATA</t>
  </si>
  <si>
    <t>ITEM</t>
  </si>
  <si>
    <t>201 GÁS PISC.</t>
  </si>
  <si>
    <t>TOTAL</t>
  </si>
  <si>
    <t>ÁGUA</t>
  </si>
  <si>
    <t>(A) DIF. C/LEIT. ANT.</t>
  </si>
  <si>
    <t>(B) DIF. ANT.</t>
  </si>
  <si>
    <t>A (-) B</t>
  </si>
  <si>
    <t>GÁS</t>
  </si>
  <si>
    <t>ANT.</t>
  </si>
  <si>
    <t>SINC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</si>
</sst>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;@"/>
    <numFmt numFmtId="165" formatCode="#,##0.000"/>
    <numFmt numFmtId="166" formatCode="#,##0.000000"/>
    <numFmt numFmtId="167" formatCode="0.000"/>
  </numFmts>
  <fonts count="17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8"/>
      <color indexed="81"/>
      <name val="Segoe UI"/>
      <family val="2"/>
    </font>
    <font>
      <sz val="2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sz val="18"/>
      <color indexed="8"/>
      <name val="Calibri"/>
      <family val="2"/>
    </font>
    <font>
      <sz val="14"/>
      <color theme="1"/>
      <name val="Calibri"/>
      <family val="2"/>
      <scheme val="minor"/>
    </font>
    <font>
      <sz val="14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2" fillId="0" borderId="0"/>
    <xf numFmtId="0" fontId="1" fillId="0" borderId="0"/>
    <xf numFmtId="0" fontId="1" fillId="0" borderId="0"/>
  </cellStyleXfs>
  <cellXfs count="39">
    <xf numFmtId="0" fontId="0" fillId="0" borderId="0" xfId="0"/>
    <xf numFmtId="164" fontId="4" fillId="0" borderId="0" xfId="1" applyNumberFormat="1" applyFont="1" applyAlignment="1">
      <alignment horizontal="center" vertical="center"/>
    </xf>
    <xf numFmtId="165" fontId="4" fillId="0" borderId="0" xfId="1" applyNumberFormat="1" applyFont="1" applyAlignment="1">
      <alignment vertical="center"/>
    </xf>
    <xf numFmtId="166" fontId="4" fillId="0" borderId="0" xfId="1" applyNumberFormat="1" applyFont="1" applyAlignment="1">
      <alignment vertical="center"/>
    </xf>
    <xf numFmtId="4" fontId="4" fillId="0" borderId="0" xfId="1" applyNumberFormat="1" applyFont="1" applyAlignment="1">
      <alignment vertical="center"/>
    </xf>
    <xf numFmtId="0" fontId="3" fillId="0" borderId="0" xfId="1" applyAlignment="1">
      <alignment wrapText="1"/>
    </xf>
    <xf numFmtId="0" fontId="4" fillId="0" borderId="0" xfId="1" applyFont="1" applyAlignment="1">
      <alignment wrapText="1"/>
    </xf>
    <xf numFmtId="0" fontId="3" fillId="0" borderId="0" xfId="1" applyAlignment="1">
      <alignment vertical="center"/>
    </xf>
    <xf numFmtId="164" fontId="4" fillId="0" borderId="0" xfId="1" applyNumberFormat="1" applyFont="1" applyAlignment="1">
      <alignment vertical="center"/>
    </xf>
    <xf numFmtId="164" fontId="4" fillId="0" borderId="0" xfId="1" applyNumberFormat="1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0" xfId="1" applyFont="1"/>
    <xf numFmtId="164" fontId="4" fillId="0" borderId="0" xfId="1" applyNumberFormat="1" applyFont="1" applyAlignment="1">
      <alignment horizontal="center"/>
    </xf>
    <xf numFmtId="0" fontId="3" fillId="0" borderId="0" xfId="1"/>
    <xf numFmtId="0" fontId="9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164" fontId="8" fillId="0" borderId="0" xfId="1" applyNumberFormat="1" applyFont="1" applyAlignment="1">
      <alignment horizontal="center" vertical="center"/>
    </xf>
    <xf numFmtId="0" fontId="7" fillId="0" borderId="0" xfId="1" applyFont="1" applyAlignment="1">
      <alignment vertical="center"/>
    </xf>
    <xf numFmtId="0" fontId="5" fillId="2" borderId="0" xfId="1" applyFont="1" applyFill="1" applyAlignment="1">
      <alignment vertical="center"/>
    </xf>
    <xf numFmtId="0" fontId="5" fillId="0" borderId="0" xfId="1" applyFont="1" applyAlignment="1">
      <alignment vertical="center"/>
    </xf>
    <xf numFmtId="0" fontId="5" fillId="3" borderId="0" xfId="1" applyFont="1" applyFill="1" applyAlignment="1">
      <alignment vertical="center"/>
    </xf>
    <xf numFmtId="0" fontId="10" fillId="0" borderId="0" xfId="1" applyFont="1" applyAlignment="1">
      <alignment vertical="center"/>
    </xf>
    <xf numFmtId="167" fontId="11" fillId="0" borderId="0" xfId="1" applyNumberFormat="1" applyFont="1" applyAlignment="1">
      <alignment vertical="center"/>
    </xf>
    <xf numFmtId="167" fontId="4" fillId="0" borderId="0" xfId="1" applyNumberFormat="1" applyFont="1" applyAlignment="1">
      <alignment vertical="center"/>
    </xf>
    <xf numFmtId="167" fontId="4" fillId="0" borderId="0" xfId="2" applyNumberFormat="1" applyFont="1" applyAlignment="1">
      <alignment vertical="center"/>
    </xf>
    <xf numFmtId="0" fontId="4" fillId="0" borderId="0" xfId="4" applyFont="1" applyAlignment="1">
      <alignment horizontal="center" vertical="center" wrapText="1"/>
    </xf>
    <xf numFmtId="0" fontId="7" fillId="0" borderId="0" xfId="4" applyFont="1" applyAlignment="1">
      <alignment vertical="center"/>
    </xf>
    <xf numFmtId="167" fontId="11" fillId="0" borderId="0" xfId="4" applyNumberFormat="1" applyFont="1" applyAlignment="1">
      <alignment vertical="center"/>
    </xf>
    <xf numFmtId="0" fontId="13" fillId="0" borderId="0" xfId="0" applyFont="1"/>
    <xf numFmtId="0" fontId="12" fillId="2" borderId="0" xfId="4" applyFont="1" applyFill="1" applyAlignment="1">
      <alignment vertical="center"/>
    </xf>
    <xf numFmtId="167" fontId="8" fillId="2" borderId="0" xfId="4" applyNumberFormat="1" applyFont="1" applyFill="1" applyAlignment="1">
      <alignment vertical="center"/>
    </xf>
    <xf numFmtId="0" fontId="10" fillId="0" borderId="0" xfId="4" applyFont="1" applyAlignment="1">
      <alignment horizontal="center" vertical="center" wrapText="1"/>
    </xf>
    <xf numFmtId="0" fontId="10" fillId="0" borderId="0" xfId="4" applyFont="1" applyAlignment="1">
      <alignment vertical="center"/>
    </xf>
    <xf numFmtId="167" fontId="10" fillId="0" borderId="0" xfId="4" applyNumberFormat="1" applyFont="1" applyAlignment="1">
      <alignment vertical="center"/>
    </xf>
    <xf numFmtId="0" fontId="14" fillId="0" borderId="0" xfId="0" applyFont="1"/>
    <xf numFmtId="167" fontId="8" fillId="0" borderId="0" xfId="4" applyNumberFormat="1" applyFont="1" applyAlignment="1">
      <alignment vertical="center"/>
    </xf>
    <xf numFmtId="0" fontId="15" fillId="2" borderId="0" xfId="4" applyFont="1" applyFill="1" applyAlignment="1">
      <alignment vertical="center"/>
    </xf>
    <xf numFmtId="167" fontId="15" fillId="0" borderId="0" xfId="4" applyNumberFormat="1" applyFont="1" applyAlignment="1">
      <alignment vertical="center"/>
    </xf>
    <xf numFmtId="0" fontId="16" fillId="0" borderId="0" xfId="0" applyFont="1"/>
  </cellXfs>
  <cellStyles count="5">
    <cellStyle name="Normal" xfId="0" builtinId="0"/>
    <cellStyle name="Normal 2" xfId="1" xr:uid="{20196BEB-8678-47BE-8BEF-ACFC29DD6F1F}"/>
    <cellStyle name="Normal 2 2" xfId="2" xr:uid="{5CB0CEF9-00AF-4A1A-92E8-5AC464B10B54}"/>
    <cellStyle name="Normal 2 2 2" xfId="4" xr:uid="{5D3F25D4-95CB-4B42-898E-A31A7FF8CF6F}"/>
    <cellStyle name="Normal 2 3" xfId="3" xr:uid="{FB820D81-2102-4335-8448-4864B341F8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0843E-470B-4B90-A93F-A8EB9F8E37BE}">
  <dimension ref="A1:AF13"/>
  <sheetViews>
    <sheetView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9.140625" defaultRowHeight="15" x14ac:dyDescent="0.25"/>
  <cols>
    <col min="1" max="1" width="9.140625" style="13" customWidth="1"/>
    <col min="2" max="2" width="12.28515625" style="11" bestFit="1" customWidth="1"/>
    <col min="3" max="3" width="16.7109375" style="13" bestFit="1" customWidth="1"/>
    <col min="4" max="4" width="12.5703125" style="13" bestFit="1" customWidth="1"/>
    <col min="5" max="6" width="16.7109375" style="13" bestFit="1" customWidth="1"/>
    <col min="7" max="7" width="16.7109375" style="12" bestFit="1" customWidth="1"/>
    <col min="8" max="14" width="16.7109375" style="11" bestFit="1" customWidth="1"/>
    <col min="15" max="15" width="16.7109375" style="11" customWidth="1"/>
    <col min="16" max="17" width="16.7109375" style="11" bestFit="1" customWidth="1"/>
    <col min="18" max="18" width="8.7109375" style="11" bestFit="1" customWidth="1"/>
    <col min="19" max="19" width="9.28515625" style="13" customWidth="1"/>
    <col min="20" max="20" width="10" style="11" customWidth="1"/>
    <col min="21" max="25" width="9.140625" style="13" customWidth="1"/>
    <col min="26" max="27" width="11" style="12" customWidth="1"/>
    <col min="28" max="28" width="12" style="12" customWidth="1"/>
    <col min="29" max="32" width="9.140625" style="11" customWidth="1"/>
    <col min="33" max="44" width="9.140625" style="13" customWidth="1"/>
    <col min="45" max="16384" width="9.140625" style="13"/>
  </cols>
  <sheetData>
    <row r="1" spans="1:32" s="5" customFormat="1" ht="24" customHeight="1" x14ac:dyDescent="0.25">
      <c r="A1" s="9" t="s">
        <v>0</v>
      </c>
      <c r="B1" s="10" t="s">
        <v>1</v>
      </c>
      <c r="C1" s="14">
        <v>201</v>
      </c>
      <c r="D1" s="10" t="s">
        <v>2</v>
      </c>
      <c r="E1" s="15">
        <v>202</v>
      </c>
      <c r="F1" s="14">
        <v>301</v>
      </c>
      <c r="G1" s="15">
        <v>302</v>
      </c>
      <c r="H1" s="15">
        <v>401</v>
      </c>
      <c r="I1" s="15">
        <v>402</v>
      </c>
      <c r="J1" s="15">
        <v>501</v>
      </c>
      <c r="K1" s="15">
        <v>502</v>
      </c>
      <c r="L1" s="15">
        <v>601</v>
      </c>
      <c r="M1" s="15">
        <v>602</v>
      </c>
      <c r="N1" s="14">
        <v>701</v>
      </c>
      <c r="O1" s="15">
        <v>702</v>
      </c>
      <c r="P1" s="15">
        <v>801</v>
      </c>
      <c r="Q1" s="15">
        <v>802</v>
      </c>
      <c r="R1" s="10" t="s">
        <v>3</v>
      </c>
      <c r="S1" s="1"/>
      <c r="T1" s="2"/>
      <c r="U1" s="3"/>
      <c r="V1" s="4"/>
      <c r="W1" s="4"/>
      <c r="X1" s="4"/>
      <c r="Y1" s="4"/>
      <c r="AC1" s="6"/>
      <c r="AD1" s="6"/>
      <c r="AE1" s="6"/>
      <c r="AF1" s="6"/>
    </row>
    <row r="2" spans="1:32" s="7" customFormat="1" ht="35.25" customHeight="1" x14ac:dyDescent="0.25">
      <c r="A2" s="16">
        <v>45745</v>
      </c>
      <c r="B2" s="21" t="s">
        <v>4</v>
      </c>
      <c r="C2" s="22">
        <v>2769.2550000000001</v>
      </c>
      <c r="D2" s="22">
        <v>0</v>
      </c>
      <c r="E2" s="22">
        <v>6718.4960000000001</v>
      </c>
      <c r="F2" s="22">
        <v>4292.982</v>
      </c>
      <c r="G2" s="22">
        <v>2126.9850000000001</v>
      </c>
      <c r="H2" s="22">
        <v>2142.0160000000001</v>
      </c>
      <c r="I2" s="22">
        <v>4405.9799999999996</v>
      </c>
      <c r="J2" s="22">
        <v>2937.6970000000001</v>
      </c>
      <c r="K2" s="22">
        <v>2471.1010000000001</v>
      </c>
      <c r="L2" s="22">
        <v>2269.2660000000001</v>
      </c>
      <c r="M2" s="22">
        <v>2161.2399999999998</v>
      </c>
      <c r="N2" s="22">
        <v>3039.59</v>
      </c>
      <c r="O2" s="22">
        <v>957.54200000000003</v>
      </c>
      <c r="P2" s="22">
        <v>5321.1360000000004</v>
      </c>
      <c r="Q2" s="22">
        <v>3512.6120000000001</v>
      </c>
      <c r="R2" s="23">
        <f t="shared" ref="R2" si="0">SUM(C2:Q2)</f>
        <v>45125.897999999994</v>
      </c>
      <c r="S2" s="8"/>
    </row>
    <row r="3" spans="1:32" s="7" customFormat="1" ht="26.25" x14ac:dyDescent="0.25">
      <c r="A3" s="16">
        <v>45775</v>
      </c>
      <c r="B3" s="21" t="s">
        <v>4</v>
      </c>
      <c r="C3" s="27">
        <v>2792.9749999999999</v>
      </c>
      <c r="D3" s="27">
        <v>0</v>
      </c>
      <c r="E3" s="27">
        <v>6760.5540000000001</v>
      </c>
      <c r="F3" s="27">
        <v>4313.3149999999996</v>
      </c>
      <c r="G3" s="27">
        <v>2154.4349999999999</v>
      </c>
      <c r="H3" s="27">
        <v>2162.2170000000001</v>
      </c>
      <c r="I3" s="27">
        <v>4438.9309999999996</v>
      </c>
      <c r="J3" s="27">
        <v>2952.9250000000002</v>
      </c>
      <c r="K3" s="27">
        <v>2483.2449999999999</v>
      </c>
      <c r="L3" s="27">
        <v>2276.6849999999999</v>
      </c>
      <c r="M3" s="27">
        <v>2184.038</v>
      </c>
      <c r="N3" s="27">
        <v>3055.5479999999998</v>
      </c>
      <c r="O3" s="27">
        <v>964.43600000000004</v>
      </c>
      <c r="P3" s="27">
        <v>5327.134</v>
      </c>
      <c r="Q3" s="27">
        <v>3527.7339999999999</v>
      </c>
      <c r="R3" s="23">
        <f t="shared" ref="R3" si="1">SUM(C3:Q3)</f>
        <v>45394.171999999999</v>
      </c>
      <c r="S3" s="8"/>
    </row>
    <row r="4" spans="1:32" s="7" customFormat="1" ht="26.25" x14ac:dyDescent="0.25">
      <c r="A4" s="16">
        <v>45805</v>
      </c>
      <c r="B4" s="21" t="s">
        <v>4</v>
      </c>
      <c r="C4" s="27"/>
      <c r="D4" s="27">
        <v>0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3">
        <f t="shared" ref="R4:R9" si="2">SUM(C4:Q4)</f>
        <v>0</v>
      </c>
      <c r="S4" s="8"/>
    </row>
    <row r="5" spans="1:32" x14ac:dyDescent="0.25">
      <c r="A5" s="1"/>
      <c r="B5" s="18" t="s">
        <v>5</v>
      </c>
      <c r="C5" s="23">
        <f>C4-C3</f>
        <v>-2792.9749999999999</v>
      </c>
      <c r="D5" s="23">
        <f t="shared" ref="D5:Q5" si="3">D4-D3</f>
        <v>0</v>
      </c>
      <c r="E5" s="23">
        <f t="shared" si="3"/>
        <v>-6760.5540000000001</v>
      </c>
      <c r="F5" s="23">
        <f t="shared" si="3"/>
        <v>-4313.3149999999996</v>
      </c>
      <c r="G5" s="23">
        <f t="shared" si="3"/>
        <v>-2154.4349999999999</v>
      </c>
      <c r="H5" s="23">
        <f t="shared" si="3"/>
        <v>-2162.2170000000001</v>
      </c>
      <c r="I5" s="23">
        <f t="shared" si="3"/>
        <v>-4438.9309999999996</v>
      </c>
      <c r="J5" s="23">
        <f t="shared" si="3"/>
        <v>-2952.9250000000002</v>
      </c>
      <c r="K5" s="23">
        <f t="shared" si="3"/>
        <v>-2483.2449999999999</v>
      </c>
      <c r="L5" s="23">
        <f t="shared" si="3"/>
        <v>-2276.6849999999999</v>
      </c>
      <c r="M5" s="23">
        <f t="shared" si="3"/>
        <v>-2184.038</v>
      </c>
      <c r="N5" s="23">
        <f t="shared" si="3"/>
        <v>-3055.5479999999998</v>
      </c>
      <c r="O5" s="23">
        <f t="shared" si="3"/>
        <v>-964.43600000000004</v>
      </c>
      <c r="P5" s="23">
        <f t="shared" si="3"/>
        <v>-5327.134</v>
      </c>
      <c r="Q5" s="23">
        <f t="shared" si="3"/>
        <v>-3527.7339999999999</v>
      </c>
      <c r="R5" s="23">
        <f t="shared" si="2"/>
        <v>-45394.171999999999</v>
      </c>
      <c r="S5"/>
    </row>
    <row r="6" spans="1:32" x14ac:dyDescent="0.25">
      <c r="A6" s="1"/>
      <c r="B6" s="19" t="s">
        <v>6</v>
      </c>
      <c r="C6" s="23">
        <f>C3-C2</f>
        <v>23.7199999999998</v>
      </c>
      <c r="D6" s="23">
        <f t="shared" ref="D6:Q6" si="4">D3-D2</f>
        <v>0</v>
      </c>
      <c r="E6" s="23">
        <f t="shared" si="4"/>
        <v>42.057999999999993</v>
      </c>
      <c r="F6" s="23">
        <f t="shared" si="4"/>
        <v>20.332999999999629</v>
      </c>
      <c r="G6" s="23">
        <f t="shared" si="4"/>
        <v>27.449999999999818</v>
      </c>
      <c r="H6" s="23">
        <f t="shared" si="4"/>
        <v>20.201000000000022</v>
      </c>
      <c r="I6" s="23">
        <f t="shared" si="4"/>
        <v>32.951000000000022</v>
      </c>
      <c r="J6" s="23">
        <f t="shared" si="4"/>
        <v>15.228000000000065</v>
      </c>
      <c r="K6" s="23">
        <f t="shared" si="4"/>
        <v>12.143999999999778</v>
      </c>
      <c r="L6" s="23">
        <f t="shared" si="4"/>
        <v>7.418999999999869</v>
      </c>
      <c r="M6" s="23">
        <f t="shared" si="4"/>
        <v>22.798000000000229</v>
      </c>
      <c r="N6" s="23">
        <f t="shared" si="4"/>
        <v>15.957999999999629</v>
      </c>
      <c r="O6" s="23">
        <f t="shared" si="4"/>
        <v>6.8940000000000055</v>
      </c>
      <c r="P6" s="23">
        <f t="shared" si="4"/>
        <v>5.9979999999995925</v>
      </c>
      <c r="Q6" s="23">
        <f t="shared" si="4"/>
        <v>15.121999999999844</v>
      </c>
      <c r="R6" s="23">
        <f t="shared" si="2"/>
        <v>268.2739999999983</v>
      </c>
    </row>
    <row r="7" spans="1:32" x14ac:dyDescent="0.25">
      <c r="A7" s="1"/>
      <c r="B7" s="20" t="s">
        <v>7</v>
      </c>
      <c r="C7" s="23">
        <f>C5-C6</f>
        <v>-2816.6949999999997</v>
      </c>
      <c r="D7" s="23">
        <f t="shared" ref="D7:Q7" si="5">D5-D6</f>
        <v>0</v>
      </c>
      <c r="E7" s="23">
        <f t="shared" si="5"/>
        <v>-6802.6120000000001</v>
      </c>
      <c r="F7" s="23">
        <f t="shared" si="5"/>
        <v>-4333.6479999999992</v>
      </c>
      <c r="G7" s="23">
        <f t="shared" si="5"/>
        <v>-2181.8849999999998</v>
      </c>
      <c r="H7" s="23">
        <f t="shared" si="5"/>
        <v>-2182.4180000000001</v>
      </c>
      <c r="I7" s="23">
        <f t="shared" si="5"/>
        <v>-4471.8819999999996</v>
      </c>
      <c r="J7" s="23">
        <f t="shared" si="5"/>
        <v>-2968.1530000000002</v>
      </c>
      <c r="K7" s="23">
        <f t="shared" si="5"/>
        <v>-2495.3889999999997</v>
      </c>
      <c r="L7" s="23">
        <f t="shared" si="5"/>
        <v>-2284.1039999999998</v>
      </c>
      <c r="M7" s="23">
        <f t="shared" si="5"/>
        <v>-2206.8360000000002</v>
      </c>
      <c r="N7" s="23">
        <f t="shared" si="5"/>
        <v>-3071.5059999999994</v>
      </c>
      <c r="O7" s="23">
        <f t="shared" si="5"/>
        <v>-971.33</v>
      </c>
      <c r="P7" s="23">
        <f t="shared" si="5"/>
        <v>-5333.1319999999996</v>
      </c>
      <c r="Q7" s="23">
        <f t="shared" si="5"/>
        <v>-3542.8559999999998</v>
      </c>
      <c r="R7" s="23">
        <f t="shared" si="2"/>
        <v>-45662.445999999996</v>
      </c>
    </row>
    <row r="8" spans="1:32" ht="31.5" x14ac:dyDescent="0.25">
      <c r="A8" s="16">
        <v>45745</v>
      </c>
      <c r="B8" s="17" t="s">
        <v>8</v>
      </c>
      <c r="C8" s="22">
        <v>247.339</v>
      </c>
      <c r="D8" s="22">
        <v>27.042000000000002</v>
      </c>
      <c r="E8" s="22">
        <v>942.63300000000004</v>
      </c>
      <c r="F8" s="22">
        <v>618.673</v>
      </c>
      <c r="G8" s="22">
        <v>379.10199999999998</v>
      </c>
      <c r="H8" s="22">
        <v>340.54700000000003</v>
      </c>
      <c r="I8" s="22">
        <v>782.62800000000004</v>
      </c>
      <c r="J8" s="22">
        <v>372.88400000000001</v>
      </c>
      <c r="K8" s="22">
        <v>291.661</v>
      </c>
      <c r="L8" s="22">
        <v>389.15800000000002</v>
      </c>
      <c r="M8" s="22">
        <v>379.04</v>
      </c>
      <c r="N8" s="22">
        <v>597.83199999999999</v>
      </c>
      <c r="O8" s="22">
        <v>387.221</v>
      </c>
      <c r="P8" s="22">
        <v>326.68599999999998</v>
      </c>
      <c r="Q8" s="22">
        <v>374.387</v>
      </c>
      <c r="R8" s="23">
        <f t="shared" si="2"/>
        <v>6456.8329999999996</v>
      </c>
    </row>
    <row r="9" spans="1:32" ht="31.5" x14ac:dyDescent="0.25">
      <c r="A9" s="16">
        <v>45775</v>
      </c>
      <c r="B9" s="17" t="s">
        <v>8</v>
      </c>
      <c r="C9" s="27">
        <v>247.339</v>
      </c>
      <c r="D9" s="27">
        <v>27.106000000000002</v>
      </c>
      <c r="E9" s="27">
        <v>946.69100000000003</v>
      </c>
      <c r="F9" s="27">
        <v>622.745</v>
      </c>
      <c r="G9" s="27">
        <v>381.971</v>
      </c>
      <c r="H9" s="27">
        <v>342.113</v>
      </c>
      <c r="I9" s="27">
        <v>787.27300000000002</v>
      </c>
      <c r="J9" s="27">
        <v>374.01100000000002</v>
      </c>
      <c r="K9" s="27">
        <v>292.86399999999998</v>
      </c>
      <c r="L9" s="27">
        <v>389.38</v>
      </c>
      <c r="M9" s="27">
        <v>380.98899999999998</v>
      </c>
      <c r="N9" s="27">
        <v>598.69100000000003</v>
      </c>
      <c r="O9" s="27">
        <v>390.55900000000003</v>
      </c>
      <c r="P9" s="27">
        <v>326.68900000000002</v>
      </c>
      <c r="Q9" s="27">
        <v>376.10199999999998</v>
      </c>
      <c r="R9" s="23">
        <f t="shared" si="2"/>
        <v>6484.5229999999992</v>
      </c>
    </row>
    <row r="10" spans="1:32" ht="31.5" x14ac:dyDescent="0.25">
      <c r="A10" s="16">
        <v>45805</v>
      </c>
      <c r="B10" s="17" t="s">
        <v>8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3">
        <f t="shared" ref="R10:R13" si="6">SUM(C10:Q10)</f>
        <v>0</v>
      </c>
    </row>
    <row r="11" spans="1:32" x14ac:dyDescent="0.25">
      <c r="A11" s="1"/>
      <c r="B11" s="18" t="s">
        <v>5</v>
      </c>
      <c r="C11" s="23">
        <f>C10-C9</f>
        <v>-247.339</v>
      </c>
      <c r="D11" s="23">
        <f t="shared" ref="D11:Q11" si="7">D10-D9</f>
        <v>-27.106000000000002</v>
      </c>
      <c r="E11" s="23">
        <f t="shared" si="7"/>
        <v>-946.69100000000003</v>
      </c>
      <c r="F11" s="23">
        <f t="shared" si="7"/>
        <v>-622.745</v>
      </c>
      <c r="G11" s="23">
        <f t="shared" si="7"/>
        <v>-381.971</v>
      </c>
      <c r="H11" s="23">
        <f t="shared" si="7"/>
        <v>-342.113</v>
      </c>
      <c r="I11" s="23">
        <f t="shared" si="7"/>
        <v>-787.27300000000002</v>
      </c>
      <c r="J11" s="23">
        <f t="shared" si="7"/>
        <v>-374.01100000000002</v>
      </c>
      <c r="K11" s="23">
        <f t="shared" si="7"/>
        <v>-292.86399999999998</v>
      </c>
      <c r="L11" s="23">
        <f t="shared" si="7"/>
        <v>-389.38</v>
      </c>
      <c r="M11" s="23">
        <f t="shared" si="7"/>
        <v>-380.98899999999998</v>
      </c>
      <c r="N11" s="23">
        <f t="shared" si="7"/>
        <v>-598.69100000000003</v>
      </c>
      <c r="O11" s="23">
        <f t="shared" si="7"/>
        <v>-390.55900000000003</v>
      </c>
      <c r="P11" s="23">
        <f t="shared" si="7"/>
        <v>-326.68900000000002</v>
      </c>
      <c r="Q11" s="23">
        <f t="shared" si="7"/>
        <v>-376.10199999999998</v>
      </c>
      <c r="R11" s="23">
        <f t="shared" si="6"/>
        <v>-6484.5229999999992</v>
      </c>
    </row>
    <row r="12" spans="1:32" x14ac:dyDescent="0.25">
      <c r="A12" s="1"/>
      <c r="B12" s="19" t="s">
        <v>6</v>
      </c>
      <c r="C12" s="24">
        <f t="shared" ref="C12:Q12" si="8">C9-C8</f>
        <v>0</v>
      </c>
      <c r="D12" s="24">
        <f t="shared" si="8"/>
        <v>6.4000000000000057E-2</v>
      </c>
      <c r="E12" s="24">
        <f t="shared" si="8"/>
        <v>4.0579999999999927</v>
      </c>
      <c r="F12" s="24">
        <f t="shared" si="8"/>
        <v>4.0720000000000027</v>
      </c>
      <c r="G12" s="24">
        <f t="shared" si="8"/>
        <v>2.8690000000000282</v>
      </c>
      <c r="H12" s="24">
        <f t="shared" si="8"/>
        <v>1.5659999999999741</v>
      </c>
      <c r="I12" s="24">
        <f t="shared" si="8"/>
        <v>4.6449999999999818</v>
      </c>
      <c r="J12" s="24">
        <f t="shared" si="8"/>
        <v>1.1270000000000095</v>
      </c>
      <c r="K12" s="24">
        <f t="shared" si="8"/>
        <v>1.2029999999999745</v>
      </c>
      <c r="L12" s="24">
        <f t="shared" si="8"/>
        <v>0.22199999999997999</v>
      </c>
      <c r="M12" s="24">
        <f t="shared" si="8"/>
        <v>1.9489999999999554</v>
      </c>
      <c r="N12" s="24">
        <f t="shared" si="8"/>
        <v>0.85900000000003729</v>
      </c>
      <c r="O12" s="24">
        <f t="shared" si="8"/>
        <v>3.3380000000000223</v>
      </c>
      <c r="P12" s="24">
        <f t="shared" si="8"/>
        <v>3.0000000000427463E-3</v>
      </c>
      <c r="Q12" s="24">
        <f t="shared" si="8"/>
        <v>1.714999999999975</v>
      </c>
      <c r="R12" s="23">
        <f t="shared" si="6"/>
        <v>27.689999999999976</v>
      </c>
    </row>
    <row r="13" spans="1:32" x14ac:dyDescent="0.25">
      <c r="A13" s="1"/>
      <c r="B13" s="20" t="s">
        <v>7</v>
      </c>
      <c r="C13" s="24">
        <f t="shared" ref="C13:Q13" si="9">C11-C12</f>
        <v>-247.339</v>
      </c>
      <c r="D13" s="24">
        <f t="shared" si="9"/>
        <v>-27.17</v>
      </c>
      <c r="E13" s="24">
        <f t="shared" si="9"/>
        <v>-950.74900000000002</v>
      </c>
      <c r="F13" s="24">
        <f t="shared" si="9"/>
        <v>-626.81700000000001</v>
      </c>
      <c r="G13" s="24">
        <f t="shared" si="9"/>
        <v>-384.84000000000003</v>
      </c>
      <c r="H13" s="24">
        <f t="shared" si="9"/>
        <v>-343.67899999999997</v>
      </c>
      <c r="I13" s="24">
        <f t="shared" si="9"/>
        <v>-791.91800000000001</v>
      </c>
      <c r="J13" s="24">
        <f t="shared" si="9"/>
        <v>-375.13800000000003</v>
      </c>
      <c r="K13" s="24">
        <f t="shared" si="9"/>
        <v>-294.06699999999995</v>
      </c>
      <c r="L13" s="24">
        <f t="shared" si="9"/>
        <v>-389.60199999999998</v>
      </c>
      <c r="M13" s="24">
        <f t="shared" si="9"/>
        <v>-382.93799999999993</v>
      </c>
      <c r="N13" s="24">
        <f t="shared" si="9"/>
        <v>-599.55000000000007</v>
      </c>
      <c r="O13" s="24">
        <f t="shared" si="9"/>
        <v>-393.89700000000005</v>
      </c>
      <c r="P13" s="24">
        <f t="shared" si="9"/>
        <v>-326.69200000000006</v>
      </c>
      <c r="Q13" s="24">
        <f t="shared" si="9"/>
        <v>-377.81699999999995</v>
      </c>
      <c r="R13" s="23">
        <f t="shared" si="6"/>
        <v>-6512.2130000000006</v>
      </c>
    </row>
  </sheetData>
  <printOptions horizontalCentered="1"/>
  <pageMargins left="0.78740157480314965" right="0.78740157480314965" top="0.78740157480314965" bottom="0.78740157480314965" header="0" footer="0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0254E-919C-45FD-9360-12D0DD7CD191}">
  <dimension ref="A1:E1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7" sqref="C17"/>
    </sheetView>
  </sheetViews>
  <sheetFormatPr defaultRowHeight="23.25" x14ac:dyDescent="0.35"/>
  <cols>
    <col min="1" max="1" width="6.42578125" bestFit="1" customWidth="1"/>
    <col min="2" max="2" width="14.85546875" style="34" customWidth="1"/>
    <col min="3" max="3" width="11.85546875" style="38" customWidth="1"/>
    <col min="4" max="4" width="14" customWidth="1"/>
    <col min="5" max="5" width="10.28515625" style="28" customWidth="1"/>
  </cols>
  <sheetData>
    <row r="1" spans="1:5" ht="31.5" x14ac:dyDescent="0.25">
      <c r="A1" s="25" t="s">
        <v>1</v>
      </c>
      <c r="B1" s="32" t="s">
        <v>4</v>
      </c>
      <c r="C1" s="36" t="s">
        <v>9</v>
      </c>
      <c r="D1" s="26" t="s">
        <v>8</v>
      </c>
      <c r="E1" s="29" t="s">
        <v>9</v>
      </c>
    </row>
    <row r="2" spans="1:5" x14ac:dyDescent="0.25">
      <c r="A2" s="31">
        <v>201</v>
      </c>
      <c r="B2" s="33">
        <v>3026.174</v>
      </c>
      <c r="C2" s="37">
        <v>3004.288</v>
      </c>
      <c r="D2" s="33">
        <v>247.339</v>
      </c>
      <c r="E2" s="37">
        <v>247.339</v>
      </c>
    </row>
    <row r="3" spans="1:5" x14ac:dyDescent="0.25">
      <c r="A3" s="25" t="s">
        <v>2</v>
      </c>
      <c r="B3" s="33">
        <v>0</v>
      </c>
      <c r="C3" s="37">
        <v>0</v>
      </c>
      <c r="D3" s="33">
        <v>27.376000000000001</v>
      </c>
      <c r="E3" s="37">
        <v>27.376000000000001</v>
      </c>
    </row>
    <row r="4" spans="1:5" x14ac:dyDescent="0.25">
      <c r="A4" s="31">
        <v>202</v>
      </c>
      <c r="B4" s="33">
        <v>7062.835</v>
      </c>
      <c r="C4" s="37">
        <v>7046.0720000000001</v>
      </c>
      <c r="D4" s="33">
        <v>989.34699999999998</v>
      </c>
      <c r="E4" s="37">
        <v>986.60599999999999</v>
      </c>
    </row>
    <row r="5" spans="1:5" x14ac:dyDescent="0.25">
      <c r="A5" s="31">
        <v>301</v>
      </c>
      <c r="B5" s="33">
        <v>4540.6099999999997</v>
      </c>
      <c r="C5" s="37">
        <v>4520.8509999999997</v>
      </c>
      <c r="D5" s="33">
        <v>658.66499999999996</v>
      </c>
      <c r="E5" s="37">
        <v>654.60599999999999</v>
      </c>
    </row>
    <row r="6" spans="1:5" x14ac:dyDescent="0.25">
      <c r="A6" s="31">
        <v>302</v>
      </c>
      <c r="B6" s="33">
        <v>2454.7020000000002</v>
      </c>
      <c r="C6" s="37">
        <v>2434.7139999999999</v>
      </c>
      <c r="D6" s="33">
        <v>402.255</v>
      </c>
      <c r="E6" s="37">
        <v>399.82600000000002</v>
      </c>
    </row>
    <row r="7" spans="1:5" x14ac:dyDescent="0.25">
      <c r="A7" s="31">
        <v>401</v>
      </c>
      <c r="B7" s="33">
        <v>2498.0030000000002</v>
      </c>
      <c r="C7" s="37">
        <v>2472.444</v>
      </c>
      <c r="D7" s="33">
        <v>359.32600000000002</v>
      </c>
      <c r="E7" s="37">
        <v>357.91199999999998</v>
      </c>
    </row>
    <row r="8" spans="1:5" x14ac:dyDescent="0.25">
      <c r="A8" s="31">
        <v>402</v>
      </c>
      <c r="B8" s="33">
        <v>4812.4480000000003</v>
      </c>
      <c r="C8" s="37">
        <v>4788.6710000000003</v>
      </c>
      <c r="D8" s="33">
        <v>837.63599999999997</v>
      </c>
      <c r="E8" s="37">
        <v>832.81600000000003</v>
      </c>
    </row>
    <row r="9" spans="1:5" x14ac:dyDescent="0.25">
      <c r="A9" s="31">
        <v>501</v>
      </c>
      <c r="B9" s="33">
        <v>3175.7150000000001</v>
      </c>
      <c r="C9" s="37">
        <v>3150.2939999999999</v>
      </c>
      <c r="D9" s="33">
        <v>385.87099999999998</v>
      </c>
      <c r="E9" s="37">
        <v>384.65800000000002</v>
      </c>
    </row>
    <row r="10" spans="1:5" x14ac:dyDescent="0.25">
      <c r="A10" s="31">
        <v>502</v>
      </c>
      <c r="B10" s="33">
        <v>2640.6840000000002</v>
      </c>
      <c r="C10" s="37">
        <v>2627.2429999999999</v>
      </c>
      <c r="D10" s="33">
        <v>307.803</v>
      </c>
      <c r="E10" s="37">
        <v>306.774</v>
      </c>
    </row>
    <row r="11" spans="1:5" x14ac:dyDescent="0.25">
      <c r="A11" s="31">
        <v>601</v>
      </c>
      <c r="B11" s="33">
        <v>2325.4050000000002</v>
      </c>
      <c r="C11" s="37">
        <v>2321.4259999999999</v>
      </c>
      <c r="D11" s="33">
        <v>395.88299999999998</v>
      </c>
      <c r="E11" s="37">
        <v>395.30099999999999</v>
      </c>
    </row>
    <row r="12" spans="1:5" x14ac:dyDescent="0.25">
      <c r="A12" s="31">
        <v>602</v>
      </c>
      <c r="B12" s="33">
        <v>2353.4079999999999</v>
      </c>
      <c r="C12" s="37">
        <v>2352.7260000000001</v>
      </c>
      <c r="D12" s="33">
        <v>394.26400000000001</v>
      </c>
      <c r="E12" s="37">
        <v>394.13400000000001</v>
      </c>
    </row>
    <row r="13" spans="1:5" x14ac:dyDescent="0.25">
      <c r="A13" s="31">
        <v>701</v>
      </c>
      <c r="B13" s="33">
        <v>3231.136</v>
      </c>
      <c r="C13" s="37">
        <v>3217.6779999999999</v>
      </c>
      <c r="D13" s="33">
        <v>607.16899999999998</v>
      </c>
      <c r="E13" s="37">
        <v>606.38400000000001</v>
      </c>
    </row>
    <row r="14" spans="1:5" x14ac:dyDescent="0.25">
      <c r="A14" s="31">
        <v>702</v>
      </c>
      <c r="B14" s="33">
        <v>1045.67</v>
      </c>
      <c r="C14" s="37">
        <v>1038.48</v>
      </c>
      <c r="D14" s="33">
        <v>434.64299999999997</v>
      </c>
      <c r="E14" s="37">
        <v>430.88200000000001</v>
      </c>
    </row>
    <row r="15" spans="1:5" x14ac:dyDescent="0.25">
      <c r="A15" s="31">
        <v>801</v>
      </c>
      <c r="B15" s="33">
        <v>5380.4359999999997</v>
      </c>
      <c r="C15" s="37">
        <v>5375.9049999999997</v>
      </c>
      <c r="D15" s="33">
        <v>328.11200000000002</v>
      </c>
      <c r="E15" s="37">
        <v>327.68900000000002</v>
      </c>
    </row>
    <row r="16" spans="1:5" x14ac:dyDescent="0.25">
      <c r="A16" s="31">
        <v>802</v>
      </c>
      <c r="B16" s="33">
        <v>3674.989</v>
      </c>
      <c r="C16" s="37">
        <v>3660.88</v>
      </c>
      <c r="D16" s="33">
        <v>395.25299999999999</v>
      </c>
      <c r="E16" s="37">
        <v>392.81299999999999</v>
      </c>
    </row>
    <row r="17" spans="1:5" ht="15" x14ac:dyDescent="0.25">
      <c r="A17" s="25" t="s">
        <v>3</v>
      </c>
      <c r="B17" s="35">
        <f>SUM(B2:B16)</f>
        <v>48222.215000000004</v>
      </c>
      <c r="C17" s="30">
        <f>SUM(C2:C16)</f>
        <v>48011.671999999999</v>
      </c>
      <c r="D17" s="35">
        <f>SUM(D2:D16)</f>
        <v>6770.942</v>
      </c>
      <c r="E17" s="30">
        <f>SUM(E2:E16)</f>
        <v>6745.116</v>
      </c>
    </row>
    <row r="19" spans="1:5" x14ac:dyDescent="0.35">
      <c r="B19" s="34" t="s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 GERAL</vt:lpstr>
      <vt:lpstr>Planilha2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Robson</dc:creator>
  <cp:keywords/>
  <dc:description/>
  <cp:lastModifiedBy>Robson Dias Ribeiro</cp:lastModifiedBy>
  <cp:revision/>
  <dcterms:created xsi:type="dcterms:W3CDTF">2023-02-05T15:12:57Z</dcterms:created>
  <dcterms:modified xsi:type="dcterms:W3CDTF">2026-03-29T14:25:19Z</dcterms:modified>
  <cp:category/>
  <cp:contentStatus/>
</cp:coreProperties>
</file>