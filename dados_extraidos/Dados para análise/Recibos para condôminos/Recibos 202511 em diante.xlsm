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F:\H\Outr\Condomínio Neápolis\Condôminos recibos\"/>
    </mc:Choice>
  </mc:AlternateContent>
  <xr:revisionPtr revIDLastSave="0" documentId="13_ncr:1_{ACE41DA9-9056-4CCE-8B46-94761FC9AFD6}" xr6:coauthVersionLast="47" xr6:coauthVersionMax="47" xr10:uidLastSave="{00000000-0000-0000-0000-000000000000}"/>
  <bookViews>
    <workbookView xWindow="-120" yWindow="-120" windowWidth="29040" windowHeight="15720" activeTab="2" xr2:uid="{F44DC534-C6D3-4049-81EF-251C5BDFAEC8}"/>
  </bookViews>
  <sheets>
    <sheet name="201" sheetId="14" r:id="rId1"/>
    <sheet name="202" sheetId="10" r:id="rId2"/>
    <sheet name="301" sheetId="15" r:id="rId3"/>
    <sheet name="302" sheetId="16" r:id="rId4"/>
    <sheet name="401" sheetId="11" r:id="rId5"/>
    <sheet name="402" sheetId="17" r:id="rId6"/>
    <sheet name="501" sheetId="18" r:id="rId7"/>
    <sheet name="502" sheetId="19" r:id="rId8"/>
    <sheet name="601 COND" sheetId="12" r:id="rId9"/>
    <sheet name="601 FRESERV" sheetId="13" r:id="rId10"/>
    <sheet name="602" sheetId="20" r:id="rId11"/>
    <sheet name="701" sheetId="21" r:id="rId12"/>
    <sheet name="702" sheetId="22" r:id="rId13"/>
    <sheet name="801" sheetId="8" r:id="rId14"/>
    <sheet name="RECIBO MOD AP 601 COND NÃO USAR" sheetId="6" r:id="rId15"/>
    <sheet name="RECIBO MOD 601 FRESERV Ñ USAR" sheetId="7" r:id="rId16"/>
    <sheet name="RECIBO MODELO AP 202 NÃO USAR" sheetId="2" r:id="rId17"/>
  </sheets>
  <functionGroups builtInGroupCount="19"/>
  <externalReferences>
    <externalReference r:id="rId18"/>
  </externalReferences>
  <definedNames>
    <definedName name="_xleta.AND" hidden="1" xlm="1">#NAME?</definedName>
    <definedName name="D.ACESS.SOBRE_TOT.PROD">#REF!</definedName>
    <definedName name="DESP.ACESS.">#REF!</definedName>
    <definedName name="ICMS_ST_DO_TOTAL_DOS_PRODUTOS">#REF!</definedName>
    <definedName name="PERCENT_ICMS_ST_DO_TOTAL_DOS_PRODUTOS">#REF!</definedName>
    <definedName name="QT.A">#REF!</definedName>
    <definedName name="QT.B">#REF!</definedName>
    <definedName name="QT.C">#REF!</definedName>
    <definedName name="QT.D">#REF!</definedName>
    <definedName name="QTD._A">#REF!</definedName>
    <definedName name="QTD._B">#REF!</definedName>
    <definedName name="QTD._C">#REF!</definedName>
    <definedName name="QTD.A">#REF!</definedName>
    <definedName name="QTD.B">#REF!</definedName>
    <definedName name="QTD.C">#REF!</definedName>
    <definedName name="QTD.D">#REF!</definedName>
    <definedName name="TOT_NF">#REF!</definedName>
    <definedName name="TOT_PROD">#REF!</definedName>
    <definedName name="VALOR_DO_ICMS_ST">#REF!</definedName>
    <definedName name="VALOR_TOTAL_DA_NOTA">#REF!</definedName>
    <definedName name="VALOR_TOTAL_DOS_PRODUTOS">#REF!</definedName>
    <definedName name="VLR.TOTAL_A">#REF!</definedName>
    <definedName name="VLR.TOTAL_B">#REF!</definedName>
    <definedName name="VLR.TOTAL_C">#REF!</definedName>
    <definedName name="VLR.TOTAL_D">#REF!</definedName>
    <definedName name="VR.TOT.A">#REF!</definedName>
    <definedName name="VR.TOT.B">#REF!</definedName>
    <definedName name="VR.TOT.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8" l="1"/>
  <c r="C13" i="8"/>
  <c r="A13" i="8"/>
  <c r="E12" i="8"/>
  <c r="C7" i="8"/>
  <c r="E3" i="8"/>
  <c r="A6" i="8" a="1"/>
  <c r="A6" i="8" s="1"/>
  <c r="D15" i="8"/>
  <c r="A10" i="2"/>
  <c r="D13" i="2"/>
  <c r="B4" i="2"/>
  <c r="D13" i="6"/>
  <c r="D13" i="7"/>
  <c r="A10" i="7"/>
  <c r="E4" i="7"/>
  <c r="B4" i="7"/>
  <c r="A10" i="6"/>
  <c r="B4" i="6"/>
  <c r="D12" i="22"/>
  <c r="B4" i="22"/>
  <c r="C10" i="22"/>
  <c r="D12" i="21"/>
  <c r="B4" i="21"/>
  <c r="C10" i="21"/>
  <c r="D12" i="20"/>
  <c r="B4" i="20"/>
  <c r="C10" i="20"/>
  <c r="D12" i="19"/>
  <c r="B4" i="19"/>
  <c r="C10" i="19"/>
  <c r="B4" i="18"/>
  <c r="B4" i="17"/>
  <c r="D12" i="16"/>
  <c r="B4" i="16"/>
  <c r="D12" i="15"/>
  <c r="B4" i="15"/>
  <c r="D12" i="14"/>
  <c r="B4" i="14"/>
  <c r="E4" i="20" l="1"/>
  <c r="E4" i="17"/>
  <c r="E4" i="2"/>
  <c r="E4" i="16"/>
  <c r="E4" i="15"/>
  <c r="E4" i="19"/>
  <c r="E4" i="22"/>
  <c r="E4" i="21"/>
  <c r="A8" i="19" a="1"/>
  <c r="A8" i="22" a="1"/>
  <c r="A8" i="20" a="1"/>
  <c r="A8" i="21" a="1"/>
  <c r="A8" i="21" l="1"/>
  <c r="A8" i="20"/>
  <c r="A8" i="22"/>
  <c r="A8" i="19"/>
  <c r="E4" i="14"/>
  <c r="E4" i="6" l="1"/>
  <c r="D12" i="18"/>
  <c r="E4" i="18"/>
  <c r="C10" i="18"/>
  <c r="D12" i="17"/>
  <c r="C10" i="17"/>
  <c r="C10" i="16"/>
  <c r="C10" i="15"/>
  <c r="C10" i="14"/>
  <c r="D12" i="13"/>
  <c r="E4" i="13"/>
  <c r="B4" i="13"/>
  <c r="C10" i="13"/>
  <c r="D12" i="12"/>
  <c r="E4" i="12"/>
  <c r="B4" i="12"/>
  <c r="C10" i="12"/>
  <c r="D12" i="11"/>
  <c r="E4" i="11"/>
  <c r="B4" i="11"/>
  <c r="C10" i="11"/>
  <c r="A8" i="18" a="1"/>
  <c r="A8" i="11" a="1"/>
  <c r="A8" i="14" a="1"/>
  <c r="A8" i="16" a="1"/>
  <c r="A8" i="13" a="1"/>
  <c r="A8" i="17" a="1"/>
  <c r="A8" i="15" a="1"/>
  <c r="A8" i="12" a="1"/>
  <c r="A8" i="18" l="1"/>
  <c r="A8" i="17"/>
  <c r="A8" i="16"/>
  <c r="A8" i="15"/>
  <c r="A8" i="14"/>
  <c r="A8" i="13"/>
  <c r="A8" i="12"/>
  <c r="A8" i="11"/>
  <c r="D12" i="10"/>
  <c r="C10" i="10"/>
  <c r="B4" i="10"/>
  <c r="B3" i="8"/>
  <c r="A8" i="2" a="1"/>
  <c r="A8" i="2" l="1"/>
  <c r="A8" i="6" a="1"/>
  <c r="A8" i="6" l="1"/>
  <c r="E4" i="10" l="1"/>
  <c r="A8" i="10" a="1"/>
  <c r="A8" i="10" l="1"/>
  <c r="A8" i="7" a="1"/>
  <c r="A8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<sst xmlns="http://schemas.openxmlformats.org/spreadsheetml/2006/main" count="142" uniqueCount="53">
  <si>
    <t>RECIBO</t>
  </si>
  <si>
    <t>Recebi de Homero Gomes Junior a importância de</t>
  </si>
  <si>
    <t>correspondente a taxa de condomínio e fundo de reserva vencidos no mês</t>
  </si>
  <si>
    <t>do apartamento 202 do Edifício Neápolis, situado na Rua Graça, nº 52, Bairro Padre Eustáquio, em Belo Horizonte/MG.</t>
  </si>
  <si>
    <t>Nº:</t>
  </si>
  <si>
    <t>VALOR:</t>
  </si>
  <si>
    <t>Recebi de Cláudia Sueli Martins de Faria a importância de</t>
  </si>
  <si>
    <t>correspondente à taxa de condomínio vencida no mês</t>
  </si>
  <si>
    <t>do apartamento 601 do Edifício Neápolis, situado na Rua Graça, nº 52, Bairro Padre Eustáquio, em Belo Horizonte/MG.</t>
  </si>
  <si>
    <t>Recebi de Gilberto Augusto Beltrão a importância de</t>
  </si>
  <si>
    <t>correspondente ao fundo de reserva vencido no mês</t>
  </si>
  <si>
    <t>.</t>
  </si>
  <si>
    <t>Belo Horizonte/MG ,</t>
  </si>
  <si>
    <t>EM</t>
  </si>
  <si>
    <t>,</t>
  </si>
  <si>
    <t>para pagamento da taxa de condomínio e do fundo de reserva do apartamento 801 do Edifício Neápolis, situado na Rua Graça, nº 52, Bairro Padre Eustáquio, em Belo Horizonte/MG.</t>
  </si>
  <si>
    <t>MÊS/ANO</t>
  </si>
  <si>
    <t>VALOR DEVIDO</t>
  </si>
  <si>
    <t>VALOR RECEBIDO</t>
  </si>
  <si>
    <t>SALDO ANTERIOR</t>
  </si>
  <si>
    <t>SALDO CREDOR</t>
  </si>
  <si>
    <r>
      <t xml:space="preserve">Seguem abaixo a última quitação e o saldo credor até o presente momento. </t>
    </r>
    <r>
      <rPr>
        <b/>
        <i/>
        <sz val="18"/>
        <color theme="1"/>
        <rFont val="Aptos Narrow"/>
        <family val="2"/>
        <scheme val="minor"/>
      </rPr>
      <t>Este recibo substitui os anteriores</t>
    </r>
    <r>
      <rPr>
        <sz val="18"/>
        <color theme="1"/>
        <rFont val="Aptos Narrow"/>
        <family val="2"/>
        <scheme val="minor"/>
      </rPr>
      <t>. Eventual saldo em seu favor será utilizado para quitar taxas de condomínio e fundos de reserva vincendos.</t>
    </r>
  </si>
  <si>
    <t>vencidos    em</t>
  </si>
  <si>
    <t>correspondente a taxa de condomínio e fundo de reserva do apartamento 202 do Edifício Neápolis, situado na Rua Graça, nº 52, Bairro Padre Eustáquio, em Belo Horizonte/MG,</t>
  </si>
  <si>
    <t>Recebi     de     Homero     Gomes     Junior     a     importância     de</t>
  </si>
  <si>
    <t>Recebi   de   Alberto   Jacomini   de   Souza   a   importância   de</t>
  </si>
  <si>
    <t>Recebi    de    Gisele   Maria   Marino   Costa   a    importância    de</t>
  </si>
  <si>
    <t>Recebi   de    Cláudia Sueli Martins de Faria    a    importância   de</t>
  </si>
  <si>
    <t>vencida    em</t>
  </si>
  <si>
    <t>Recebi    de     Gilberto    Augusto    Beltrão     a     importância    de</t>
  </si>
  <si>
    <t>vencido    em</t>
  </si>
  <si>
    <t>correspondente à taxa de condomínio do apartamento 601 do Edifício Neápolis, situado na Rua Graça, nº 52, Bairro Padre Eustáquio, em Belo Horizonte/MG,</t>
  </si>
  <si>
    <t>correspondente a taxa de condomínio e fundo de reserva do apartamento 401 do Edifício Neápolis, situado na Rua Graça, nº 52, Bairro Padre Eustáquio, em Belo Horizonte/MG,</t>
  </si>
  <si>
    <t>correspondente ao fundo de reserva do apartamento 601 do Edifício Neápolis, situado na Rua Graça, nº 52, Bairro Padre Eustáquio, em Belo Horizonte/MG,</t>
  </si>
  <si>
    <t>correspondente a taxa de condomínio e fundo de reserva do apartamento 201 do Edifício Neápolis, situado na Rua Graça, nº 52, Bairro Padre Eustáquio, em Belo Horizonte/MG,</t>
  </si>
  <si>
    <t>Recebi      de      Lucas    Moreira    Ferreira     a     importância      de</t>
  </si>
  <si>
    <t>Recebi     de     Michelle   de   Paula   Prado     a    importância     de</t>
  </si>
  <si>
    <t>correspondente a taxa de condomínio e fundo de reserva do apartamento 301 do Edifício Neápolis, situado na Rua Graça, nº 52, Bairro Padre Eustáquio, em Belo Horizonte/MG,</t>
  </si>
  <si>
    <t>correspondente a taxa de condomínio e fundo de reserva do apartamento 302 do Edifício Neápolis, situado na Rua Graça, nº 52, Bairro Padre Eustáquio, em Belo Horizonte/MG,</t>
  </si>
  <si>
    <t>Recebi      de      Nathana  Torres  de  Lima     a     importância      de</t>
  </si>
  <si>
    <t>Recebi    de    Maria  Lúcia  Santana  Costa    a    importância     de</t>
  </si>
  <si>
    <t>correspondente a taxa de condomínio e fundo de reserva do apartamento 402 do Edifício Neápolis, situado na Rua Graça, nº 52, Bairro Padre Eustáquio, em Belo Horizonte/MG,</t>
  </si>
  <si>
    <t>Recebi      de      Dyego     Terceiro     Sá       a       importância        de</t>
  </si>
  <si>
    <t>correspondente a taxa de condomínio e fundo de reserva do apartamento 501 do Edifício Neápolis, situado na Rua Graça, nº 52, Bairro Padre Eustáquio, em Belo Horizonte/MG,</t>
  </si>
  <si>
    <t>correspondente a taxa de condomínio e fundo de reserva do apartamento 502 do Edifício Neápolis, situado na Rua Graça, nº 52, Bairro Padre Eustáquio, em Belo Horizonte/MG,</t>
  </si>
  <si>
    <t>Recebi     de      Rogério   Silva   Marques      a      importância       de</t>
  </si>
  <si>
    <t>correspondente a taxa de condomínio e fundo de reserva do apartamento 602 do Edifício Neápolis, situado na Rua Graça, nº 52, Bairro Padre Eustáquio, em Belo Horizonte/MG,</t>
  </si>
  <si>
    <t>Recebi     de      Paulo   Celino   Cordeiro      a      importância       de</t>
  </si>
  <si>
    <t>correspondente a taxa de condomínio e fundo de reserva do apartamento 701 do Edifício Neápolis, situado na Rua Graça, nº 52, Bairro Padre Eustáquio, em Belo Horizonte/MG,</t>
  </si>
  <si>
    <t>Recebi  de   Luiz Gustavo de Souza Gomes   a    importância     de</t>
  </si>
  <si>
    <t>correspondente a taxa de condomínio e fundo de reserva do apartamento 702 do Edifício Neápolis, situado na Rua Graça, nº 52, Bairro Padre Eustáquio, em Belo Horizonte/MG,</t>
  </si>
  <si>
    <t>Recebi  de   Maria   Rosária   Pinto   Versiani   a    importância    de</t>
  </si>
  <si>
    <t>Belo Horizonte/MG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</si>
</sst>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"/>
    <numFmt numFmtId="165" formatCode="&quot;R$&quot;\ #,##0.00"/>
    <numFmt numFmtId="166" formatCode="mm/yyyy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indexed="8"/>
      <name val="Calibri"/>
      <family val="2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165" fontId="3" fillId="0" borderId="0" xfId="0" applyNumberFormat="1" applyFont="1"/>
    <xf numFmtId="0" fontId="3" fillId="0" borderId="0" xfId="0" applyFont="1" applyAlignment="1">
      <alignment horizontal="justify"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/>
    </xf>
    <xf numFmtId="0" fontId="4" fillId="0" borderId="0" xfId="0" applyFont="1" applyAlignment="1">
      <alignment horizontal="center"/>
    </xf>
    <xf numFmtId="164" fontId="3" fillId="0" borderId="0" xfId="0" quotePrefix="1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4" fillId="0" borderId="0" xfId="0" applyFont="1"/>
    <xf numFmtId="0" fontId="2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2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2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14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left"/>
    </xf>
    <xf numFmtId="0" fontId="6" fillId="0" borderId="1" xfId="0" applyFont="1" applyBorder="1" applyAlignment="1">
      <alignment horizontal="centerContinuous"/>
    </xf>
    <xf numFmtId="0" fontId="3" fillId="0" borderId="3" xfId="0" applyFont="1" applyBorder="1" applyAlignment="1">
      <alignment horizontal="centerContinuous"/>
    </xf>
    <xf numFmtId="166" fontId="6" fillId="0" borderId="1" xfId="0" applyNumberFormat="1" applyFont="1" applyBorder="1" applyAlignment="1">
      <alignment horizontal="centerContinuous"/>
    </xf>
    <xf numFmtId="165" fontId="6" fillId="0" borderId="4" xfId="0" applyNumberFormat="1" applyFont="1" applyBorder="1"/>
    <xf numFmtId="0" fontId="2" fillId="0" borderId="0" xfId="0" applyFont="1" applyAlignment="1">
      <alignment vertical="top"/>
    </xf>
    <xf numFmtId="0" fontId="3" fillId="0" borderId="0" xfId="0" applyFont="1" applyAlignment="1">
      <alignment vertical="top"/>
    </xf>
    <xf numFmtId="14" fontId="2" fillId="0" borderId="0" xfId="0" applyNumberFormat="1" applyFont="1" applyAlignment="1">
      <alignment vertical="top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2" fillId="0" borderId="0" xfId="0" applyFont="1" applyAlignment="1">
      <alignment horizontal="right"/>
    </xf>
    <xf numFmtId="0" fontId="7" fillId="0" borderId="1" xfId="0" applyFont="1" applyBorder="1"/>
    <xf numFmtId="0" fontId="3" fillId="0" borderId="1" xfId="0" applyFont="1" applyBorder="1"/>
    <xf numFmtId="0" fontId="7" fillId="0" borderId="2" xfId="0" applyFont="1" applyBorder="1"/>
    <xf numFmtId="14" fontId="3" fillId="0" borderId="0" xfId="0" applyNumberFormat="1" applyFont="1" applyAlignment="1">
      <alignment horizontal="left"/>
    </xf>
    <xf numFmtId="0" fontId="3" fillId="0" borderId="5" xfId="0" applyFont="1" applyBorder="1" applyAlignment="1">
      <alignment horizontal="justify" wrapText="1"/>
    </xf>
    <xf numFmtId="0" fontId="3" fillId="0" borderId="0" xfId="0" applyFont="1" applyAlignment="1">
      <alignment horizontal="justify" wrapText="1"/>
    </xf>
    <xf numFmtId="0" fontId="3" fillId="0" borderId="0" xfId="0" applyFont="1" applyAlignment="1">
      <alignment horizontal="justify" vertical="top" wrapText="1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</cellXfs>
  <cellStyles count="2">
    <cellStyle name="Normal" xfId="0" builtinId="0"/>
    <cellStyle name="Normal 2" xfId="1" xr:uid="{3B47CB88-D990-41BE-80B7-0BA1DF07323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7F30B5A6-64C7-4CE8-9D98-DFF62F0C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917D60C8-800D-444A-9D42-331FDFB90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029325"/>
          <a:ext cx="3550553" cy="9429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496CCC2F-B046-45C8-83AB-80510458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64D5B095-B8D4-43D1-AED9-49DC39B74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D2F1514E-07ED-4D29-A4F0-D05DAD17C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84F74ECA-9356-4A9E-97FC-02834B4A1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BBA88338-BE53-41AC-A5D9-9BFC830D7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74F2C4FB-68B4-47D9-8C7B-76A70E381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B8C8C9B4-2054-475A-85DC-9468A48B5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99B0A040-F822-408F-ACF5-58BFF428F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821F1ED9-7AE3-43FF-A705-CA4401E2B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11B1A619-615D-414D-9905-CAB0BE885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17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9116BEB3-FF25-4F91-8A7B-152EFCE90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162675"/>
          <a:ext cx="3550553" cy="942975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15</xdr:row>
      <xdr:rowOff>390525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4A3342EB-856C-4757-9AC5-31FDFAE98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7162800"/>
          <a:ext cx="3550553" cy="942975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18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F438263C-9B20-422B-97E0-6564CEED8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6553200"/>
          <a:ext cx="3550553" cy="942975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18</xdr:row>
      <xdr:rowOff>95250</xdr:rowOff>
    </xdr:from>
    <xdr:ext cx="3550553" cy="942975"/>
    <xdr:pic>
      <xdr:nvPicPr>
        <xdr:cNvPr id="2" name="Imagem 1">
          <a:extLst>
            <a:ext uri="{FF2B5EF4-FFF2-40B4-BE49-F238E27FC236}">
              <a16:creationId xmlns:a16="http://schemas.microsoft.com/office/drawing/2014/main" id="{5BEEDD78-7DC5-4965-A267-8649C4F0E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6286500"/>
          <a:ext cx="3550553" cy="942975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18</xdr:row>
      <xdr:rowOff>95250</xdr:rowOff>
    </xdr:from>
    <xdr:ext cx="3550553" cy="942975"/>
    <xdr:pic>
      <xdr:nvPicPr>
        <xdr:cNvPr id="5" name="Imagem 4">
          <a:extLst>
            <a:ext uri="{FF2B5EF4-FFF2-40B4-BE49-F238E27FC236}">
              <a16:creationId xmlns:a16="http://schemas.microsoft.com/office/drawing/2014/main" id="{8661F0C5-395B-4B56-B0B3-481B7A119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7439025"/>
          <a:ext cx="3550553" cy="9429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lanilhas%20mensais/Planilhas%20mensais%20202508%20em%20diante%20RASCUNHO%20EM%20USO.xlsx" TargetMode="External"/><Relationship Id="rId2" Type="http://schemas.openxmlformats.org/officeDocument/2006/relationships/externalLinkPath" Target="file:///F:\H\Outr\Condom&#237;nio%20Ne&#225;polis\Planilhas%20mensais\Planilhas%20mensais%20202508%20em%20diante%20RASCUNHO%20EM%20USO.xlsx" TargetMode="External"/><Relationship Id="rId1" Type="http://schemas.openxmlformats.org/officeDocument/2006/relationships/externalLinkPath" Target="/H/Outr/Condom&#237;nio%20Ne&#225;polis/Planilhas%20mensais/Planilhas%20mensais%20202508%20em%20diante%20RASCUNHO%20EM%20US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ORIENTAÇÕES E CONF."/>
      <sheetName val="MEDIÇÕES E COPASA HISTÓRICO"/>
      <sheetName val="MEDIÇÕES E TABELAS"/>
      <sheetName val="LANÇTºS"/>
      <sheetName val="VRS. DEVIDOS E OUTROS"/>
      <sheetName val="DADOS DO PAGTº"/>
      <sheetName val="PLAN P COND"/>
      <sheetName val="COPIAR PLAN P COND P TODAS"/>
    </sheetNames>
    <sheetDataSet>
      <sheetData sheetId="0"/>
      <sheetData sheetId="1"/>
      <sheetData sheetId="2">
        <row r="139">
          <cell r="D139" t="str">
            <v>,  01/04/2026 .</v>
          </cell>
          <cell r="E139" t="str">
            <v>abril/2026 .</v>
          </cell>
        </row>
        <row r="146">
          <cell r="G146">
            <v>745</v>
          </cell>
          <cell r="I146">
            <v>2593</v>
          </cell>
          <cell r="J146">
            <v>46125</v>
          </cell>
        </row>
        <row r="147">
          <cell r="G147">
            <v>782</v>
          </cell>
          <cell r="I147">
            <v>2594</v>
          </cell>
          <cell r="J147">
            <v>46115</v>
          </cell>
        </row>
        <row r="148">
          <cell r="G148">
            <v>871</v>
          </cell>
          <cell r="I148">
            <v>2595</v>
          </cell>
          <cell r="J148">
            <v>46125</v>
          </cell>
        </row>
        <row r="149">
          <cell r="G149">
            <v>812</v>
          </cell>
          <cell r="I149">
            <v>2596</v>
          </cell>
          <cell r="J149">
            <v>46125</v>
          </cell>
        </row>
        <row r="150">
          <cell r="G150">
            <v>846</v>
          </cell>
          <cell r="I150">
            <v>2597</v>
          </cell>
          <cell r="J150">
            <v>46121</v>
          </cell>
        </row>
        <row r="151">
          <cell r="G151">
            <v>952</v>
          </cell>
          <cell r="I151">
            <v>2598</v>
          </cell>
          <cell r="J151">
            <v>46114</v>
          </cell>
        </row>
        <row r="152">
          <cell r="G152">
            <v>836</v>
          </cell>
          <cell r="I152">
            <v>2599</v>
          </cell>
          <cell r="J152">
            <v>46113</v>
          </cell>
        </row>
        <row r="153">
          <cell r="G153">
            <v>675</v>
          </cell>
          <cell r="I153">
            <v>2600</v>
          </cell>
          <cell r="J153">
            <v>46122</v>
          </cell>
        </row>
        <row r="154">
          <cell r="I154">
            <v>2601</v>
          </cell>
          <cell r="J154">
            <v>46123</v>
          </cell>
          <cell r="R154">
            <v>386</v>
          </cell>
        </row>
        <row r="155">
          <cell r="G155">
            <v>477</v>
          </cell>
          <cell r="I155">
            <v>2602</v>
          </cell>
          <cell r="J155">
            <v>46121</v>
          </cell>
        </row>
        <row r="156">
          <cell r="G156">
            <v>666</v>
          </cell>
          <cell r="I156">
            <v>2603</v>
          </cell>
          <cell r="J156">
            <v>46122</v>
          </cell>
        </row>
        <row r="157">
          <cell r="G157">
            <v>698</v>
          </cell>
          <cell r="I157">
            <v>2604</v>
          </cell>
          <cell r="J157">
            <v>46121</v>
          </cell>
        </row>
        <row r="158">
          <cell r="I158">
            <v>2605</v>
          </cell>
        </row>
        <row r="160">
          <cell r="G160">
            <v>150</v>
          </cell>
          <cell r="I160">
            <v>2607</v>
          </cell>
          <cell r="J160">
            <v>46122</v>
          </cell>
        </row>
      </sheetData>
      <sheetData sheetId="3"/>
      <sheetData sheetId="4">
        <row r="119">
          <cell r="E119">
            <v>3000</v>
          </cell>
          <cell r="F119">
            <v>45994</v>
          </cell>
        </row>
        <row r="122">
          <cell r="G122">
            <v>1065</v>
          </cell>
        </row>
        <row r="123">
          <cell r="A123">
            <v>46113</v>
          </cell>
          <cell r="C123">
            <v>538</v>
          </cell>
          <cell r="G123">
            <v>527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7581-B47E-4110-A762-E703A310B01D}">
  <sheetPr codeName="Planilha10"/>
  <dimension ref="A1:G34"/>
  <sheetViews>
    <sheetView view="pageBreakPreview" zoomScaleNormal="100" zoomScaleSheetLayoutView="100" workbookViewId="0"/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TABELAS'!$I$146</f>
        <v>2593</v>
      </c>
      <c r="D4" s="34" t="s">
        <v>5</v>
      </c>
      <c r="E4" s="5">
        <f>'[1]MEDIÇÕES E TABELAS'!$G$146</f>
        <v>745</v>
      </c>
    </row>
    <row r="5" spans="1:7" x14ac:dyDescent="0.4">
      <c r="B5" s="3"/>
      <c r="D5" s="4"/>
      <c r="E5" s="5"/>
    </row>
    <row r="7" spans="1:7" ht="29.25" customHeight="1" x14ac:dyDescent="0.4">
      <c r="A7" s="29" t="s">
        <v>35</v>
      </c>
    </row>
    <row r="8" spans="1:7" x14ac:dyDescent="0.4">
      <c r="A8" s="35" t="str" cm="1">
        <f t="array" ref="A8">Extenso(E4)&amp;","</f>
        <v>setecentos e quarenta e cinco reais,</v>
      </c>
      <c r="B8" s="17"/>
      <c r="C8" s="17"/>
      <c r="D8" s="17"/>
      <c r="E8" s="18"/>
    </row>
    <row r="9" spans="1:7" ht="77.25" customHeight="1" x14ac:dyDescent="0.4">
      <c r="A9" s="39" t="s">
        <v>34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TABELAS'!$J$146</f>
        <v>46125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D19FA-CEE5-48C2-8658-85943E125B4F}">
  <sheetPr codeName="Planilha6"/>
  <dimension ref="A1:G34"/>
  <sheetViews>
    <sheetView view="pageBreakPreview" zoomScaleNormal="100" zoomScaleSheetLayoutView="100" workbookViewId="0">
      <selection activeCell="D12" sqref="D12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TABELAS'!$I$147</f>
        <v>2594</v>
      </c>
      <c r="D4" s="34" t="s">
        <v>5</v>
      </c>
      <c r="E4" s="5">
        <f>'[1]MEDIÇÕES E TABELAS'!$G$147</f>
        <v>782</v>
      </c>
    </row>
    <row r="5" spans="1:7" x14ac:dyDescent="0.4">
      <c r="B5" s="3"/>
      <c r="D5" s="4"/>
      <c r="E5" s="5"/>
    </row>
    <row r="7" spans="1:7" ht="29.25" customHeight="1" x14ac:dyDescent="0.4">
      <c r="A7" s="29" t="s">
        <v>24</v>
      </c>
    </row>
    <row r="8" spans="1:7" x14ac:dyDescent="0.4">
      <c r="A8" s="35" t="str" cm="1">
        <f t="array" ref="A8">Extenso(E4)&amp;","</f>
        <v>setecentos e oitenta e dois reais,</v>
      </c>
      <c r="B8" s="17"/>
      <c r="C8" s="17"/>
      <c r="D8" s="17"/>
      <c r="E8" s="18"/>
    </row>
    <row r="9" spans="1:7" ht="77.25" customHeight="1" x14ac:dyDescent="0.4">
      <c r="A9" s="39" t="s">
        <v>23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TABELAS'!$J$147</f>
        <v>46115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18:E18"/>
    <mergeCell ref="A9:E9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4B2A-3E92-4C4D-8E73-A7FE284C70DA}">
  <sheetPr codeName="Planilha11"/>
  <dimension ref="A1:G34"/>
  <sheetViews>
    <sheetView tabSelected="1" view="pageBreakPreview" zoomScaleNormal="100" zoomScaleSheetLayoutView="100" workbookViewId="0">
      <selection activeCell="A7" sqref="A7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TABELAS'!$I$148</f>
        <v>2595</v>
      </c>
      <c r="D4" s="34" t="s">
        <v>5</v>
      </c>
      <c r="E4" s="5">
        <f>'[1]MEDIÇÕES E TABELAS'!$G$148</f>
        <v>871</v>
      </c>
    </row>
    <row r="5" spans="1:7" x14ac:dyDescent="0.4">
      <c r="B5" s="3"/>
      <c r="D5" s="4"/>
      <c r="E5" s="5"/>
    </row>
    <row r="7" spans="1:7" ht="29.25" customHeight="1" x14ac:dyDescent="0.4">
      <c r="A7" s="29" t="s">
        <v>36</v>
      </c>
    </row>
    <row r="8" spans="1:7" x14ac:dyDescent="0.4">
      <c r="A8" s="35" t="str" cm="1">
        <f t="array" ref="A8">Extenso(E4)&amp;","</f>
        <v>oitocentos e setenta e um reais,</v>
      </c>
      <c r="B8" s="17"/>
      <c r="C8" s="17"/>
      <c r="D8" s="17"/>
      <c r="E8" s="18"/>
    </row>
    <row r="9" spans="1:7" ht="77.25" customHeight="1" x14ac:dyDescent="0.4">
      <c r="A9" s="39" t="s">
        <v>37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TABELAS'!$J$148</f>
        <v>46125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EAD29-A9C0-4C96-AAE3-01F51E0C1517}">
  <sheetPr codeName="Planilha12"/>
  <dimension ref="A1:G34"/>
  <sheetViews>
    <sheetView view="pageBreakPreview" zoomScaleNormal="100" zoomScaleSheetLayoutView="100" workbookViewId="0">
      <selection activeCell="D13" sqref="D13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TABELAS'!$I$149</f>
        <v>2596</v>
      </c>
      <c r="D4" s="34" t="s">
        <v>5</v>
      </c>
      <c r="E4" s="5">
        <f>'[1]MEDIÇÕES E TABELAS'!$G$149</f>
        <v>812</v>
      </c>
    </row>
    <row r="5" spans="1:7" x14ac:dyDescent="0.4">
      <c r="B5" s="3"/>
      <c r="D5" s="4"/>
      <c r="E5" s="5"/>
    </row>
    <row r="7" spans="1:7" ht="29.25" customHeight="1" x14ac:dyDescent="0.4">
      <c r="A7" s="29" t="s">
        <v>39</v>
      </c>
    </row>
    <row r="8" spans="1:7" x14ac:dyDescent="0.4">
      <c r="A8" s="35" t="str" cm="1">
        <f t="array" ref="A8">Extenso(E4)&amp;","</f>
        <v>oitocentos e doze reais,</v>
      </c>
      <c r="B8" s="17"/>
      <c r="C8" s="17"/>
      <c r="D8" s="17"/>
      <c r="E8" s="18"/>
    </row>
    <row r="9" spans="1:7" ht="77.25" customHeight="1" x14ac:dyDescent="0.4">
      <c r="A9" s="39" t="s">
        <v>38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TABELAS'!$J$149</f>
        <v>46125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896CE-8B99-4211-B753-ADE40AC0E9B8}">
  <sheetPr codeName="Planilha7"/>
  <dimension ref="A1:G34"/>
  <sheetViews>
    <sheetView view="pageBreakPreview" zoomScaleNormal="100" zoomScaleSheetLayoutView="100" workbookViewId="0">
      <selection activeCell="A8" sqref="A8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TABELAS'!$I$150</f>
        <v>2597</v>
      </c>
      <c r="D4" s="34" t="s">
        <v>5</v>
      </c>
      <c r="E4" s="5">
        <f>'[1]MEDIÇÕES E TABELAS'!$G$150</f>
        <v>846</v>
      </c>
    </row>
    <row r="5" spans="1:7" x14ac:dyDescent="0.4">
      <c r="B5" s="3"/>
      <c r="D5" s="4"/>
      <c r="E5" s="5"/>
    </row>
    <row r="7" spans="1:7" ht="29.25" customHeight="1" x14ac:dyDescent="0.4">
      <c r="A7" s="29" t="s">
        <v>26</v>
      </c>
    </row>
    <row r="8" spans="1:7" x14ac:dyDescent="0.4">
      <c r="A8" s="35" t="str" cm="1">
        <f t="array" ref="A8">Extenso(E4)&amp;","</f>
        <v>oitocentos e quarenta e seis reais,</v>
      </c>
      <c r="B8" s="17"/>
      <c r="C8" s="17"/>
      <c r="D8" s="17"/>
      <c r="E8" s="18"/>
    </row>
    <row r="9" spans="1:7" ht="77.25" customHeight="1" x14ac:dyDescent="0.4">
      <c r="A9" s="39" t="s">
        <v>32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TABELAS'!$J$150</f>
        <v>46121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604EB-2856-49B2-91B5-D07980B48CED}">
  <sheetPr codeName="Planilha13"/>
  <dimension ref="A1:G34"/>
  <sheetViews>
    <sheetView view="pageBreakPreview" zoomScaleNormal="100" zoomScaleSheetLayoutView="100" workbookViewId="0">
      <selection activeCell="A9" sqref="A9:E9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TABELAS'!$I$151</f>
        <v>2598</v>
      </c>
      <c r="D4" s="34" t="s">
        <v>5</v>
      </c>
      <c r="E4" s="5">
        <f>'[1]MEDIÇÕES E TABELAS'!$G$151</f>
        <v>952</v>
      </c>
    </row>
    <row r="5" spans="1:7" x14ac:dyDescent="0.4">
      <c r="B5" s="3"/>
      <c r="D5" s="4"/>
      <c r="E5" s="5"/>
    </row>
    <row r="7" spans="1:7" ht="29.25" customHeight="1" x14ac:dyDescent="0.4">
      <c r="A7" s="29" t="s">
        <v>40</v>
      </c>
    </row>
    <row r="8" spans="1:7" x14ac:dyDescent="0.4">
      <c r="A8" s="35" t="str" cm="1">
        <f t="array" ref="A8">Extenso(E4)&amp;","</f>
        <v>novecentos e cinquenta e dois reais,</v>
      </c>
      <c r="B8" s="17"/>
      <c r="C8" s="17"/>
      <c r="D8" s="17"/>
      <c r="E8" s="18"/>
    </row>
    <row r="9" spans="1:7" ht="77.25" customHeight="1" x14ac:dyDescent="0.4">
      <c r="A9" s="39" t="s">
        <v>41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TABELAS'!$J$151</f>
        <v>46114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70304-8C4C-45BF-BBC3-9BB80D85C4B1}">
  <sheetPr codeName="Planilha14"/>
  <dimension ref="A1:G34"/>
  <sheetViews>
    <sheetView view="pageBreakPreview" zoomScaleNormal="100" zoomScaleSheetLayoutView="100" workbookViewId="0">
      <selection activeCell="B8" sqref="B8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TABELAS'!$I$152</f>
        <v>2599</v>
      </c>
      <c r="D4" s="34" t="s">
        <v>5</v>
      </c>
      <c r="E4" s="5">
        <f>'[1]MEDIÇÕES E TABELAS'!$G$152</f>
        <v>836</v>
      </c>
    </row>
    <row r="5" spans="1:7" x14ac:dyDescent="0.4">
      <c r="B5" s="3"/>
      <c r="D5" s="4"/>
      <c r="E5" s="5"/>
    </row>
    <row r="7" spans="1:7" ht="29.25" customHeight="1" x14ac:dyDescent="0.4">
      <c r="A7" s="29" t="s">
        <v>42</v>
      </c>
    </row>
    <row r="8" spans="1:7" x14ac:dyDescent="0.4">
      <c r="A8" s="35" t="str" cm="1">
        <f t="array" ref="A8">Extenso(E4)&amp;","</f>
        <v>oitocentos e trinta e seis reais,</v>
      </c>
      <c r="B8" s="17"/>
      <c r="C8" s="17"/>
      <c r="D8" s="17"/>
      <c r="E8" s="18"/>
    </row>
    <row r="9" spans="1:7" ht="77.25" customHeight="1" x14ac:dyDescent="0.4">
      <c r="A9" s="39" t="s">
        <v>43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TABELAS'!$J$152</f>
        <v>46113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FAF2D-CA60-4DF2-865D-EE2B8C1F4B20}">
  <sheetPr codeName="Planilha15"/>
  <dimension ref="A1:G34"/>
  <sheetViews>
    <sheetView view="pageBreakPreview" zoomScaleNormal="100" zoomScaleSheetLayoutView="100" workbookViewId="0">
      <selection activeCell="D12" sqref="D12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TABELAS'!$I$153</f>
        <v>2600</v>
      </c>
      <c r="D4" s="34" t="s">
        <v>5</v>
      </c>
      <c r="E4" s="5">
        <f>'[1]MEDIÇÕES E TABELAS'!$G$153</f>
        <v>675</v>
      </c>
    </row>
    <row r="5" spans="1:7" x14ac:dyDescent="0.4">
      <c r="B5" s="3"/>
      <c r="D5" s="4"/>
      <c r="E5" s="5"/>
    </row>
    <row r="7" spans="1:7" ht="29.25" customHeight="1" x14ac:dyDescent="0.4">
      <c r="A7" s="29" t="s">
        <v>45</v>
      </c>
    </row>
    <row r="8" spans="1:7" x14ac:dyDescent="0.4">
      <c r="A8" s="35" t="str" cm="1">
        <f t="array" ref="A8">Extenso(E4)&amp;","</f>
        <v>seiscentos e setenta e cinco reais,</v>
      </c>
      <c r="B8" s="17"/>
      <c r="C8" s="17"/>
      <c r="D8" s="17"/>
      <c r="E8" s="18"/>
    </row>
    <row r="9" spans="1:7" ht="77.25" customHeight="1" x14ac:dyDescent="0.4">
      <c r="A9" s="39" t="s">
        <v>44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TABELAS'!$J$153</f>
        <v>46122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945E6-6621-49E0-9B5E-5D53051E4B31}">
  <sheetPr codeName="Planilha8"/>
  <dimension ref="A1:G34"/>
  <sheetViews>
    <sheetView view="pageBreakPreview" zoomScaleNormal="100" zoomScaleSheetLayoutView="100" workbookViewId="0">
      <selection activeCell="E4" sqref="E4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TABELAS'!$I$154</f>
        <v>2601</v>
      </c>
      <c r="D4" s="34" t="s">
        <v>5</v>
      </c>
      <c r="E4" s="5">
        <f>'[1]MEDIÇÕES E TABELAS'!$R$154</f>
        <v>386</v>
      </c>
    </row>
    <row r="5" spans="1:7" x14ac:dyDescent="0.4">
      <c r="B5" s="3"/>
      <c r="D5" s="4"/>
      <c r="E5" s="5"/>
    </row>
    <row r="7" spans="1:7" ht="29.25" customHeight="1" x14ac:dyDescent="0.4">
      <c r="A7" s="29" t="s">
        <v>27</v>
      </c>
    </row>
    <row r="8" spans="1:7" x14ac:dyDescent="0.4">
      <c r="A8" s="35" t="str" cm="1">
        <f t="array" ref="A8">Extenso(E4)&amp;","</f>
        <v>trezentos e oitenta e seis reais,</v>
      </c>
      <c r="B8" s="17"/>
      <c r="C8" s="17"/>
      <c r="D8" s="17"/>
      <c r="E8" s="18"/>
    </row>
    <row r="9" spans="1:7" ht="77.25" customHeight="1" x14ac:dyDescent="0.4">
      <c r="A9" s="39" t="s">
        <v>31</v>
      </c>
      <c r="B9" s="39"/>
      <c r="C9" s="39"/>
      <c r="D9" s="39"/>
      <c r="E9" s="39"/>
    </row>
    <row r="10" spans="1:7" x14ac:dyDescent="0.4">
      <c r="A10" s="36" t="s">
        <v>28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TABELAS'!$J$154</f>
        <v>46123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85887-8417-4C2B-A251-CAA5418892D5}">
  <sheetPr codeName="Planilha9"/>
  <dimension ref="A1:G34"/>
  <sheetViews>
    <sheetView view="pageBreakPreview" zoomScaleNormal="100" zoomScaleSheetLayoutView="100" workbookViewId="0">
      <selection activeCell="D12" sqref="D12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TABELAS'!$I$160</f>
        <v>2607</v>
      </c>
      <c r="D4" s="34" t="s">
        <v>5</v>
      </c>
      <c r="E4" s="5">
        <f>'[1]MEDIÇÕES E TABELAS'!$G$160</f>
        <v>150</v>
      </c>
    </row>
    <row r="5" spans="1:7" x14ac:dyDescent="0.4">
      <c r="B5" s="3"/>
      <c r="D5" s="4"/>
      <c r="E5" s="5"/>
    </row>
    <row r="7" spans="1:7" ht="29.25" customHeight="1" x14ac:dyDescent="0.4">
      <c r="A7" s="29" t="s">
        <v>29</v>
      </c>
    </row>
    <row r="8" spans="1:7" x14ac:dyDescent="0.4">
      <c r="A8" s="35" t="str" cm="1">
        <f t="array" ref="A8">Extenso(E4)&amp;","</f>
        <v>cento e cinquenta reais,</v>
      </c>
      <c r="B8" s="17"/>
      <c r="C8" s="17"/>
      <c r="D8" s="17"/>
      <c r="E8" s="18"/>
    </row>
    <row r="9" spans="1:7" ht="77.25" customHeight="1" x14ac:dyDescent="0.4">
      <c r="A9" s="39" t="s">
        <v>33</v>
      </c>
      <c r="B9" s="39"/>
      <c r="C9" s="39"/>
      <c r="D9" s="39"/>
      <c r="E9" s="39"/>
    </row>
    <row r="10" spans="1:7" x14ac:dyDescent="0.4">
      <c r="A10" s="36" t="s">
        <v>30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TABELAS'!$J$160</f>
        <v>46122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6BE9C-5D34-42EA-9D84-BFA481EB219E}">
  <sheetPr codeName="Planilha16"/>
  <dimension ref="A1:G34"/>
  <sheetViews>
    <sheetView view="pageBreakPreview" zoomScaleNormal="100" zoomScaleSheetLayoutView="100" workbookViewId="0">
      <selection activeCell="E4" sqref="E4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TABELAS'!$I$155</f>
        <v>2602</v>
      </c>
      <c r="D4" s="34" t="s">
        <v>5</v>
      </c>
      <c r="E4" s="5">
        <f>'[1]MEDIÇÕES E TABELAS'!$G$155</f>
        <v>477</v>
      </c>
    </row>
    <row r="5" spans="1:7" x14ac:dyDescent="0.4">
      <c r="B5" s="3"/>
      <c r="D5" s="4"/>
      <c r="E5" s="5"/>
    </row>
    <row r="7" spans="1:7" ht="29.25" customHeight="1" x14ac:dyDescent="0.4">
      <c r="A7" s="29" t="s">
        <v>47</v>
      </c>
    </row>
    <row r="8" spans="1:7" x14ac:dyDescent="0.4">
      <c r="A8" s="35" t="str" cm="1">
        <f t="array" ref="A8">Extenso(E4)&amp;","</f>
        <v>quatrocentos e setenta e sete reais,</v>
      </c>
      <c r="B8" s="17"/>
      <c r="C8" s="17"/>
      <c r="D8" s="17"/>
      <c r="E8" s="18"/>
    </row>
    <row r="9" spans="1:7" ht="77.25" customHeight="1" x14ac:dyDescent="0.4">
      <c r="A9" s="39" t="s">
        <v>46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TABELAS'!$J$155</f>
        <v>46121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877DC-4C6D-40EB-BE69-D14380B1B383}">
  <sheetPr codeName="Planilha17"/>
  <dimension ref="A1:G34"/>
  <sheetViews>
    <sheetView view="pageBreakPreview" zoomScaleNormal="100" zoomScaleSheetLayoutView="100" workbookViewId="0">
      <selection activeCell="D12" sqref="D12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TABELAS'!$I$156</f>
        <v>2603</v>
      </c>
      <c r="D4" s="34" t="s">
        <v>5</v>
      </c>
      <c r="E4" s="5">
        <f>'[1]MEDIÇÕES E TABELAS'!$G$156</f>
        <v>666</v>
      </c>
    </row>
    <row r="5" spans="1:7" x14ac:dyDescent="0.4">
      <c r="B5" s="3"/>
      <c r="D5" s="4"/>
      <c r="E5" s="5"/>
    </row>
    <row r="7" spans="1:7" ht="29.25" customHeight="1" x14ac:dyDescent="0.4">
      <c r="A7" s="29" t="s">
        <v>49</v>
      </c>
    </row>
    <row r="8" spans="1:7" x14ac:dyDescent="0.4">
      <c r="A8" s="35" t="str" cm="1">
        <f t="array" ref="A8">Extenso(E4)&amp;","</f>
        <v>seiscentos e sessenta e seis reais,</v>
      </c>
      <c r="B8" s="17"/>
      <c r="C8" s="17"/>
      <c r="D8" s="17"/>
      <c r="E8" s="18"/>
    </row>
    <row r="9" spans="1:7" ht="77.25" customHeight="1" x14ac:dyDescent="0.4">
      <c r="A9" s="39" t="s">
        <v>48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TABELAS'!$J$156</f>
        <v>46122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29DEC-C06B-45DF-A0EC-F12EBAB4A28D}">
  <sheetPr codeName="Planilha18"/>
  <dimension ref="A1:G34"/>
  <sheetViews>
    <sheetView view="pageBreakPreview" zoomScaleNormal="100" zoomScaleSheetLayoutView="100" workbookViewId="0">
      <selection activeCell="A7" sqref="A7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TABELAS'!$I$157</f>
        <v>2604</v>
      </c>
      <c r="D4" s="34" t="s">
        <v>5</v>
      </c>
      <c r="E4" s="5">
        <f>'[1]MEDIÇÕES E TABELAS'!$G$157</f>
        <v>698</v>
      </c>
    </row>
    <row r="5" spans="1:7" x14ac:dyDescent="0.4">
      <c r="B5" s="3"/>
      <c r="D5" s="4"/>
      <c r="E5" s="5"/>
    </row>
    <row r="7" spans="1:7" ht="29.25" customHeight="1" x14ac:dyDescent="0.4">
      <c r="A7" s="29" t="s">
        <v>51</v>
      </c>
    </row>
    <row r="8" spans="1:7" x14ac:dyDescent="0.4">
      <c r="A8" s="35" t="str" cm="1">
        <f t="array" ref="A8">Extenso(E4)&amp;","</f>
        <v>seiscentos e noventa e oito reais,</v>
      </c>
      <c r="B8" s="17"/>
      <c r="C8" s="17"/>
      <c r="D8" s="17"/>
      <c r="E8" s="18"/>
    </row>
    <row r="9" spans="1:7" ht="77.25" customHeight="1" x14ac:dyDescent="0.4">
      <c r="A9" s="39" t="s">
        <v>50</v>
      </c>
      <c r="B9" s="39"/>
      <c r="C9" s="39"/>
      <c r="D9" s="39"/>
      <c r="E9" s="39"/>
    </row>
    <row r="10" spans="1:7" x14ac:dyDescent="0.4">
      <c r="A10" s="36" t="s">
        <v>22</v>
      </c>
      <c r="B10" s="17"/>
      <c r="C10" s="37" t="str">
        <f>'[1]MEDIÇÕES E TABELAS'!$E$139</f>
        <v>abril/2026 .</v>
      </c>
      <c r="D10" s="17"/>
      <c r="E10" s="18"/>
    </row>
    <row r="12" spans="1:7" x14ac:dyDescent="0.4">
      <c r="C12" s="4" t="s">
        <v>12</v>
      </c>
      <c r="D12" s="22">
        <f>'[1]MEDIÇÕES E TABELAS'!$J$157</f>
        <v>46121</v>
      </c>
      <c r="E12" s="2" t="s">
        <v>11</v>
      </c>
    </row>
    <row r="14" spans="1:7" x14ac:dyDescent="0.4">
      <c r="F14" s="7"/>
      <c r="G14" s="7"/>
    </row>
    <row r="16" spans="1:7" ht="33" customHeight="1" x14ac:dyDescent="0.4">
      <c r="F16" s="7"/>
      <c r="G16" s="7"/>
    </row>
    <row r="18" spans="1:7" ht="33" customHeight="1" x14ac:dyDescent="0.4">
      <c r="A18" s="40"/>
      <c r="B18" s="40"/>
      <c r="C18" s="40"/>
      <c r="D18" s="40"/>
      <c r="E18" s="40"/>
      <c r="F18" s="7"/>
      <c r="G18" s="7"/>
    </row>
    <row r="20" spans="1:7" x14ac:dyDescent="0.4">
      <c r="A20" s="8"/>
      <c r="B20" s="9"/>
      <c r="C20" s="9"/>
      <c r="D20" s="9"/>
      <c r="E20" s="9"/>
    </row>
    <row r="21" spans="1:7" x14ac:dyDescent="0.4">
      <c r="A21" s="10"/>
      <c r="B21" s="9"/>
      <c r="C21" s="9"/>
      <c r="D21" s="9"/>
      <c r="E21" s="9"/>
    </row>
    <row r="22" spans="1:7" x14ac:dyDescent="0.4">
      <c r="A22" s="11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ht="15.75" customHeight="1" x14ac:dyDescent="0.4">
      <c r="A29" s="12"/>
      <c r="D29" s="7"/>
      <c r="E29" s="7"/>
    </row>
    <row r="30" spans="1:7" x14ac:dyDescent="0.4">
      <c r="A30" s="13"/>
      <c r="B30" s="13"/>
      <c r="C30" s="13"/>
      <c r="D30" s="13"/>
      <c r="E30" s="13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</sheetData>
  <mergeCells count="2">
    <mergeCell ref="A9:E9"/>
    <mergeCell ref="A18:E18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6C65-A686-4B69-980D-FF7140C290BB}">
  <sheetPr codeName="Planilha4"/>
  <dimension ref="A1:G31"/>
  <sheetViews>
    <sheetView view="pageBreakPreview" zoomScaleNormal="100" zoomScaleSheetLayoutView="100" workbookViewId="0">
      <selection activeCell="D15" sqref="D15"/>
    </sheetView>
  </sheetViews>
  <sheetFormatPr defaultRowHeight="24" x14ac:dyDescent="0.4"/>
  <cols>
    <col min="1" max="1" width="9.140625" style="2"/>
    <col min="2" max="2" width="8" style="2" customWidth="1"/>
    <col min="3" max="3" width="24.85546875" style="2" customWidth="1"/>
    <col min="4" max="4" width="19.5703125" style="2" customWidth="1"/>
    <col min="5" max="5" width="17.425781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" t="s">
        <v>4</v>
      </c>
      <c r="B3" s="23">
        <f>'[1]MEDIÇÕES E TABELAS'!$I$158</f>
        <v>2605</v>
      </c>
      <c r="D3" s="34" t="s">
        <v>5</v>
      </c>
      <c r="E3" s="5">
        <f>'[1]VRS. DEVIDOS E OUTROS'!$E$119</f>
        <v>3000</v>
      </c>
    </row>
    <row r="4" spans="1:7" x14ac:dyDescent="0.4">
      <c r="B4" s="3"/>
      <c r="D4" s="4"/>
      <c r="E4" s="5"/>
    </row>
    <row r="5" spans="1:7" ht="51.75" customHeight="1" x14ac:dyDescent="0.4">
      <c r="A5" s="29" t="s">
        <v>25</v>
      </c>
    </row>
    <row r="6" spans="1:7" x14ac:dyDescent="0.4">
      <c r="A6" s="42" t="str" cm="1">
        <f t="array" ref="A6">Extenso(E3)</f>
        <v>três mil reais</v>
      </c>
      <c r="B6" s="43"/>
      <c r="C6" s="43"/>
      <c r="D6" s="43"/>
      <c r="E6" s="44"/>
    </row>
    <row r="7" spans="1:7" s="29" customFormat="1" ht="31.5" customHeight="1" x14ac:dyDescent="0.25">
      <c r="A7" s="28" t="s">
        <v>13</v>
      </c>
      <c r="C7" s="30">
        <f>'[1]VRS. DEVIDOS E OUTROS'!$F$119</f>
        <v>45994</v>
      </c>
      <c r="D7" s="28" t="s">
        <v>14</v>
      </c>
    </row>
    <row r="8" spans="1:7" ht="92.25" customHeight="1" x14ac:dyDescent="0.4">
      <c r="A8" s="41" t="s">
        <v>15</v>
      </c>
      <c r="B8" s="41"/>
      <c r="C8" s="41"/>
      <c r="D8" s="41"/>
      <c r="E8" s="41"/>
    </row>
    <row r="9" spans="1:7" ht="92.25" customHeight="1" x14ac:dyDescent="0.4">
      <c r="A9" s="41" t="s">
        <v>21</v>
      </c>
      <c r="B9" s="41"/>
      <c r="C9" s="41"/>
      <c r="D9" s="41"/>
      <c r="E9" s="41"/>
    </row>
    <row r="10" spans="1:7" ht="23.25" customHeight="1" x14ac:dyDescent="0.4">
      <c r="A10" s="6"/>
      <c r="B10" s="6"/>
      <c r="C10" s="6"/>
      <c r="D10" s="6"/>
      <c r="E10" s="6"/>
    </row>
    <row r="11" spans="1:7" x14ac:dyDescent="0.4">
      <c r="A11" s="32" t="s">
        <v>16</v>
      </c>
      <c r="B11" s="33"/>
      <c r="C11" s="31" t="s">
        <v>17</v>
      </c>
      <c r="D11" s="31" t="s">
        <v>18</v>
      </c>
      <c r="E11" s="31" t="s">
        <v>20</v>
      </c>
    </row>
    <row r="12" spans="1:7" x14ac:dyDescent="0.4">
      <c r="A12" s="24" t="s">
        <v>19</v>
      </c>
      <c r="B12" s="25"/>
      <c r="C12" s="27"/>
      <c r="D12" s="27"/>
      <c r="E12" s="27">
        <f>'[1]VRS. DEVIDOS E OUTROS'!$G$122</f>
        <v>1065</v>
      </c>
      <c r="F12" s="7"/>
      <c r="G12" s="7"/>
    </row>
    <row r="13" spans="1:7" x14ac:dyDescent="0.4">
      <c r="A13" s="26">
        <f>'[1]VRS. DEVIDOS E OUTROS'!$A$123</f>
        <v>46113</v>
      </c>
      <c r="B13" s="25"/>
      <c r="C13" s="27">
        <f>'[1]VRS. DEVIDOS E OUTROS'!$C$123</f>
        <v>538</v>
      </c>
      <c r="D13" s="27"/>
      <c r="E13" s="27">
        <f>'[1]VRS. DEVIDOS E OUTROS'!$G$123</f>
        <v>527</v>
      </c>
    </row>
    <row r="15" spans="1:7" x14ac:dyDescent="0.4">
      <c r="C15" s="4" t="s">
        <v>52</v>
      </c>
      <c r="D15" s="38" t="str">
        <f>'[1]MEDIÇÕES E TABELAS'!$D$139</f>
        <v>,  01/04/2026 .</v>
      </c>
    </row>
    <row r="16" spans="1:7" ht="33" customHeight="1" x14ac:dyDescent="0.4">
      <c r="A16" s="40"/>
      <c r="B16" s="40"/>
      <c r="C16" s="40"/>
      <c r="D16" s="40"/>
      <c r="E16" s="40"/>
      <c r="F16" s="7"/>
      <c r="G16" s="7"/>
    </row>
    <row r="18" spans="1:5" x14ac:dyDescent="0.4">
      <c r="A18" s="8"/>
      <c r="B18" s="9"/>
      <c r="C18" s="9"/>
      <c r="D18" s="9"/>
      <c r="E18" s="9"/>
    </row>
    <row r="19" spans="1:5" x14ac:dyDescent="0.4">
      <c r="A19" s="11"/>
    </row>
    <row r="20" spans="1:5" x14ac:dyDescent="0.4">
      <c r="A20" s="11"/>
    </row>
    <row r="21" spans="1:5" x14ac:dyDescent="0.4">
      <c r="A21" s="11"/>
    </row>
    <row r="22" spans="1:5" x14ac:dyDescent="0.4">
      <c r="A22" s="11"/>
    </row>
    <row r="23" spans="1:5" x14ac:dyDescent="0.4">
      <c r="A23" s="11"/>
    </row>
    <row r="24" spans="1:5" x14ac:dyDescent="0.4">
      <c r="A24" s="11"/>
    </row>
    <row r="25" spans="1:5" x14ac:dyDescent="0.4">
      <c r="A25" s="11"/>
    </row>
    <row r="26" spans="1:5" ht="15.75" customHeight="1" x14ac:dyDescent="0.4">
      <c r="A26" s="12"/>
      <c r="D26" s="7"/>
      <c r="E26" s="7"/>
    </row>
    <row r="27" spans="1:5" x14ac:dyDescent="0.4">
      <c r="A27" s="13"/>
      <c r="B27" s="13"/>
      <c r="C27" s="13"/>
      <c r="D27" s="13"/>
      <c r="E27" s="13"/>
    </row>
    <row r="28" spans="1:5" x14ac:dyDescent="0.4">
      <c r="A28" s="13"/>
      <c r="B28" s="13"/>
      <c r="C28" s="13"/>
      <c r="D28" s="13"/>
      <c r="E28" s="13"/>
    </row>
    <row r="29" spans="1:5" x14ac:dyDescent="0.4">
      <c r="A29" s="13"/>
      <c r="B29" s="13"/>
      <c r="C29" s="13"/>
      <c r="D29" s="13"/>
      <c r="E29" s="13"/>
    </row>
    <row r="30" spans="1:5" x14ac:dyDescent="0.4">
      <c r="A30" s="13"/>
      <c r="B30" s="13"/>
      <c r="C30" s="13"/>
      <c r="D30" s="13"/>
      <c r="E30" s="13"/>
    </row>
    <row r="31" spans="1:5" x14ac:dyDescent="0.4">
      <c r="A31" s="13"/>
      <c r="B31" s="13"/>
      <c r="C31" s="13"/>
      <c r="D31" s="13"/>
      <c r="E31" s="13"/>
    </row>
  </sheetData>
  <mergeCells count="4">
    <mergeCell ref="A8:E8"/>
    <mergeCell ref="A9:E9"/>
    <mergeCell ref="A16:E16"/>
    <mergeCell ref="A6:E6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15FA9-AC04-49FD-B985-12AA7954CCF9}">
  <sheetPr codeName="Planilha2"/>
  <dimension ref="A1:G35"/>
  <sheetViews>
    <sheetView view="pageBreakPreview" zoomScaleNormal="100" zoomScaleSheetLayoutView="100" workbookViewId="0">
      <selection activeCell="D14" sqref="D14"/>
    </sheetView>
  </sheetViews>
  <sheetFormatPr defaultRowHeight="24" x14ac:dyDescent="0.4"/>
  <cols>
    <col min="1" max="1" width="9.140625" style="2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TABELAS'!$I$154</f>
        <v>2601</v>
      </c>
      <c r="D4" s="34" t="s">
        <v>5</v>
      </c>
      <c r="E4" s="5">
        <f>'[1]MEDIÇÕES E TABELAS'!$R$154</f>
        <v>386</v>
      </c>
    </row>
    <row r="5" spans="1:7" x14ac:dyDescent="0.4">
      <c r="B5" s="3"/>
      <c r="D5" s="4"/>
      <c r="E5" s="5"/>
    </row>
    <row r="7" spans="1:7" x14ac:dyDescent="0.4">
      <c r="A7" s="2" t="s">
        <v>6</v>
      </c>
    </row>
    <row r="8" spans="1:7" x14ac:dyDescent="0.4">
      <c r="A8" s="16" t="str" cm="1">
        <f t="array" ref="A8">Extenso(E4)</f>
        <v>trezentos e oitenta e seis reais</v>
      </c>
      <c r="B8" s="17"/>
      <c r="C8" s="17"/>
      <c r="D8" s="17"/>
      <c r="E8" s="18"/>
    </row>
    <row r="9" spans="1:7" x14ac:dyDescent="0.4">
      <c r="A9" s="40" t="s">
        <v>7</v>
      </c>
      <c r="B9" s="40"/>
      <c r="C9" s="40"/>
      <c r="D9" s="40"/>
      <c r="E9" s="40"/>
    </row>
    <row r="10" spans="1:7" x14ac:dyDescent="0.4">
      <c r="A10" s="19" t="str">
        <f>'[1]MEDIÇÕES E TABELAS'!$E$139</f>
        <v>abril/2026 .</v>
      </c>
      <c r="B10" s="20"/>
      <c r="C10" s="20"/>
      <c r="D10" s="20"/>
      <c r="E10" s="21"/>
    </row>
    <row r="11" spans="1:7" ht="68.25" customHeight="1" x14ac:dyDescent="0.4">
      <c r="A11" s="40" t="s">
        <v>8</v>
      </c>
      <c r="B11" s="40"/>
      <c r="C11" s="40"/>
      <c r="D11" s="40"/>
      <c r="E11" s="40"/>
    </row>
    <row r="13" spans="1:7" x14ac:dyDescent="0.4">
      <c r="C13" s="4" t="s">
        <v>12</v>
      </c>
      <c r="D13" s="22">
        <f>'[1]MEDIÇÕES E TABELAS'!$J$154</f>
        <v>46123</v>
      </c>
      <c r="E13" s="2" t="s">
        <v>11</v>
      </c>
    </row>
    <row r="15" spans="1:7" x14ac:dyDescent="0.4">
      <c r="F15" s="7"/>
      <c r="G15" s="7"/>
    </row>
    <row r="17" spans="1:7" ht="33" customHeight="1" x14ac:dyDescent="0.4">
      <c r="F17" s="7"/>
      <c r="G17" s="7"/>
    </row>
    <row r="19" spans="1:7" ht="33" customHeight="1" x14ac:dyDescent="0.4">
      <c r="A19" s="40"/>
      <c r="B19" s="40"/>
      <c r="C19" s="40"/>
      <c r="D19" s="40"/>
      <c r="E19" s="40"/>
      <c r="F19" s="7"/>
      <c r="G19" s="7"/>
    </row>
    <row r="21" spans="1:7" x14ac:dyDescent="0.4">
      <c r="A21" s="8"/>
      <c r="B21" s="9"/>
      <c r="C21" s="9"/>
      <c r="D21" s="9"/>
      <c r="E21" s="9"/>
    </row>
    <row r="22" spans="1:7" x14ac:dyDescent="0.4">
      <c r="A22" s="10"/>
      <c r="B22" s="9"/>
      <c r="C22" s="9"/>
      <c r="D22" s="9"/>
      <c r="E22" s="9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x14ac:dyDescent="0.4">
      <c r="A29" s="11"/>
    </row>
    <row r="30" spans="1:7" ht="15.75" customHeight="1" x14ac:dyDescent="0.4">
      <c r="A30" s="12"/>
      <c r="D30" s="7"/>
      <c r="E30" s="7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  <row r="35" spans="1:5" x14ac:dyDescent="0.4">
      <c r="A35" s="13"/>
      <c r="B35" s="13"/>
      <c r="C35" s="13"/>
      <c r="D35" s="13"/>
      <c r="E35" s="13"/>
    </row>
  </sheetData>
  <mergeCells count="3">
    <mergeCell ref="A9:E9"/>
    <mergeCell ref="A11:E11"/>
    <mergeCell ref="A19:E19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FACA4-7A7F-47AA-BDF1-E50C264CF178}">
  <sheetPr codeName="Planilha3"/>
  <dimension ref="A1:G35"/>
  <sheetViews>
    <sheetView view="pageBreakPreview" zoomScaleNormal="100" zoomScaleSheetLayoutView="100" workbookViewId="0">
      <selection activeCell="D14" sqref="D14"/>
    </sheetView>
  </sheetViews>
  <sheetFormatPr defaultRowHeight="24" x14ac:dyDescent="0.4"/>
  <cols>
    <col min="1" max="1" width="9.140625" style="2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TABELAS'!$I$160</f>
        <v>2607</v>
      </c>
      <c r="D4" s="34" t="s">
        <v>5</v>
      </c>
      <c r="E4" s="5">
        <f>'[1]MEDIÇÕES E TABELAS'!$G$160</f>
        <v>150</v>
      </c>
    </row>
    <row r="5" spans="1:7" x14ac:dyDescent="0.4">
      <c r="B5" s="3"/>
      <c r="D5" s="4"/>
      <c r="E5" s="5"/>
    </row>
    <row r="7" spans="1:7" x14ac:dyDescent="0.4">
      <c r="A7" s="2" t="s">
        <v>9</v>
      </c>
    </row>
    <row r="8" spans="1:7" x14ac:dyDescent="0.4">
      <c r="A8" s="16" t="str" cm="1">
        <f t="array" ref="A8">Extenso(E4)</f>
        <v>cento e cinquenta reais</v>
      </c>
      <c r="B8" s="17"/>
      <c r="C8" s="17"/>
      <c r="D8" s="17"/>
      <c r="E8" s="18"/>
    </row>
    <row r="9" spans="1:7" x14ac:dyDescent="0.4">
      <c r="A9" s="40" t="s">
        <v>10</v>
      </c>
      <c r="B9" s="40"/>
      <c r="C9" s="40"/>
      <c r="D9" s="40"/>
      <c r="E9" s="40"/>
    </row>
    <row r="10" spans="1:7" x14ac:dyDescent="0.4">
      <c r="A10" s="19" t="str">
        <f>'[1]MEDIÇÕES E TABELAS'!$E$139</f>
        <v>abril/2026 .</v>
      </c>
      <c r="B10" s="20"/>
      <c r="C10" s="20"/>
      <c r="D10" s="20"/>
      <c r="E10" s="21"/>
    </row>
    <row r="11" spans="1:7" ht="68.25" customHeight="1" x14ac:dyDescent="0.4">
      <c r="A11" s="40" t="s">
        <v>8</v>
      </c>
      <c r="B11" s="40"/>
      <c r="C11" s="40"/>
      <c r="D11" s="40"/>
      <c r="E11" s="40"/>
    </row>
    <row r="13" spans="1:7" x14ac:dyDescent="0.4">
      <c r="C13" s="4" t="s">
        <v>12</v>
      </c>
      <c r="D13" s="22">
        <f>'[1]MEDIÇÕES E TABELAS'!$J$160</f>
        <v>46122</v>
      </c>
      <c r="E13" s="2" t="s">
        <v>11</v>
      </c>
    </row>
    <row r="15" spans="1:7" x14ac:dyDescent="0.4">
      <c r="F15" s="7"/>
      <c r="G15" s="7"/>
    </row>
    <row r="17" spans="1:7" ht="33" customHeight="1" x14ac:dyDescent="0.4">
      <c r="F17" s="7"/>
      <c r="G17" s="7"/>
    </row>
    <row r="19" spans="1:7" ht="33" customHeight="1" x14ac:dyDescent="0.4">
      <c r="A19" s="40"/>
      <c r="B19" s="40"/>
      <c r="C19" s="40"/>
      <c r="D19" s="40"/>
      <c r="E19" s="40"/>
      <c r="F19" s="7"/>
      <c r="G19" s="7"/>
    </row>
    <row r="21" spans="1:7" x14ac:dyDescent="0.4">
      <c r="A21" s="8"/>
      <c r="B21" s="9"/>
      <c r="C21" s="9"/>
      <c r="D21" s="9"/>
      <c r="E21" s="9"/>
    </row>
    <row r="22" spans="1:7" x14ac:dyDescent="0.4">
      <c r="A22" s="10"/>
      <c r="B22" s="9"/>
      <c r="C22" s="9"/>
      <c r="D22" s="9"/>
      <c r="E22" s="9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x14ac:dyDescent="0.4">
      <c r="A29" s="11"/>
    </row>
    <row r="30" spans="1:7" ht="15.75" customHeight="1" x14ac:dyDescent="0.4">
      <c r="A30" s="12"/>
      <c r="D30" s="7"/>
      <c r="E30" s="7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  <row r="35" spans="1:5" x14ac:dyDescent="0.4">
      <c r="A35" s="13"/>
      <c r="B35" s="13"/>
      <c r="C35" s="13"/>
      <c r="D35" s="13"/>
      <c r="E35" s="13"/>
    </row>
  </sheetData>
  <mergeCells count="3">
    <mergeCell ref="A9:E9"/>
    <mergeCell ref="A11:E11"/>
    <mergeCell ref="A19:E19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116F3-B990-4A4D-A0E1-71A3088B5962}">
  <sheetPr codeName="Planilha1"/>
  <dimension ref="A1:G35"/>
  <sheetViews>
    <sheetView view="pageBreakPreview" zoomScaleNormal="100" zoomScaleSheetLayoutView="100" workbookViewId="0">
      <selection activeCell="A11" sqref="A11:E11"/>
    </sheetView>
  </sheetViews>
  <sheetFormatPr defaultRowHeight="24" x14ac:dyDescent="0.4"/>
  <cols>
    <col min="1" max="1" width="13.5703125" style="2" bestFit="1" customWidth="1"/>
    <col min="2" max="2" width="8" style="2" customWidth="1"/>
    <col min="3" max="3" width="24.85546875" style="2" customWidth="1"/>
    <col min="4" max="4" width="19.5703125" style="2" customWidth="1"/>
    <col min="5" max="5" width="15.140625" style="2" customWidth="1"/>
    <col min="6" max="16384" width="9.140625" style="2"/>
  </cols>
  <sheetData>
    <row r="1" spans="1:7" ht="26.25" x14ac:dyDescent="0.4">
      <c r="A1" s="15" t="s">
        <v>0</v>
      </c>
      <c r="B1" s="14"/>
      <c r="C1" s="14"/>
      <c r="D1" s="14"/>
      <c r="E1" s="14"/>
      <c r="F1" s="1"/>
      <c r="G1" s="1"/>
    </row>
    <row r="2" spans="1:7" x14ac:dyDescent="0.4">
      <c r="A2" s="14"/>
      <c r="B2" s="14"/>
      <c r="C2" s="14"/>
      <c r="D2" s="14"/>
      <c r="E2" s="14"/>
      <c r="F2" s="1"/>
      <c r="G2" s="1"/>
    </row>
    <row r="3" spans="1:7" x14ac:dyDescent="0.4">
      <c r="A3" s="14"/>
      <c r="B3" s="14"/>
      <c r="C3" s="14"/>
      <c r="D3" s="14"/>
      <c r="E3" s="14"/>
      <c r="F3" s="1"/>
      <c r="G3" s="1"/>
    </row>
    <row r="4" spans="1:7" x14ac:dyDescent="0.4">
      <c r="A4" s="1" t="s">
        <v>4</v>
      </c>
      <c r="B4" s="23">
        <f>'[1]MEDIÇÕES E TABELAS'!$I$147</f>
        <v>2594</v>
      </c>
      <c r="D4" s="34" t="s">
        <v>5</v>
      </c>
      <c r="E4" s="5">
        <f>'[1]MEDIÇÕES E TABELAS'!$G$147</f>
        <v>782</v>
      </c>
    </row>
    <row r="5" spans="1:7" x14ac:dyDescent="0.4">
      <c r="B5" s="3"/>
      <c r="D5" s="4"/>
      <c r="E5" s="5"/>
    </row>
    <row r="7" spans="1:7" x14ac:dyDescent="0.4">
      <c r="A7" s="2" t="s">
        <v>1</v>
      </c>
    </row>
    <row r="8" spans="1:7" x14ac:dyDescent="0.4">
      <c r="A8" s="16" t="str" cm="1">
        <f t="array" ref="A8">Extenso(E4)</f>
        <v>setecentos e oitenta e dois reais</v>
      </c>
      <c r="B8" s="17"/>
      <c r="C8" s="17"/>
      <c r="D8" s="17"/>
      <c r="E8" s="18"/>
    </row>
    <row r="9" spans="1:7" ht="45" customHeight="1" x14ac:dyDescent="0.4">
      <c r="A9" s="40" t="s">
        <v>2</v>
      </c>
      <c r="B9" s="40"/>
      <c r="C9" s="40"/>
      <c r="D9" s="40"/>
      <c r="E9" s="40"/>
    </row>
    <row r="10" spans="1:7" x14ac:dyDescent="0.4">
      <c r="A10" s="19" t="str">
        <f>'[1]MEDIÇÕES E TABELAS'!$E$139</f>
        <v>abril/2026 .</v>
      </c>
      <c r="B10" s="20"/>
      <c r="C10" s="20"/>
      <c r="D10" s="20"/>
      <c r="E10" s="21"/>
    </row>
    <row r="11" spans="1:7" ht="68.25" customHeight="1" x14ac:dyDescent="0.4">
      <c r="A11" s="40" t="s">
        <v>3</v>
      </c>
      <c r="B11" s="40"/>
      <c r="C11" s="40"/>
      <c r="D11" s="40"/>
      <c r="E11" s="40"/>
    </row>
    <row r="13" spans="1:7" x14ac:dyDescent="0.4">
      <c r="C13" s="4" t="s">
        <v>12</v>
      </c>
      <c r="D13" s="22">
        <f>'[1]MEDIÇÕES E TABELAS'!$J$147</f>
        <v>46115</v>
      </c>
      <c r="E13" s="2" t="s">
        <v>11</v>
      </c>
    </row>
    <row r="15" spans="1:7" x14ac:dyDescent="0.4">
      <c r="F15" s="7"/>
      <c r="G15" s="7"/>
    </row>
    <row r="17" spans="1:7" ht="33" customHeight="1" x14ac:dyDescent="0.4">
      <c r="F17" s="7"/>
      <c r="G17" s="7"/>
    </row>
    <row r="19" spans="1:7" ht="33" customHeight="1" x14ac:dyDescent="0.4">
      <c r="A19" s="40"/>
      <c r="B19" s="40"/>
      <c r="C19" s="40"/>
      <c r="D19" s="40"/>
      <c r="E19" s="40"/>
      <c r="F19" s="7"/>
      <c r="G19" s="7"/>
    </row>
    <row r="21" spans="1:7" x14ac:dyDescent="0.4">
      <c r="A21" s="8"/>
      <c r="B21" s="9"/>
      <c r="C21" s="9"/>
      <c r="D21" s="9"/>
      <c r="E21" s="9"/>
    </row>
    <row r="22" spans="1:7" x14ac:dyDescent="0.4">
      <c r="A22" s="10"/>
      <c r="B22" s="9"/>
      <c r="C22" s="9"/>
      <c r="D22" s="9"/>
      <c r="E22" s="9"/>
    </row>
    <row r="23" spans="1:7" x14ac:dyDescent="0.4">
      <c r="A23" s="11"/>
    </row>
    <row r="24" spans="1:7" x14ac:dyDescent="0.4">
      <c r="A24" s="11"/>
    </row>
    <row r="25" spans="1:7" x14ac:dyDescent="0.4">
      <c r="A25" s="11"/>
    </row>
    <row r="26" spans="1:7" x14ac:dyDescent="0.4">
      <c r="A26" s="11"/>
    </row>
    <row r="27" spans="1:7" x14ac:dyDescent="0.4">
      <c r="A27" s="11"/>
    </row>
    <row r="28" spans="1:7" x14ac:dyDescent="0.4">
      <c r="A28" s="11"/>
    </row>
    <row r="29" spans="1:7" x14ac:dyDescent="0.4">
      <c r="A29" s="11"/>
    </row>
    <row r="30" spans="1:7" ht="15.75" customHeight="1" x14ac:dyDescent="0.4">
      <c r="A30" s="12"/>
      <c r="D30" s="7"/>
      <c r="E30" s="7"/>
    </row>
    <row r="31" spans="1:7" x14ac:dyDescent="0.4">
      <c r="A31" s="13"/>
      <c r="B31" s="13"/>
      <c r="C31" s="13"/>
      <c r="D31" s="13"/>
      <c r="E31" s="13"/>
    </row>
    <row r="32" spans="1:7" x14ac:dyDescent="0.4">
      <c r="A32" s="13"/>
      <c r="B32" s="13"/>
      <c r="C32" s="13"/>
      <c r="D32" s="13"/>
      <c r="E32" s="13"/>
    </row>
    <row r="33" spans="1:5" x14ac:dyDescent="0.4">
      <c r="A33" s="13"/>
      <c r="B33" s="13"/>
      <c r="C33" s="13"/>
      <c r="D33" s="13"/>
      <c r="E33" s="13"/>
    </row>
    <row r="34" spans="1:5" x14ac:dyDescent="0.4">
      <c r="A34" s="13"/>
      <c r="B34" s="13"/>
      <c r="C34" s="13"/>
      <c r="D34" s="13"/>
      <c r="E34" s="13"/>
    </row>
    <row r="35" spans="1:5" x14ac:dyDescent="0.4">
      <c r="A35" s="13"/>
      <c r="B35" s="13"/>
      <c r="C35" s="13"/>
      <c r="D35" s="13"/>
      <c r="E35" s="13"/>
    </row>
  </sheetData>
  <mergeCells count="3">
    <mergeCell ref="A19:E19"/>
    <mergeCell ref="A11:E11"/>
    <mergeCell ref="A9:E9"/>
  </mergeCells>
  <printOptions horizontalCentered="1"/>
  <pageMargins left="0.98425196850393704" right="0.78740157480314965" top="1.1811023622047245" bottom="1.1811023622047245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201</vt:lpstr>
      <vt:lpstr>202</vt:lpstr>
      <vt:lpstr>301</vt:lpstr>
      <vt:lpstr>302</vt:lpstr>
      <vt:lpstr>401</vt:lpstr>
      <vt:lpstr>402</vt:lpstr>
      <vt:lpstr>501</vt:lpstr>
      <vt:lpstr>502</vt:lpstr>
      <vt:lpstr>601 COND</vt:lpstr>
      <vt:lpstr>601 FRESERV</vt:lpstr>
      <vt:lpstr>602</vt:lpstr>
      <vt:lpstr>701</vt:lpstr>
      <vt:lpstr>702</vt:lpstr>
      <vt:lpstr>801</vt:lpstr>
      <vt:lpstr>RECIBO MOD AP 601 COND NÃO USAR</vt:lpstr>
      <vt:lpstr>RECIBO MOD 601 FRESERV Ñ USAR</vt:lpstr>
      <vt:lpstr>RECIBO MODELO AP 202 NÃO USAR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Dias Ribeiro</dc:creator>
  <cp:lastModifiedBy>Robson Dias Ribeiro</cp:lastModifiedBy>
  <cp:lastPrinted>2026-04-13T20:14:33Z</cp:lastPrinted>
  <dcterms:created xsi:type="dcterms:W3CDTF">2025-10-15T22:08:03Z</dcterms:created>
  <dcterms:modified xsi:type="dcterms:W3CDTF">2026-04-13T20:14:58Z</dcterms:modified>
</cp:coreProperties>
</file>